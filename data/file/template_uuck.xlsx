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<sst xmlns="http://schemas.openxmlformats.org/spreadsheetml/2006/main" count="12" uniqueCount="9">
  <si>
    <t>Pesangon</t>
  </si>
  <si>
    <t>PMK</t>
  </si>
  <si>
    <t>Pensiun</t>
  </si>
  <si>
    <t>Meninggal</t>
  </si>
  <si>
    <t>Cacat</t>
  </si>
  <si>
    <t>Resign</t>
  </si>
  <si>
    <t>mk</t>
  </si>
  <si>
    <t>Keluar</t>
  </si>
  <si>
    <t>Uang Pisah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</si>
</sst>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_(* #,##0_);_(* \(#,##0\);_(* &quot;-&quot;_);_(@_)"/>
    <numFmt numFmtId="180" formatCode="_(* #,##0.00_);_(* \(#,##0.00\);_(* &quot;-&quot;_);_(@_)"/>
  </numFmts>
  <fonts count="25">
    <font>
      <sz val="11"/>
      <color theme="1"/>
      <name val="Calibri"/>
      <charset val="134"/>
      <scheme val="minor"/>
    </font>
    <font>
      <sz val="10"/>
      <name val="Arial"/>
      <charset val="0"/>
    </font>
    <font>
      <sz val="11"/>
      <name val="Calibri"/>
      <family val="2"/>
      <charset val="0"/>
      <scheme val="minor"/>
    </font>
    <font>
      <sz val="10"/>
      <name val="Arial"/>
      <family val="2"/>
      <charset val="0"/>
    </font>
    <font>
      <sz val="10"/>
      <color indexed="10"/>
      <name val="Arial"/>
      <family val="2"/>
      <charset val="0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/>
    <xf numFmtId="178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17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Fill="1" applyBorder="1" applyAlignment="1"/>
    <xf numFmtId="0" fontId="2" fillId="0" borderId="0" xfId="0" applyFont="1" applyFill="1" applyBorder="1" applyAlignment="1"/>
    <xf numFmtId="0" fontId="1" fillId="2" borderId="0" xfId="0" applyFont="1" applyFill="1" applyBorder="1" applyAlignment="1"/>
    <xf numFmtId="0" fontId="3" fillId="0" borderId="0" xfId="0" applyFont="1" applyFill="1" applyBorder="1" applyAlignment="1"/>
    <xf numFmtId="0" fontId="4" fillId="3" borderId="0" xfId="0" applyFont="1" applyFill="1" applyBorder="1" applyAlignment="1"/>
    <xf numFmtId="180" fontId="1" fillId="0" borderId="0" xfId="4" applyNumberFormat="1" applyFont="1"/>
    <xf numFmtId="2" fontId="3" fillId="0" borderId="0" xfId="0" applyNumberFormat="1" applyFont="1" applyFill="1" applyBorder="1" applyAlignment="1"/>
    <xf numFmtId="2" fontId="1" fillId="0" borderId="0" xfId="0" applyNumberFormat="1" applyFont="1" applyFill="1" applyBorder="1" applyAlignment="1"/>
    <xf numFmtId="2" fontId="3" fillId="0" borderId="0" xfId="49" applyNumberFormat="1" applyFont="1"/>
    <xf numFmtId="0" fontId="1" fillId="2" borderId="0" xfId="0" applyFont="1" applyFill="1" applyBorder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[0] 9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Aryax%20punya\2026\KKA%20VAB\Aplikasi\imbalan-pasca-kerja-app\data\file\sample%20psak\PSAK-Atribusi-UUCK-PT%20Eyecos%20Kosmetik%20Indonesia-31%20Des-2025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put"/>
      <sheetName val="UUCK"/>
      <sheetName val="multidcrmn"/>
      <sheetName val="Olah Data"/>
      <sheetName val="Data-EKI"/>
      <sheetName val="IBPA"/>
      <sheetName val="Hitungan"/>
      <sheetName val="Laporan"/>
      <sheetName val="maturity"/>
      <sheetName val="Data-Lap-Final"/>
      <sheetName val="OCI"/>
      <sheetName val="pesangon"/>
      <sheetName val="excess"/>
      <sheetName val="Interest+Gaji"/>
    </sheetNames>
    <sheetDataSet>
      <sheetData sheetId="0">
        <row r="20">
          <cell r="M20">
            <v>1.75</v>
          </cell>
        </row>
        <row r="20">
          <cell r="P20">
            <v>1</v>
          </cell>
        </row>
        <row r="21">
          <cell r="M21">
            <v>2</v>
          </cell>
        </row>
        <row r="21">
          <cell r="P21">
            <v>1</v>
          </cell>
        </row>
        <row r="22">
          <cell r="M22">
            <v>2</v>
          </cell>
        </row>
        <row r="22">
          <cell r="P22">
            <v>1</v>
          </cell>
        </row>
        <row r="23">
          <cell r="M23">
            <v>1</v>
          </cell>
        </row>
        <row r="23">
          <cell r="S2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P1:X420"/>
  <sheetViews>
    <sheetView tabSelected="1" topLeftCell="O1" workbookViewId="0">
      <selection activeCell="S10" sqref="S10"/>
    </sheetView>
  </sheetViews>
  <sheetFormatPr defaultColWidth="9" defaultRowHeight="14.4"/>
  <cols>
    <col min="1" max="14" width="9" hidden="1" customWidth="1"/>
    <col min="16" max="20" width="8.88888888888889" style="1"/>
    <col min="21" max="21" width="10.5555555555556" style="1" customWidth="1"/>
    <col min="22" max="22" width="8.88888888888889" style="1"/>
    <col min="23" max="23" width="10.5555555555556" style="1"/>
    <col min="24" max="24" width="10.3333333333333" style="2"/>
  </cols>
  <sheetData>
    <row r="1" spans="17:24">
      <c r="Q1" s="1" t="s">
        <v>0</v>
      </c>
      <c r="R1" s="1" t="s">
        <v>1</v>
      </c>
      <c r="X1" s="1"/>
    </row>
    <row r="2" spans="16:24">
      <c r="P2" s="1" t="s">
        <v>2</v>
      </c>
      <c r="Q2" s="1">
        <f>[1]Input!M20</f>
        <v>1.75</v>
      </c>
      <c r="R2" s="1">
        <f>[1]Input!P20</f>
        <v>1</v>
      </c>
      <c r="X2" s="1"/>
    </row>
    <row r="3" spans="16:24">
      <c r="P3" s="1" t="s">
        <v>3</v>
      </c>
      <c r="Q3" s="1">
        <f>[1]Input!M21</f>
        <v>2</v>
      </c>
      <c r="R3" s="1">
        <f>[1]Input!P21</f>
        <v>1</v>
      </c>
      <c r="X3" s="1"/>
    </row>
    <row r="4" spans="16:24">
      <c r="P4" s="3" t="s">
        <v>4</v>
      </c>
      <c r="Q4" s="1">
        <f>[1]Input!M22</f>
        <v>2</v>
      </c>
      <c r="R4" s="1">
        <f>[1]Input!P22</f>
        <v>1</v>
      </c>
      <c r="X4" s="1"/>
    </row>
    <row r="5" spans="16:24">
      <c r="P5" s="1" t="s">
        <v>5</v>
      </c>
      <c r="Q5" s="1">
        <f>[1]Input!M23</f>
        <v>1</v>
      </c>
      <c r="R5" s="1">
        <v>1</v>
      </c>
      <c r="S5" s="6">
        <f>[1]Input!S23*100/100</f>
        <v>0</v>
      </c>
      <c r="X5" s="1"/>
    </row>
    <row r="6" spans="16:24">
      <c r="P6" s="4" t="s">
        <v>6</v>
      </c>
      <c r="T6" s="4" t="s">
        <v>2</v>
      </c>
      <c r="U6" s="4" t="s">
        <v>3</v>
      </c>
      <c r="V6" s="4" t="s">
        <v>4</v>
      </c>
      <c r="W6" s="4" t="s">
        <v>7</v>
      </c>
      <c r="X6" s="4" t="s">
        <v>8</v>
      </c>
    </row>
    <row r="7" spans="16:24">
      <c r="P7" s="5">
        <v>0</v>
      </c>
      <c r="Q7" s="1">
        <v>1</v>
      </c>
      <c r="R7" s="1">
        <v>0</v>
      </c>
      <c r="S7" s="1">
        <f>Q7*$Q$2+R7*$R$2</f>
        <v>1.75</v>
      </c>
      <c r="T7" s="7">
        <f>S7*(1+$S$5)</f>
        <v>1.75</v>
      </c>
      <c r="U7" s="7">
        <f>(Q7*$Q$3+R7*$R$3)*(1+$S$5)</f>
        <v>2</v>
      </c>
      <c r="V7" s="4">
        <f>(Q7*$Q$4+R7*$R$4)*(1+$S$5)</f>
        <v>2</v>
      </c>
      <c r="W7" s="8">
        <f>(R7*$Q$5+S7*$R$5)*($S$5)+X7</f>
        <v>0</v>
      </c>
      <c r="X7" s="9">
        <v>0</v>
      </c>
    </row>
    <row r="8" spans="16:24">
      <c r="P8" s="5">
        <f t="shared" ref="P8:P71" si="0">0.1+P7</f>
        <v>0.1</v>
      </c>
      <c r="Q8" s="1">
        <v>1</v>
      </c>
      <c r="R8" s="10">
        <v>0</v>
      </c>
      <c r="S8" s="1">
        <f>Q8*$Q$2+R8*$R$2</f>
        <v>1.75</v>
      </c>
      <c r="T8" s="7">
        <f>S8*(1+$S$5)</f>
        <v>1.75</v>
      </c>
      <c r="U8" s="7">
        <f>(Q8*$Q$3+R8*$R$3)*(1+$S$5)</f>
        <v>2</v>
      </c>
      <c r="V8" s="4">
        <f>(Q8*$Q$4+R8*$R$4)*(1+$S$5)</f>
        <v>2</v>
      </c>
      <c r="W8" s="8">
        <f>(R8*$Q$5+S8*$R$5)*($S$5)+X8</f>
        <v>0</v>
      </c>
      <c r="X8" s="9">
        <v>0</v>
      </c>
    </row>
    <row r="9" spans="16:24">
      <c r="P9" s="5">
        <f t="shared" si="0"/>
        <v>0.2</v>
      </c>
      <c r="Q9" s="1">
        <v>1</v>
      </c>
      <c r="R9" s="10">
        <v>0</v>
      </c>
      <c r="S9" s="1">
        <f>Q9*$Q$2+R9*$R$2</f>
        <v>1.75</v>
      </c>
      <c r="T9" s="7">
        <f>S9*(1+$S$5)</f>
        <v>1.75</v>
      </c>
      <c r="U9" s="7">
        <f>(Q9*$Q$3+R9*$R$3)*(1+$S$5)</f>
        <v>2</v>
      </c>
      <c r="V9" s="4">
        <f>(Q9*$Q$4+R9*$R$4)*(1+$S$5)</f>
        <v>2</v>
      </c>
      <c r="W9" s="8">
        <f>(R9*$Q$5+S9*$R$5)*($S$5)+X9</f>
        <v>0</v>
      </c>
      <c r="X9" s="9">
        <v>0</v>
      </c>
    </row>
    <row r="10" spans="16:24">
      <c r="P10" s="5">
        <f t="shared" si="0"/>
        <v>0.3</v>
      </c>
      <c r="Q10" s="1">
        <v>1</v>
      </c>
      <c r="R10" s="10">
        <v>0</v>
      </c>
      <c r="S10" s="1">
        <f>Q10*$Q$2+R10*$R$2</f>
        <v>1.75</v>
      </c>
      <c r="T10" s="7">
        <f>S10*(1+$S$5)</f>
        <v>1.75</v>
      </c>
      <c r="U10" s="7">
        <f>(Q10*$Q$3+R10*$R$3)*(1+$S$5)</f>
        <v>2</v>
      </c>
      <c r="V10" s="4">
        <f>(Q10*$Q$4+R10*$R$4)*(1+$S$5)</f>
        <v>2</v>
      </c>
      <c r="W10" s="8">
        <f>(R10*$Q$5+S10*$R$5)*($S$5)+X10</f>
        <v>0</v>
      </c>
      <c r="X10" s="9">
        <v>0</v>
      </c>
    </row>
    <row r="11" spans="16:24">
      <c r="P11" s="5">
        <f t="shared" si="0"/>
        <v>0.4</v>
      </c>
      <c r="Q11" s="1">
        <v>1</v>
      </c>
      <c r="R11" s="3">
        <v>0</v>
      </c>
      <c r="S11" s="1">
        <f>Q11*$Q$2+R11*$R$2</f>
        <v>1.75</v>
      </c>
      <c r="T11" s="7">
        <f>S11*(1+$S$5)</f>
        <v>1.75</v>
      </c>
      <c r="U11" s="7">
        <f>(Q11*$Q$3+R11*$R$3)*(1+$S$5)</f>
        <v>2</v>
      </c>
      <c r="V11" s="4">
        <f>(Q11*$Q$4+R11*$R$4)*(1+$S$5)</f>
        <v>2</v>
      </c>
      <c r="W11" s="8">
        <f>(R11*$Q$5+S11*$R$5)*($S$5)+X11</f>
        <v>0</v>
      </c>
      <c r="X11" s="9">
        <v>0</v>
      </c>
    </row>
    <row r="12" spans="16:24">
      <c r="P12" s="5">
        <f t="shared" si="0"/>
        <v>0.5</v>
      </c>
      <c r="Q12" s="1">
        <v>1</v>
      </c>
      <c r="R12" s="3">
        <v>0</v>
      </c>
      <c r="S12" s="1">
        <f>Q12*$Q$2+R12*$R$2</f>
        <v>1.75</v>
      </c>
      <c r="T12" s="7">
        <f>S12*(1+$S$5)</f>
        <v>1.75</v>
      </c>
      <c r="U12" s="7">
        <f>(Q12*$Q$3+R12*$R$3)*(1+$S$5)</f>
        <v>2</v>
      </c>
      <c r="V12" s="4">
        <f>(Q12*$Q$4+R12*$R$4)*(1+$S$5)</f>
        <v>2</v>
      </c>
      <c r="W12" s="8">
        <f>(R12*$Q$5+S12*$R$5)*($S$5)+X12</f>
        <v>0</v>
      </c>
      <c r="X12" s="9">
        <v>0</v>
      </c>
    </row>
    <row r="13" spans="16:24">
      <c r="P13" s="5">
        <f t="shared" si="0"/>
        <v>0.6</v>
      </c>
      <c r="Q13" s="1">
        <v>1</v>
      </c>
      <c r="R13" s="3">
        <v>0</v>
      </c>
      <c r="S13" s="1">
        <f>Q13*$Q$2+R13*$R$2</f>
        <v>1.75</v>
      </c>
      <c r="T13" s="7">
        <f>S13*(1+$S$5)</f>
        <v>1.75</v>
      </c>
      <c r="U13" s="7">
        <f>(Q13*$Q$3+R13*$R$3)*(1+$S$5)</f>
        <v>2</v>
      </c>
      <c r="V13" s="4">
        <f>(Q13*$Q$4+R13*$R$4)*(1+$S$5)</f>
        <v>2</v>
      </c>
      <c r="W13" s="8">
        <f>(R13*$Q$5+S13*$R$5)*($S$5)+X13</f>
        <v>0</v>
      </c>
      <c r="X13" s="9">
        <v>0</v>
      </c>
    </row>
    <row r="14" spans="16:24">
      <c r="P14" s="5">
        <f t="shared" si="0"/>
        <v>0.7</v>
      </c>
      <c r="Q14" s="1">
        <v>1</v>
      </c>
      <c r="R14" s="3">
        <v>0</v>
      </c>
      <c r="S14" s="1">
        <f>Q14*$Q$2+R14*$R$2</f>
        <v>1.75</v>
      </c>
      <c r="T14" s="7">
        <f>S14*(1+$S$5)</f>
        <v>1.75</v>
      </c>
      <c r="U14" s="7">
        <f>(Q14*$Q$3+R14*$R$3)*(1+$S$5)</f>
        <v>2</v>
      </c>
      <c r="V14" s="4">
        <f>(Q14*$Q$4+R14*$R$4)*(1+$S$5)</f>
        <v>2</v>
      </c>
      <c r="W14" s="8">
        <f>(R14*$Q$5+S14*$R$5)*($S$5)+X14</f>
        <v>0</v>
      </c>
      <c r="X14" s="9">
        <v>0</v>
      </c>
    </row>
    <row r="15" spans="16:24">
      <c r="P15" s="5">
        <f t="shared" si="0"/>
        <v>0.8</v>
      </c>
      <c r="Q15" s="1">
        <v>1</v>
      </c>
      <c r="R15" s="3">
        <v>0</v>
      </c>
      <c r="S15" s="1">
        <f>Q15*$Q$2+R15*$R$2</f>
        <v>1.75</v>
      </c>
      <c r="T15" s="7">
        <f>S15*(1+$S$5)</f>
        <v>1.75</v>
      </c>
      <c r="U15" s="7">
        <f>(Q15*$Q$3+R15*$R$3)*(1+$S$5)</f>
        <v>2</v>
      </c>
      <c r="V15" s="4">
        <f>(Q15*$Q$4+R15*$R$4)*(1+$S$5)</f>
        <v>2</v>
      </c>
      <c r="W15" s="8">
        <f>(R15*$Q$5+S15*$R$5)*($S$5)+X15</f>
        <v>0</v>
      </c>
      <c r="X15" s="9">
        <v>0</v>
      </c>
    </row>
    <row r="16" spans="16:24">
      <c r="P16" s="5">
        <f t="shared" si="0"/>
        <v>0.9</v>
      </c>
      <c r="Q16" s="1">
        <v>1</v>
      </c>
      <c r="R16" s="3">
        <v>0</v>
      </c>
      <c r="S16" s="1">
        <f>Q16*$Q$2+R16*$R$2</f>
        <v>1.75</v>
      </c>
      <c r="T16" s="7">
        <f>S16*(1+$S$5)</f>
        <v>1.75</v>
      </c>
      <c r="U16" s="7">
        <f>(Q16*$Q$3+R16*$R$3)*(1+$S$5)</f>
        <v>2</v>
      </c>
      <c r="V16" s="4">
        <f>(Q16*$Q$4+R16*$R$4)*(1+$S$5)</f>
        <v>2</v>
      </c>
      <c r="W16" s="8">
        <f>(R16*$Q$5+S16*$R$5)*($S$5)+X16</f>
        <v>0</v>
      </c>
      <c r="X16" s="9">
        <v>0</v>
      </c>
    </row>
    <row r="17" spans="16:24">
      <c r="P17" s="5">
        <f t="shared" si="0"/>
        <v>1</v>
      </c>
      <c r="Q17" s="3">
        <v>2</v>
      </c>
      <c r="R17" s="3">
        <v>0</v>
      </c>
      <c r="S17" s="1">
        <f>Q17*$Q$2+R17*$R$2</f>
        <v>3.5</v>
      </c>
      <c r="T17" s="7">
        <f>S17*(1+$S$5)</f>
        <v>3.5</v>
      </c>
      <c r="U17" s="7">
        <f>(Q17*$Q$3+R17*$R$3)*(1+$S$5)</f>
        <v>4</v>
      </c>
      <c r="V17" s="4">
        <f>(Q17*$Q$4+R17*$R$4)*(1+$S$5)</f>
        <v>4</v>
      </c>
      <c r="W17" s="8">
        <f>(R17*$Q$5+S17*$R$5)*($S$5)+X17</f>
        <v>1</v>
      </c>
      <c r="X17" s="9">
        <v>1</v>
      </c>
    </row>
    <row r="18" spans="16:24">
      <c r="P18" s="5">
        <f t="shared" si="0"/>
        <v>1.1</v>
      </c>
      <c r="Q18" s="3">
        <v>2</v>
      </c>
      <c r="R18" s="3">
        <v>0</v>
      </c>
      <c r="S18" s="1">
        <f>Q18*$Q$2+R18*$R$2</f>
        <v>3.5</v>
      </c>
      <c r="T18" s="7">
        <f>S18*(1+$S$5)</f>
        <v>3.5</v>
      </c>
      <c r="U18" s="7">
        <f>(Q18*$Q$3+R18*$R$3)*(1+$S$5)</f>
        <v>4</v>
      </c>
      <c r="V18" s="4">
        <f>(Q18*$Q$4+R18*$R$4)*(1+$S$5)</f>
        <v>4</v>
      </c>
      <c r="W18" s="8">
        <f>(R18*$Q$5+S18*$R$5)*($S$5)+X18</f>
        <v>1</v>
      </c>
      <c r="X18" s="9">
        <v>1</v>
      </c>
    </row>
    <row r="19" spans="16:24">
      <c r="P19" s="5">
        <f t="shared" si="0"/>
        <v>1.2</v>
      </c>
      <c r="Q19" s="3">
        <v>2</v>
      </c>
      <c r="R19" s="3">
        <v>0</v>
      </c>
      <c r="S19" s="1">
        <f>Q19*$Q$2+R19*$R$2</f>
        <v>3.5</v>
      </c>
      <c r="T19" s="7">
        <f>S19*(1+$S$5)</f>
        <v>3.5</v>
      </c>
      <c r="U19" s="7">
        <f>(Q19*$Q$3+R19*$R$3)*(1+$S$5)</f>
        <v>4</v>
      </c>
      <c r="V19" s="4">
        <f>(Q19*$Q$4+R19*$R$4)*(1+$S$5)</f>
        <v>4</v>
      </c>
      <c r="W19" s="8">
        <f>(R19*$Q$5+S19*$R$5)*($S$5)+X19</f>
        <v>1</v>
      </c>
      <c r="X19" s="9">
        <v>1</v>
      </c>
    </row>
    <row r="20" spans="16:24">
      <c r="P20" s="5">
        <f t="shared" si="0"/>
        <v>1.3</v>
      </c>
      <c r="Q20" s="3">
        <v>2</v>
      </c>
      <c r="R20" s="3">
        <v>0</v>
      </c>
      <c r="S20" s="1">
        <f>Q20*$Q$2+R20*$R$2</f>
        <v>3.5</v>
      </c>
      <c r="T20" s="7">
        <f>S20*(1+$S$5)</f>
        <v>3.5</v>
      </c>
      <c r="U20" s="7">
        <f>(Q20*$Q$3+R20*$R$3)*(1+$S$5)</f>
        <v>4</v>
      </c>
      <c r="V20" s="4">
        <f>(Q20*$Q$4+R20*$R$4)*(1+$S$5)</f>
        <v>4</v>
      </c>
      <c r="W20" s="8">
        <f>(R20*$Q$5+S20*$R$5)*($S$5)+X20</f>
        <v>1</v>
      </c>
      <c r="X20" s="9">
        <v>1</v>
      </c>
    </row>
    <row r="21" spans="16:24">
      <c r="P21" s="5">
        <f t="shared" si="0"/>
        <v>1.4</v>
      </c>
      <c r="Q21" s="3">
        <v>2</v>
      </c>
      <c r="R21" s="3">
        <v>0</v>
      </c>
      <c r="S21" s="1">
        <f>Q21*$Q$2+R21*$R$2</f>
        <v>3.5</v>
      </c>
      <c r="T21" s="7">
        <f>S21*(1+$S$5)</f>
        <v>3.5</v>
      </c>
      <c r="U21" s="7">
        <f>(Q21*$Q$3+R21*$R$3)*(1+$S$5)</f>
        <v>4</v>
      </c>
      <c r="V21" s="4">
        <f>(Q21*$Q$4+R21*$R$4)*(1+$S$5)</f>
        <v>4</v>
      </c>
      <c r="W21" s="8">
        <f>(R21*$Q$5+S21*$R$5)*($S$5)+X21</f>
        <v>1</v>
      </c>
      <c r="X21" s="9">
        <v>1</v>
      </c>
    </row>
    <row r="22" spans="16:24">
      <c r="P22" s="5">
        <f t="shared" si="0"/>
        <v>1.5</v>
      </c>
      <c r="Q22" s="3">
        <v>2</v>
      </c>
      <c r="R22" s="3">
        <v>0</v>
      </c>
      <c r="S22" s="1">
        <f>Q22*$Q$2+R22*$R$2</f>
        <v>3.5</v>
      </c>
      <c r="T22" s="7">
        <f>S22*(1+$S$5)</f>
        <v>3.5</v>
      </c>
      <c r="U22" s="7">
        <f>(Q22*$Q$3+R22*$R$3)*(1+$S$5)</f>
        <v>4</v>
      </c>
      <c r="V22" s="4">
        <f>(Q22*$Q$4+R22*$R$4)*(1+$S$5)</f>
        <v>4</v>
      </c>
      <c r="W22" s="8">
        <f>(R22*$Q$5+S22*$R$5)*($S$5)+X22</f>
        <v>1</v>
      </c>
      <c r="X22" s="9">
        <v>1</v>
      </c>
    </row>
    <row r="23" spans="16:24">
      <c r="P23" s="5">
        <f t="shared" si="0"/>
        <v>1.6</v>
      </c>
      <c r="Q23" s="3">
        <v>2</v>
      </c>
      <c r="R23" s="3">
        <v>0</v>
      </c>
      <c r="S23" s="1">
        <f>Q23*$Q$2+R23*$R$2</f>
        <v>3.5</v>
      </c>
      <c r="T23" s="7">
        <f>S23*(1+$S$5)</f>
        <v>3.5</v>
      </c>
      <c r="U23" s="7">
        <f>(Q23*$Q$3+R23*$R$3)*(1+$S$5)</f>
        <v>4</v>
      </c>
      <c r="V23" s="4">
        <f>(Q23*$Q$4+R23*$R$4)*(1+$S$5)</f>
        <v>4</v>
      </c>
      <c r="W23" s="8">
        <f>(R23*$Q$5+S23*$R$5)*($S$5)+X23</f>
        <v>1</v>
      </c>
      <c r="X23" s="9">
        <v>1</v>
      </c>
    </row>
    <row r="24" spans="16:24">
      <c r="P24" s="5">
        <f t="shared" si="0"/>
        <v>1.7</v>
      </c>
      <c r="Q24" s="3">
        <v>2</v>
      </c>
      <c r="R24" s="3">
        <v>0</v>
      </c>
      <c r="S24" s="1">
        <f>Q24*$Q$2+R24*$R$2</f>
        <v>3.5</v>
      </c>
      <c r="T24" s="7">
        <f>S24*(1+$S$5)</f>
        <v>3.5</v>
      </c>
      <c r="U24" s="7">
        <f>(Q24*$Q$3+R24*$R$3)*(1+$S$5)</f>
        <v>4</v>
      </c>
      <c r="V24" s="4">
        <f>(Q24*$Q$4+R24*$R$4)*(1+$S$5)</f>
        <v>4</v>
      </c>
      <c r="W24" s="8">
        <f>(R24*$Q$5+S24*$R$5)*($S$5)+X24</f>
        <v>1</v>
      </c>
      <c r="X24" s="9">
        <v>1</v>
      </c>
    </row>
    <row r="25" spans="16:24">
      <c r="P25" s="5">
        <f t="shared" si="0"/>
        <v>1.8</v>
      </c>
      <c r="Q25" s="3">
        <v>2</v>
      </c>
      <c r="R25" s="3">
        <v>0</v>
      </c>
      <c r="S25" s="1">
        <f>Q25*$Q$2+R25*$R$2</f>
        <v>3.5</v>
      </c>
      <c r="T25" s="7">
        <f>S25*(1+$S$5)</f>
        <v>3.5</v>
      </c>
      <c r="U25" s="7">
        <f>(Q25*$Q$3+R25*$R$3)*(1+$S$5)</f>
        <v>4</v>
      </c>
      <c r="V25" s="4">
        <f>(Q25*$Q$4+R25*$R$4)*(1+$S$5)</f>
        <v>4</v>
      </c>
      <c r="W25" s="8">
        <f>(R25*$Q$5+S25*$R$5)*($S$5)+X25</f>
        <v>1</v>
      </c>
      <c r="X25" s="9">
        <v>1</v>
      </c>
    </row>
    <row r="26" spans="16:24">
      <c r="P26" s="5">
        <f t="shared" si="0"/>
        <v>1.9</v>
      </c>
      <c r="Q26" s="3">
        <v>2</v>
      </c>
      <c r="R26" s="3">
        <v>0</v>
      </c>
      <c r="S26" s="1">
        <f>Q26*$Q$2+R26*$R$2</f>
        <v>3.5</v>
      </c>
      <c r="T26" s="7">
        <f>S26*(1+$S$5)</f>
        <v>3.5</v>
      </c>
      <c r="U26" s="7">
        <f>(Q26*$Q$3+R26*$R$3)*(1+$S$5)</f>
        <v>4</v>
      </c>
      <c r="V26" s="4">
        <f>(Q26*$Q$4+R26*$R$4)*(1+$S$5)</f>
        <v>4</v>
      </c>
      <c r="W26" s="8">
        <f>(R26*$Q$5+S26*$R$5)*($S$5)+X26</f>
        <v>1</v>
      </c>
      <c r="X26" s="9">
        <v>1</v>
      </c>
    </row>
    <row r="27" spans="16:24">
      <c r="P27" s="5">
        <f t="shared" si="0"/>
        <v>2</v>
      </c>
      <c r="Q27" s="3">
        <v>3</v>
      </c>
      <c r="R27" s="3">
        <v>0</v>
      </c>
      <c r="S27" s="1">
        <f>Q27*$Q$2+R27*$R$2</f>
        <v>5.25</v>
      </c>
      <c r="T27" s="7">
        <f>S27*(1+$S$5)</f>
        <v>5.25</v>
      </c>
      <c r="U27" s="7">
        <f>(Q27*$Q$3+R27*$R$3)*(1+$S$5)</f>
        <v>6</v>
      </c>
      <c r="V27" s="4">
        <f>(Q27*$Q$4+R27*$R$4)*(1+$S$5)</f>
        <v>6</v>
      </c>
      <c r="W27" s="8">
        <f>(R27*$Q$5+S27*$R$5)*($S$5)+X27</f>
        <v>1</v>
      </c>
      <c r="X27" s="9">
        <v>1</v>
      </c>
    </row>
    <row r="28" spans="16:24">
      <c r="P28" s="5">
        <f t="shared" si="0"/>
        <v>2.1</v>
      </c>
      <c r="Q28" s="3">
        <v>3</v>
      </c>
      <c r="R28" s="3">
        <v>0</v>
      </c>
      <c r="S28" s="1">
        <f>Q28*$Q$2+R28*$R$2</f>
        <v>5.25</v>
      </c>
      <c r="T28" s="7">
        <f>S28*(1+$S$5)</f>
        <v>5.25</v>
      </c>
      <c r="U28" s="7">
        <f>(Q28*$Q$3+R28*$R$3)*(1+$S$5)</f>
        <v>6</v>
      </c>
      <c r="V28" s="4">
        <f>(Q28*$Q$4+R28*$R$4)*(1+$S$5)</f>
        <v>6</v>
      </c>
      <c r="W28" s="8">
        <f>(R28*$Q$5+S28*$R$5)*($S$5)+X28</f>
        <v>1</v>
      </c>
      <c r="X28" s="9">
        <v>1</v>
      </c>
    </row>
    <row r="29" spans="16:24">
      <c r="P29" s="5">
        <f t="shared" si="0"/>
        <v>2.2</v>
      </c>
      <c r="Q29" s="3">
        <v>3</v>
      </c>
      <c r="R29" s="3">
        <v>0</v>
      </c>
      <c r="S29" s="1">
        <f>Q29*$Q$2+R29*$R$2</f>
        <v>5.25</v>
      </c>
      <c r="T29" s="7">
        <f>S29*(1+$S$5)</f>
        <v>5.25</v>
      </c>
      <c r="U29" s="7">
        <f>(Q29*$Q$3+R29*$R$3)*(1+$S$5)</f>
        <v>6</v>
      </c>
      <c r="V29" s="4">
        <f>(Q29*$Q$4+R29*$R$4)*(1+$S$5)</f>
        <v>6</v>
      </c>
      <c r="W29" s="8">
        <f>(R29*$Q$5+S29*$R$5)*($S$5)+X29</f>
        <v>1</v>
      </c>
      <c r="X29" s="9">
        <v>1</v>
      </c>
    </row>
    <row r="30" spans="16:24">
      <c r="P30" s="5">
        <f t="shared" si="0"/>
        <v>2.3</v>
      </c>
      <c r="Q30" s="3">
        <v>3</v>
      </c>
      <c r="R30" s="3">
        <v>0</v>
      </c>
      <c r="S30" s="1">
        <f>Q30*$Q$2+R30*$R$2</f>
        <v>5.25</v>
      </c>
      <c r="T30" s="7">
        <f>S30*(1+$S$5)</f>
        <v>5.25</v>
      </c>
      <c r="U30" s="7">
        <f>(Q30*$Q$3+R30*$R$3)*(1+$S$5)</f>
        <v>6</v>
      </c>
      <c r="V30" s="4">
        <f>(Q30*$Q$4+R30*$R$4)*(1+$S$5)</f>
        <v>6</v>
      </c>
      <c r="W30" s="8">
        <f>(R30*$Q$5+S30*$R$5)*($S$5)+X30</f>
        <v>1</v>
      </c>
      <c r="X30" s="9">
        <v>1</v>
      </c>
    </row>
    <row r="31" spans="16:24">
      <c r="P31" s="5">
        <f t="shared" si="0"/>
        <v>2.4</v>
      </c>
      <c r="Q31" s="3">
        <v>3</v>
      </c>
      <c r="R31" s="3">
        <v>0</v>
      </c>
      <c r="S31" s="1">
        <f>Q31*$Q$2+R31*$R$2</f>
        <v>5.25</v>
      </c>
      <c r="T31" s="7">
        <f>S31*(1+$S$5)</f>
        <v>5.25</v>
      </c>
      <c r="U31" s="7">
        <f>(Q31*$Q$3+R31*$R$3)*(1+$S$5)</f>
        <v>6</v>
      </c>
      <c r="V31" s="4">
        <f>(Q31*$Q$4+R31*$R$4)*(1+$S$5)</f>
        <v>6</v>
      </c>
      <c r="W31" s="8">
        <f>(R31*$Q$5+S31*$R$5)*($S$5)+X31</f>
        <v>1</v>
      </c>
      <c r="X31" s="9">
        <v>1</v>
      </c>
    </row>
    <row r="32" spans="16:24">
      <c r="P32" s="5">
        <f t="shared" si="0"/>
        <v>2.5</v>
      </c>
      <c r="Q32" s="3">
        <v>3</v>
      </c>
      <c r="R32" s="3">
        <v>0</v>
      </c>
      <c r="S32" s="1">
        <f>Q32*$Q$2+R32*$R$2</f>
        <v>5.25</v>
      </c>
      <c r="T32" s="7">
        <f>S32*(1+$S$5)</f>
        <v>5.25</v>
      </c>
      <c r="U32" s="7">
        <f>(Q32*$Q$3+R32*$R$3)*(1+$S$5)</f>
        <v>6</v>
      </c>
      <c r="V32" s="4">
        <f>(Q32*$Q$4+R32*$R$4)*(1+$S$5)</f>
        <v>6</v>
      </c>
      <c r="W32" s="8">
        <f>(R32*$Q$5+S32*$R$5)*($S$5)+X32</f>
        <v>1</v>
      </c>
      <c r="X32" s="9">
        <v>1</v>
      </c>
    </row>
    <row r="33" spans="16:24">
      <c r="P33" s="5">
        <f t="shared" si="0"/>
        <v>2.6</v>
      </c>
      <c r="Q33" s="3">
        <v>3</v>
      </c>
      <c r="R33" s="3">
        <v>0</v>
      </c>
      <c r="S33" s="1">
        <f>Q33*$Q$2+R33*$R$2</f>
        <v>5.25</v>
      </c>
      <c r="T33" s="7">
        <f>S33*(1+$S$5)</f>
        <v>5.25</v>
      </c>
      <c r="U33" s="7">
        <f>(Q33*$Q$3+R33*$R$3)*(1+$S$5)</f>
        <v>6</v>
      </c>
      <c r="V33" s="4">
        <f>(Q33*$Q$4+R33*$R$4)*(1+$S$5)</f>
        <v>6</v>
      </c>
      <c r="W33" s="8">
        <f>(R33*$Q$5+S33*$R$5)*($S$5)+X33</f>
        <v>1</v>
      </c>
      <c r="X33" s="9">
        <v>1</v>
      </c>
    </row>
    <row r="34" spans="16:24">
      <c r="P34" s="5">
        <f t="shared" si="0"/>
        <v>2.7</v>
      </c>
      <c r="Q34" s="3">
        <v>3</v>
      </c>
      <c r="R34" s="3">
        <v>0</v>
      </c>
      <c r="S34" s="1">
        <f>Q34*$Q$2+R34*$R$2</f>
        <v>5.25</v>
      </c>
      <c r="T34" s="7">
        <f>S34*(1+$S$5)</f>
        <v>5.25</v>
      </c>
      <c r="U34" s="7">
        <f>(Q34*$Q$3+R34*$R$3)*(1+$S$5)</f>
        <v>6</v>
      </c>
      <c r="V34" s="4">
        <f>(Q34*$Q$4+R34*$R$4)*(1+$S$5)</f>
        <v>6</v>
      </c>
      <c r="W34" s="8">
        <f>(R34*$Q$5+S34*$R$5)*($S$5)+X34</f>
        <v>1</v>
      </c>
      <c r="X34" s="9">
        <v>1</v>
      </c>
    </row>
    <row r="35" spans="16:24">
      <c r="P35" s="5">
        <f t="shared" si="0"/>
        <v>2.8</v>
      </c>
      <c r="Q35" s="3">
        <v>3</v>
      </c>
      <c r="R35" s="3">
        <v>0</v>
      </c>
      <c r="S35" s="1">
        <f>Q35*$Q$2+R35*$R$2</f>
        <v>5.25</v>
      </c>
      <c r="T35" s="7">
        <f>S35*(1+$S$5)</f>
        <v>5.25</v>
      </c>
      <c r="U35" s="7">
        <f>(Q35*$Q$3+R35*$R$3)*(1+$S$5)</f>
        <v>6</v>
      </c>
      <c r="V35" s="4">
        <f>(Q35*$Q$4+R35*$R$4)*(1+$S$5)</f>
        <v>6</v>
      </c>
      <c r="W35" s="8">
        <f>(R35*$Q$5+S35*$R$5)*($S$5)+X35</f>
        <v>1</v>
      </c>
      <c r="X35" s="9">
        <v>1</v>
      </c>
    </row>
    <row r="36" spans="16:24">
      <c r="P36" s="5">
        <f t="shared" si="0"/>
        <v>2.9</v>
      </c>
      <c r="Q36" s="3">
        <v>3</v>
      </c>
      <c r="R36" s="3">
        <v>0</v>
      </c>
      <c r="S36" s="1">
        <f>Q36*$Q$2+R36*$R$2</f>
        <v>5.25</v>
      </c>
      <c r="T36" s="7">
        <f>S36*(1+$S$5)</f>
        <v>5.25</v>
      </c>
      <c r="U36" s="7">
        <f>(Q36*$Q$3+R36*$R$3)*(1+$S$5)</f>
        <v>6</v>
      </c>
      <c r="V36" s="4">
        <f>(Q36*$Q$4+R36*$R$4)*(1+$S$5)</f>
        <v>6</v>
      </c>
      <c r="W36" s="8">
        <f>(R36*$Q$5+S36*$R$5)*($S$5)+X36</f>
        <v>1</v>
      </c>
      <c r="X36" s="9">
        <v>1</v>
      </c>
    </row>
    <row r="37" spans="16:24">
      <c r="P37" s="5">
        <f t="shared" si="0"/>
        <v>3</v>
      </c>
      <c r="Q37" s="3">
        <v>4</v>
      </c>
      <c r="R37" s="3">
        <v>2</v>
      </c>
      <c r="S37" s="1">
        <f>Q37*$Q$2+R37*$R$2</f>
        <v>9</v>
      </c>
      <c r="T37" s="7">
        <f>S37*(1+$S$5)</f>
        <v>9</v>
      </c>
      <c r="U37" s="7">
        <f>(Q37*$Q$3+R37*$R$3)*(1+$S$5)</f>
        <v>10</v>
      </c>
      <c r="V37" s="4">
        <f>(Q37*$Q$4+R37*$R$4)*(1+$S$5)</f>
        <v>10</v>
      </c>
      <c r="W37" s="8">
        <f>(R37*$Q$5+S37*$R$5)*($S$5)+X37</f>
        <v>2</v>
      </c>
      <c r="X37" s="9">
        <v>2</v>
      </c>
    </row>
    <row r="38" spans="16:24">
      <c r="P38" s="5">
        <f t="shared" si="0"/>
        <v>3.1</v>
      </c>
      <c r="Q38" s="3">
        <v>4</v>
      </c>
      <c r="R38" s="3">
        <v>2</v>
      </c>
      <c r="S38" s="1">
        <f>Q38*$Q$2+R38*$R$2</f>
        <v>9</v>
      </c>
      <c r="T38" s="7">
        <f>S38*(1+$S$5)</f>
        <v>9</v>
      </c>
      <c r="U38" s="7">
        <f>(Q38*$Q$3+R38*$R$3)*(1+$S$5)</f>
        <v>10</v>
      </c>
      <c r="V38" s="4">
        <f>(Q38*$Q$4+R38*$R$4)*(1+$S$5)</f>
        <v>10</v>
      </c>
      <c r="W38" s="8">
        <f>(R38*$Q$5+S38*$R$5)*($S$5)+X38</f>
        <v>2</v>
      </c>
      <c r="X38" s="9">
        <v>2</v>
      </c>
    </row>
    <row r="39" spans="16:24">
      <c r="P39" s="5">
        <f t="shared" si="0"/>
        <v>3.2</v>
      </c>
      <c r="Q39" s="3">
        <v>4</v>
      </c>
      <c r="R39" s="3">
        <v>2</v>
      </c>
      <c r="S39" s="1">
        <f>Q39*$Q$2+R39*$R$2</f>
        <v>9</v>
      </c>
      <c r="T39" s="7">
        <f>S39*(1+$S$5)</f>
        <v>9</v>
      </c>
      <c r="U39" s="7">
        <f>(Q39*$Q$3+R39*$R$3)*(1+$S$5)</f>
        <v>10</v>
      </c>
      <c r="V39" s="4">
        <f>(Q39*$Q$4+R39*$R$4)*(1+$S$5)</f>
        <v>10</v>
      </c>
      <c r="W39" s="8">
        <f>(R39*$Q$5+S39*$R$5)*($S$5)+X39</f>
        <v>2</v>
      </c>
      <c r="X39" s="9">
        <v>2</v>
      </c>
    </row>
    <row r="40" spans="16:24">
      <c r="P40" s="5">
        <f t="shared" si="0"/>
        <v>3.3</v>
      </c>
      <c r="Q40" s="3">
        <v>4</v>
      </c>
      <c r="R40" s="3">
        <v>2</v>
      </c>
      <c r="S40" s="1">
        <f>Q40*$Q$2+R40*$R$2</f>
        <v>9</v>
      </c>
      <c r="T40" s="7">
        <f>S40*(1+$S$5)</f>
        <v>9</v>
      </c>
      <c r="U40" s="7">
        <f>(Q40*$Q$3+R40*$R$3)*(1+$S$5)</f>
        <v>10</v>
      </c>
      <c r="V40" s="4">
        <f>(Q40*$Q$4+R40*$R$4)*(1+$S$5)</f>
        <v>10</v>
      </c>
      <c r="W40" s="8">
        <f>(R40*$Q$5+S40*$R$5)*($S$5)+X40</f>
        <v>2</v>
      </c>
      <c r="X40" s="9">
        <v>2</v>
      </c>
    </row>
    <row r="41" spans="16:24">
      <c r="P41" s="5">
        <f t="shared" si="0"/>
        <v>3.4</v>
      </c>
      <c r="Q41" s="3">
        <v>4</v>
      </c>
      <c r="R41" s="3">
        <v>2</v>
      </c>
      <c r="S41" s="1">
        <f>Q41*$Q$2+R41*$R$2</f>
        <v>9</v>
      </c>
      <c r="T41" s="7">
        <f>S41*(1+$S$5)</f>
        <v>9</v>
      </c>
      <c r="U41" s="7">
        <f>(Q41*$Q$3+R41*$R$3)*(1+$S$5)</f>
        <v>10</v>
      </c>
      <c r="V41" s="4">
        <f>(Q41*$Q$4+R41*$R$4)*(1+$S$5)</f>
        <v>10</v>
      </c>
      <c r="W41" s="8">
        <f>(R41*$Q$5+S41*$R$5)*($S$5)+X41</f>
        <v>2</v>
      </c>
      <c r="X41" s="9">
        <v>2</v>
      </c>
    </row>
    <row r="42" spans="16:24">
      <c r="P42" s="5">
        <f t="shared" si="0"/>
        <v>3.5</v>
      </c>
      <c r="Q42" s="3">
        <v>4</v>
      </c>
      <c r="R42" s="3">
        <v>2</v>
      </c>
      <c r="S42" s="1">
        <f>Q42*$Q$2+R42*$R$2</f>
        <v>9</v>
      </c>
      <c r="T42" s="7">
        <f>S42*(1+$S$5)</f>
        <v>9</v>
      </c>
      <c r="U42" s="7">
        <f>(Q42*$Q$3+R42*$R$3)*(1+$S$5)</f>
        <v>10</v>
      </c>
      <c r="V42" s="4">
        <f>(Q42*$Q$4+R42*$R$4)*(1+$S$5)</f>
        <v>10</v>
      </c>
      <c r="W42" s="8">
        <f>(R42*$Q$5+S42*$R$5)*($S$5)+X42</f>
        <v>2</v>
      </c>
      <c r="X42" s="9">
        <v>2</v>
      </c>
    </row>
    <row r="43" spans="16:24">
      <c r="P43" s="5">
        <f t="shared" si="0"/>
        <v>3.6</v>
      </c>
      <c r="Q43" s="3">
        <v>4</v>
      </c>
      <c r="R43" s="3">
        <v>2</v>
      </c>
      <c r="S43" s="1">
        <f>Q43*$Q$2+R43*$R$2</f>
        <v>9</v>
      </c>
      <c r="T43" s="7">
        <f>S43*(1+$S$5)</f>
        <v>9</v>
      </c>
      <c r="U43" s="7">
        <f>(Q43*$Q$3+R43*$R$3)*(1+$S$5)</f>
        <v>10</v>
      </c>
      <c r="V43" s="4">
        <f>(Q43*$Q$4+R43*$R$4)*(1+$S$5)</f>
        <v>10</v>
      </c>
      <c r="W43" s="8">
        <f>(R43*$Q$5+S43*$R$5)*($S$5)+X43</f>
        <v>2</v>
      </c>
      <c r="X43" s="9">
        <v>2</v>
      </c>
    </row>
    <row r="44" spans="16:24">
      <c r="P44" s="5">
        <f t="shared" si="0"/>
        <v>3.7</v>
      </c>
      <c r="Q44" s="3">
        <v>4</v>
      </c>
      <c r="R44" s="3">
        <v>2</v>
      </c>
      <c r="S44" s="1">
        <f>Q44*$Q$2+R44*$R$2</f>
        <v>9</v>
      </c>
      <c r="T44" s="7">
        <f>S44*(1+$S$5)</f>
        <v>9</v>
      </c>
      <c r="U44" s="7">
        <f>(Q44*$Q$3+R44*$R$3)*(1+$S$5)</f>
        <v>10</v>
      </c>
      <c r="V44" s="4">
        <f>(Q44*$Q$4+R44*$R$4)*(1+$S$5)</f>
        <v>10</v>
      </c>
      <c r="W44" s="8">
        <f>(R44*$Q$5+S44*$R$5)*($S$5)+X44</f>
        <v>2</v>
      </c>
      <c r="X44" s="9">
        <v>2</v>
      </c>
    </row>
    <row r="45" spans="16:24">
      <c r="P45" s="5">
        <f t="shared" si="0"/>
        <v>3.8</v>
      </c>
      <c r="Q45" s="3">
        <v>4</v>
      </c>
      <c r="R45" s="3">
        <v>2</v>
      </c>
      <c r="S45" s="1">
        <f>Q45*$Q$2+R45*$R$2</f>
        <v>9</v>
      </c>
      <c r="T45" s="7">
        <f>S45*(1+$S$5)</f>
        <v>9</v>
      </c>
      <c r="U45" s="7">
        <f>(Q45*$Q$3+R45*$R$3)*(1+$S$5)</f>
        <v>10</v>
      </c>
      <c r="V45" s="4">
        <f>(Q45*$Q$4+R45*$R$4)*(1+$S$5)</f>
        <v>10</v>
      </c>
      <c r="W45" s="8">
        <f>(R45*$Q$5+S45*$R$5)*($S$5)+X45</f>
        <v>2</v>
      </c>
      <c r="X45" s="9">
        <v>2</v>
      </c>
    </row>
    <row r="46" spans="16:24">
      <c r="P46" s="5">
        <f t="shared" si="0"/>
        <v>3.9</v>
      </c>
      <c r="Q46" s="3">
        <v>4</v>
      </c>
      <c r="R46" s="3">
        <v>2</v>
      </c>
      <c r="S46" s="1">
        <f>Q46*$Q$2+R46*$R$2</f>
        <v>9</v>
      </c>
      <c r="T46" s="7">
        <f>S46*(1+$S$5)</f>
        <v>9</v>
      </c>
      <c r="U46" s="7">
        <f>(Q46*$Q$3+R46*$R$3)*(1+$S$5)</f>
        <v>10</v>
      </c>
      <c r="V46" s="4">
        <f>(Q46*$Q$4+R46*$R$4)*(1+$S$5)</f>
        <v>10</v>
      </c>
      <c r="W46" s="8">
        <f>(R46*$Q$5+S46*$R$5)*($S$5)+X46</f>
        <v>2</v>
      </c>
      <c r="X46" s="9">
        <v>2</v>
      </c>
    </row>
    <row r="47" spans="16:24">
      <c r="P47" s="5">
        <f t="shared" si="0"/>
        <v>4</v>
      </c>
      <c r="Q47" s="3">
        <v>5</v>
      </c>
      <c r="R47" s="3">
        <v>2</v>
      </c>
      <c r="S47" s="1">
        <f>Q47*$Q$2+R47*$R$2</f>
        <v>10.75</v>
      </c>
      <c r="T47" s="7">
        <f>S47*(1+$S$5)</f>
        <v>10.75</v>
      </c>
      <c r="U47" s="7">
        <f>(Q47*$Q$3+R47*$R$3)*(1+$S$5)</f>
        <v>12</v>
      </c>
      <c r="V47" s="4">
        <f>(Q47*$Q$4+R47*$R$4)*(1+$S$5)</f>
        <v>12</v>
      </c>
      <c r="W47" s="8">
        <f>(R47*$Q$5+S47*$R$5)*($S$5)+X47</f>
        <v>2</v>
      </c>
      <c r="X47" s="9">
        <v>2</v>
      </c>
    </row>
    <row r="48" spans="16:24">
      <c r="P48" s="5">
        <f t="shared" si="0"/>
        <v>4.1</v>
      </c>
      <c r="Q48" s="3">
        <v>5</v>
      </c>
      <c r="R48" s="3">
        <v>2</v>
      </c>
      <c r="S48" s="1">
        <f>Q48*$Q$2+R48*$R$2</f>
        <v>10.75</v>
      </c>
      <c r="T48" s="7">
        <f>S48*(1+$S$5)</f>
        <v>10.75</v>
      </c>
      <c r="U48" s="7">
        <f>(Q48*$Q$3+R48*$R$3)*(1+$S$5)</f>
        <v>12</v>
      </c>
      <c r="V48" s="4">
        <f>(Q48*$Q$4+R48*$R$4)*(1+$S$5)</f>
        <v>12</v>
      </c>
      <c r="W48" s="8">
        <f>(R48*$Q$5+S48*$R$5)*($S$5)+X48</f>
        <v>2</v>
      </c>
      <c r="X48" s="9">
        <v>2</v>
      </c>
    </row>
    <row r="49" spans="16:24">
      <c r="P49" s="5">
        <f t="shared" si="0"/>
        <v>4.2</v>
      </c>
      <c r="Q49" s="3">
        <v>5</v>
      </c>
      <c r="R49" s="3">
        <v>2</v>
      </c>
      <c r="S49" s="1">
        <f>Q49*$Q$2+R49*$R$2</f>
        <v>10.75</v>
      </c>
      <c r="T49" s="7">
        <f>S49*(1+$S$5)</f>
        <v>10.75</v>
      </c>
      <c r="U49" s="7">
        <f>(Q49*$Q$3+R49*$R$3)*(1+$S$5)</f>
        <v>12</v>
      </c>
      <c r="V49" s="4">
        <f>(Q49*$Q$4+R49*$R$4)*(1+$S$5)</f>
        <v>12</v>
      </c>
      <c r="W49" s="8">
        <f>(R49*$Q$5+S49*$R$5)*($S$5)+X49</f>
        <v>2</v>
      </c>
      <c r="X49" s="9">
        <v>2</v>
      </c>
    </row>
    <row r="50" spans="16:24">
      <c r="P50" s="5">
        <f t="shared" si="0"/>
        <v>4.3</v>
      </c>
      <c r="Q50" s="3">
        <v>5</v>
      </c>
      <c r="R50" s="3">
        <v>2</v>
      </c>
      <c r="S50" s="1">
        <f>Q50*$Q$2+R50*$R$2</f>
        <v>10.75</v>
      </c>
      <c r="T50" s="7">
        <f>S50*(1+$S$5)</f>
        <v>10.75</v>
      </c>
      <c r="U50" s="7">
        <f>(Q50*$Q$3+R50*$R$3)*(1+$S$5)</f>
        <v>12</v>
      </c>
      <c r="V50" s="4">
        <f>(Q50*$Q$4+R50*$R$4)*(1+$S$5)</f>
        <v>12</v>
      </c>
      <c r="W50" s="8">
        <f>(R50*$Q$5+S50*$R$5)*($S$5)+X50</f>
        <v>2</v>
      </c>
      <c r="X50" s="9">
        <v>2</v>
      </c>
    </row>
    <row r="51" spans="16:24">
      <c r="P51" s="5">
        <f t="shared" si="0"/>
        <v>4.4</v>
      </c>
      <c r="Q51" s="3">
        <v>5</v>
      </c>
      <c r="R51" s="3">
        <v>2</v>
      </c>
      <c r="S51" s="1">
        <f>Q51*$Q$2+R51*$R$2</f>
        <v>10.75</v>
      </c>
      <c r="T51" s="7">
        <f>S51*(1+$S$5)</f>
        <v>10.75</v>
      </c>
      <c r="U51" s="7">
        <f>(Q51*$Q$3+R51*$R$3)*(1+$S$5)</f>
        <v>12</v>
      </c>
      <c r="V51" s="4">
        <f>(Q51*$Q$4+R51*$R$4)*(1+$S$5)</f>
        <v>12</v>
      </c>
      <c r="W51" s="8">
        <f>(R51*$Q$5+S51*$R$5)*($S$5)+X51</f>
        <v>2</v>
      </c>
      <c r="X51" s="9">
        <v>2</v>
      </c>
    </row>
    <row r="52" spans="16:24">
      <c r="P52" s="5">
        <f t="shared" si="0"/>
        <v>4.5</v>
      </c>
      <c r="Q52" s="3">
        <v>5</v>
      </c>
      <c r="R52" s="3">
        <v>2</v>
      </c>
      <c r="S52" s="1">
        <f>Q52*$Q$2+R52*$R$2</f>
        <v>10.75</v>
      </c>
      <c r="T52" s="7">
        <f>S52*(1+$S$5)</f>
        <v>10.75</v>
      </c>
      <c r="U52" s="7">
        <f>(Q52*$Q$3+R52*$R$3)*(1+$S$5)</f>
        <v>12</v>
      </c>
      <c r="V52" s="4">
        <f>(Q52*$Q$4+R52*$R$4)*(1+$S$5)</f>
        <v>12</v>
      </c>
      <c r="W52" s="8">
        <f>(R52*$Q$5+S52*$R$5)*($S$5)+X52</f>
        <v>2</v>
      </c>
      <c r="X52" s="9">
        <v>2</v>
      </c>
    </row>
    <row r="53" spans="16:24">
      <c r="P53" s="5">
        <f t="shared" si="0"/>
        <v>4.6</v>
      </c>
      <c r="Q53" s="3">
        <v>5</v>
      </c>
      <c r="R53" s="3">
        <v>2</v>
      </c>
      <c r="S53" s="1">
        <f>Q53*$Q$2+R53*$R$2</f>
        <v>10.75</v>
      </c>
      <c r="T53" s="7">
        <f>S53*(1+$S$5)</f>
        <v>10.75</v>
      </c>
      <c r="U53" s="7">
        <f>(Q53*$Q$3+R53*$R$3)*(1+$S$5)</f>
        <v>12</v>
      </c>
      <c r="V53" s="4">
        <f>(Q53*$Q$4+R53*$R$4)*(1+$S$5)</f>
        <v>12</v>
      </c>
      <c r="W53" s="8">
        <f>(R53*$Q$5+S53*$R$5)*($S$5)+X53</f>
        <v>2</v>
      </c>
      <c r="X53" s="9">
        <v>2</v>
      </c>
    </row>
    <row r="54" spans="16:24">
      <c r="P54" s="5">
        <f t="shared" si="0"/>
        <v>4.7</v>
      </c>
      <c r="Q54" s="3">
        <v>5</v>
      </c>
      <c r="R54" s="3">
        <v>2</v>
      </c>
      <c r="S54" s="1">
        <f>Q54*$Q$2+R54*$R$2</f>
        <v>10.75</v>
      </c>
      <c r="T54" s="7">
        <f>S54*(1+$S$5)</f>
        <v>10.75</v>
      </c>
      <c r="U54" s="7">
        <f>(Q54*$Q$3+R54*$R$3)*(1+$S$5)</f>
        <v>12</v>
      </c>
      <c r="V54" s="4">
        <f>(Q54*$Q$4+R54*$R$4)*(1+$S$5)</f>
        <v>12</v>
      </c>
      <c r="W54" s="8">
        <f>(R54*$Q$5+S54*$R$5)*($S$5)+X54</f>
        <v>2</v>
      </c>
      <c r="X54" s="9">
        <v>2</v>
      </c>
    </row>
    <row r="55" spans="16:24">
      <c r="P55" s="5">
        <f t="shared" si="0"/>
        <v>4.8</v>
      </c>
      <c r="Q55" s="3">
        <v>5</v>
      </c>
      <c r="R55" s="3">
        <v>2</v>
      </c>
      <c r="S55" s="1">
        <f>Q55*$Q$2+R55*$R$2</f>
        <v>10.75</v>
      </c>
      <c r="T55" s="7">
        <f>S55*(1+$S$5)</f>
        <v>10.75</v>
      </c>
      <c r="U55" s="7">
        <f>(Q55*$Q$3+R55*$R$3)*(1+$S$5)</f>
        <v>12</v>
      </c>
      <c r="V55" s="4">
        <f>(Q55*$Q$4+R55*$R$4)*(1+$S$5)</f>
        <v>12</v>
      </c>
      <c r="W55" s="8">
        <f>(R55*$Q$5+S55*$R$5)*($S$5)+X55</f>
        <v>2</v>
      </c>
      <c r="X55" s="9">
        <v>2</v>
      </c>
    </row>
    <row r="56" spans="16:24">
      <c r="P56" s="5">
        <f t="shared" si="0"/>
        <v>4.9</v>
      </c>
      <c r="Q56" s="3">
        <v>5</v>
      </c>
      <c r="R56" s="3">
        <v>2</v>
      </c>
      <c r="S56" s="1">
        <f>Q56*$Q$2+R56*$R$2</f>
        <v>10.75</v>
      </c>
      <c r="T56" s="7">
        <f>S56*(1+$S$5)</f>
        <v>10.75</v>
      </c>
      <c r="U56" s="7">
        <f>(Q56*$Q$3+R56*$R$3)*(1+$S$5)</f>
        <v>12</v>
      </c>
      <c r="V56" s="4">
        <f>(Q56*$Q$4+R56*$R$4)*(1+$S$5)</f>
        <v>12</v>
      </c>
      <c r="W56" s="8">
        <f>(R56*$Q$5+S56*$R$5)*($S$5)+X56</f>
        <v>2</v>
      </c>
      <c r="X56" s="9">
        <v>2</v>
      </c>
    </row>
    <row r="57" spans="16:24">
      <c r="P57" s="5">
        <f t="shared" si="0"/>
        <v>5</v>
      </c>
      <c r="Q57" s="3">
        <v>6</v>
      </c>
      <c r="R57" s="3">
        <v>2</v>
      </c>
      <c r="S57" s="1">
        <f>Q57*$Q$2+R57*$R$2</f>
        <v>12.5</v>
      </c>
      <c r="T57" s="7">
        <f>S57*(1+$S$5)</f>
        <v>12.5</v>
      </c>
      <c r="U57" s="7">
        <f>(Q57*$Q$3+R57*$R$3)*(1+$S$5)</f>
        <v>14</v>
      </c>
      <c r="V57" s="4">
        <f>(Q57*$Q$4+R57*$R$4)*(1+$S$5)</f>
        <v>14</v>
      </c>
      <c r="W57" s="8">
        <f>(R57*$Q$5+S57*$R$5)*($S$5)+X57</f>
        <v>3</v>
      </c>
      <c r="X57" s="9">
        <v>3</v>
      </c>
    </row>
    <row r="58" spans="16:24">
      <c r="P58" s="5">
        <f t="shared" si="0"/>
        <v>5.1</v>
      </c>
      <c r="Q58" s="3">
        <v>6</v>
      </c>
      <c r="R58" s="3">
        <v>2</v>
      </c>
      <c r="S58" s="1">
        <f>Q58*$Q$2+R58*$R$2</f>
        <v>12.5</v>
      </c>
      <c r="T58" s="7">
        <f>S58*(1+$S$5)</f>
        <v>12.5</v>
      </c>
      <c r="U58" s="7">
        <f>(Q58*$Q$3+R58*$R$3)*(1+$S$5)</f>
        <v>14</v>
      </c>
      <c r="V58" s="4">
        <f>(Q58*$Q$4+R58*$R$4)*(1+$S$5)</f>
        <v>14</v>
      </c>
      <c r="W58" s="8">
        <f>(R58*$Q$5+S58*$R$5)*($S$5)+X58</f>
        <v>3</v>
      </c>
      <c r="X58" s="9">
        <v>3</v>
      </c>
    </row>
    <row r="59" spans="16:24">
      <c r="P59" s="5">
        <f t="shared" si="0"/>
        <v>5.2</v>
      </c>
      <c r="Q59" s="3">
        <v>6</v>
      </c>
      <c r="R59" s="3">
        <v>2</v>
      </c>
      <c r="S59" s="1">
        <f>Q59*$Q$2+R59*$R$2</f>
        <v>12.5</v>
      </c>
      <c r="T59" s="7">
        <f>S59*(1+$S$5)</f>
        <v>12.5</v>
      </c>
      <c r="U59" s="7">
        <f>(Q59*$Q$3+R59*$R$3)*(1+$S$5)</f>
        <v>14</v>
      </c>
      <c r="V59" s="4">
        <f>(Q59*$Q$4+R59*$R$4)*(1+$S$5)</f>
        <v>14</v>
      </c>
      <c r="W59" s="8">
        <f>(R59*$Q$5+S59*$R$5)*($S$5)+X59</f>
        <v>3</v>
      </c>
      <c r="X59" s="9">
        <v>3</v>
      </c>
    </row>
    <row r="60" spans="16:24">
      <c r="P60" s="5">
        <f t="shared" si="0"/>
        <v>5.3</v>
      </c>
      <c r="Q60" s="3">
        <v>6</v>
      </c>
      <c r="R60" s="3">
        <v>2</v>
      </c>
      <c r="S60" s="1">
        <f>Q60*$Q$2+R60*$R$2</f>
        <v>12.5</v>
      </c>
      <c r="T60" s="7">
        <f>S60*(1+$S$5)</f>
        <v>12.5</v>
      </c>
      <c r="U60" s="7">
        <f>(Q60*$Q$3+R60*$R$3)*(1+$S$5)</f>
        <v>14</v>
      </c>
      <c r="V60" s="4">
        <f>(Q60*$Q$4+R60*$R$4)*(1+$S$5)</f>
        <v>14</v>
      </c>
      <c r="W60" s="8">
        <f>(R60*$Q$5+S60*$R$5)*($S$5)+X60</f>
        <v>3</v>
      </c>
      <c r="X60" s="9">
        <v>3</v>
      </c>
    </row>
    <row r="61" spans="16:24">
      <c r="P61" s="5">
        <f t="shared" si="0"/>
        <v>5.4</v>
      </c>
      <c r="Q61" s="3">
        <v>6</v>
      </c>
      <c r="R61" s="3">
        <v>2</v>
      </c>
      <c r="S61" s="1">
        <f>Q61*$Q$2+R61*$R$2</f>
        <v>12.5</v>
      </c>
      <c r="T61" s="7">
        <f>S61*(1+$S$5)</f>
        <v>12.5</v>
      </c>
      <c r="U61" s="7">
        <f>(Q61*$Q$3+R61*$R$3)*(1+$S$5)</f>
        <v>14</v>
      </c>
      <c r="V61" s="4">
        <f>(Q61*$Q$4+R61*$R$4)*(1+$S$5)</f>
        <v>14</v>
      </c>
      <c r="W61" s="8">
        <f>(R61*$Q$5+S61*$R$5)*($S$5)+X61</f>
        <v>3</v>
      </c>
      <c r="X61" s="9">
        <v>3</v>
      </c>
    </row>
    <row r="62" spans="16:24">
      <c r="P62" s="5">
        <f t="shared" si="0"/>
        <v>5.5</v>
      </c>
      <c r="Q62" s="3">
        <v>6</v>
      </c>
      <c r="R62" s="3">
        <v>2</v>
      </c>
      <c r="S62" s="1">
        <f>Q62*$Q$2+R62*$R$2</f>
        <v>12.5</v>
      </c>
      <c r="T62" s="7">
        <f>S62*(1+$S$5)</f>
        <v>12.5</v>
      </c>
      <c r="U62" s="7">
        <f>(Q62*$Q$3+R62*$R$3)*(1+$S$5)</f>
        <v>14</v>
      </c>
      <c r="V62" s="4">
        <f>(Q62*$Q$4+R62*$R$4)*(1+$S$5)</f>
        <v>14</v>
      </c>
      <c r="W62" s="8">
        <f>(R62*$Q$5+S62*$R$5)*($S$5)+X62</f>
        <v>3</v>
      </c>
      <c r="X62" s="9">
        <v>3</v>
      </c>
    </row>
    <row r="63" spans="16:24">
      <c r="P63" s="5">
        <f t="shared" si="0"/>
        <v>5.6</v>
      </c>
      <c r="Q63" s="3">
        <v>6</v>
      </c>
      <c r="R63" s="3">
        <v>2</v>
      </c>
      <c r="S63" s="1">
        <f>Q63*$Q$2+R63*$R$2</f>
        <v>12.5</v>
      </c>
      <c r="T63" s="7">
        <f>S63*(1+$S$5)</f>
        <v>12.5</v>
      </c>
      <c r="U63" s="7">
        <f>(Q63*$Q$3+R63*$R$3)*(1+$S$5)</f>
        <v>14</v>
      </c>
      <c r="V63" s="4">
        <f>(Q63*$Q$4+R63*$R$4)*(1+$S$5)</f>
        <v>14</v>
      </c>
      <c r="W63" s="8">
        <f>(R63*$Q$5+S63*$R$5)*($S$5)+X63</f>
        <v>3</v>
      </c>
      <c r="X63" s="9">
        <v>3</v>
      </c>
    </row>
    <row r="64" spans="16:24">
      <c r="P64" s="5">
        <f t="shared" si="0"/>
        <v>5.7</v>
      </c>
      <c r="Q64" s="3">
        <v>6</v>
      </c>
      <c r="R64" s="3">
        <v>2</v>
      </c>
      <c r="S64" s="1">
        <f>Q64*$Q$2+R64*$R$2</f>
        <v>12.5</v>
      </c>
      <c r="T64" s="7">
        <f>S64*(1+$S$5)</f>
        <v>12.5</v>
      </c>
      <c r="U64" s="7">
        <f>(Q64*$Q$3+R64*$R$3)*(1+$S$5)</f>
        <v>14</v>
      </c>
      <c r="V64" s="4">
        <f>(Q64*$Q$4+R64*$R$4)*(1+$S$5)</f>
        <v>14</v>
      </c>
      <c r="W64" s="8">
        <f>(R64*$Q$5+S64*$R$5)*($S$5)+X64</f>
        <v>3</v>
      </c>
      <c r="X64" s="9">
        <v>3</v>
      </c>
    </row>
    <row r="65" spans="16:24">
      <c r="P65" s="5">
        <f t="shared" si="0"/>
        <v>5.8</v>
      </c>
      <c r="Q65" s="3">
        <v>6</v>
      </c>
      <c r="R65" s="3">
        <v>2</v>
      </c>
      <c r="S65" s="1">
        <f>Q65*$Q$2+R65*$R$2</f>
        <v>12.5</v>
      </c>
      <c r="T65" s="7">
        <f>S65*(1+$S$5)</f>
        <v>12.5</v>
      </c>
      <c r="U65" s="7">
        <f>(Q65*$Q$3+R65*$R$3)*(1+$S$5)</f>
        <v>14</v>
      </c>
      <c r="V65" s="4">
        <f>(Q65*$Q$4+R65*$R$4)*(1+$S$5)</f>
        <v>14</v>
      </c>
      <c r="W65" s="8">
        <f>(R65*$Q$5+S65*$R$5)*($S$5)+X65</f>
        <v>3</v>
      </c>
      <c r="X65" s="9">
        <v>3</v>
      </c>
    </row>
    <row r="66" spans="16:24">
      <c r="P66" s="5">
        <f t="shared" si="0"/>
        <v>5.9</v>
      </c>
      <c r="Q66" s="3">
        <v>6</v>
      </c>
      <c r="R66" s="3">
        <v>2</v>
      </c>
      <c r="S66" s="1">
        <f>Q66*$Q$2+R66*$R$2</f>
        <v>12.5</v>
      </c>
      <c r="T66" s="7">
        <f>S66*(1+$S$5)</f>
        <v>12.5</v>
      </c>
      <c r="U66" s="7">
        <f>(Q66*$Q$3+R66*$R$3)*(1+$S$5)</f>
        <v>14</v>
      </c>
      <c r="V66" s="4">
        <f>(Q66*$Q$4+R66*$R$4)*(1+$S$5)</f>
        <v>14</v>
      </c>
      <c r="W66" s="8">
        <f>(R66*$Q$5+S66*$R$5)*($S$5)+X66</f>
        <v>3</v>
      </c>
      <c r="X66" s="9">
        <v>3</v>
      </c>
    </row>
    <row r="67" spans="16:24">
      <c r="P67" s="5">
        <f t="shared" si="0"/>
        <v>5.99999999999999</v>
      </c>
      <c r="Q67" s="3">
        <v>7</v>
      </c>
      <c r="R67" s="3">
        <v>3</v>
      </c>
      <c r="S67" s="1">
        <f>Q67*$Q$2+R67*$R$2</f>
        <v>15.25</v>
      </c>
      <c r="T67" s="7">
        <f>S67*(1+$S$5)</f>
        <v>15.25</v>
      </c>
      <c r="U67" s="7">
        <f>(Q67*$Q$3+R67*$R$3)*(1+$S$5)</f>
        <v>17</v>
      </c>
      <c r="V67" s="4">
        <f>(Q67*$Q$4+R67*$R$4)*(1+$S$5)</f>
        <v>17</v>
      </c>
      <c r="W67" s="8">
        <f>(R67*$Q$5+S67*$R$5)*($S$5)+X67</f>
        <v>3</v>
      </c>
      <c r="X67" s="9">
        <v>3</v>
      </c>
    </row>
    <row r="68" spans="16:24">
      <c r="P68" s="5">
        <f t="shared" si="0"/>
        <v>6.09999999999999</v>
      </c>
      <c r="Q68" s="3">
        <v>7</v>
      </c>
      <c r="R68" s="3">
        <v>3</v>
      </c>
      <c r="S68" s="1">
        <f>Q68*$Q$2+R68*$R$2</f>
        <v>15.25</v>
      </c>
      <c r="T68" s="7">
        <f>S68*(1+$S$5)</f>
        <v>15.25</v>
      </c>
      <c r="U68" s="7">
        <f>(Q68*$Q$3+R68*$R$3)*(1+$S$5)</f>
        <v>17</v>
      </c>
      <c r="V68" s="4">
        <f>(Q68*$Q$4+R68*$R$4)*(1+$S$5)</f>
        <v>17</v>
      </c>
      <c r="W68" s="8">
        <f>(R68*$Q$5+S68*$R$5)*($S$5)+X68</f>
        <v>3</v>
      </c>
      <c r="X68" s="9">
        <v>3</v>
      </c>
    </row>
    <row r="69" spans="16:24">
      <c r="P69" s="5">
        <f t="shared" si="0"/>
        <v>6.19999999999999</v>
      </c>
      <c r="Q69" s="3">
        <v>7</v>
      </c>
      <c r="R69" s="3">
        <v>3</v>
      </c>
      <c r="S69" s="1">
        <f>Q69*$Q$2+R69*$R$2</f>
        <v>15.25</v>
      </c>
      <c r="T69" s="7">
        <f>S69*(1+$S$5)</f>
        <v>15.25</v>
      </c>
      <c r="U69" s="7">
        <f>(Q69*$Q$3+R69*$R$3)*(1+$S$5)</f>
        <v>17</v>
      </c>
      <c r="V69" s="4">
        <f>(Q69*$Q$4+R69*$R$4)*(1+$S$5)</f>
        <v>17</v>
      </c>
      <c r="W69" s="8">
        <f>(R69*$Q$5+S69*$R$5)*($S$5)+X69</f>
        <v>3</v>
      </c>
      <c r="X69" s="9">
        <v>3</v>
      </c>
    </row>
    <row r="70" spans="16:24">
      <c r="P70" s="5">
        <f t="shared" si="0"/>
        <v>6.29999999999999</v>
      </c>
      <c r="Q70" s="3">
        <v>7</v>
      </c>
      <c r="R70" s="3">
        <v>3</v>
      </c>
      <c r="S70" s="1">
        <f>Q70*$Q$2+R70*$R$2</f>
        <v>15.25</v>
      </c>
      <c r="T70" s="7">
        <f>S70*(1+$S$5)</f>
        <v>15.25</v>
      </c>
      <c r="U70" s="7">
        <f>(Q70*$Q$3+R70*$R$3)*(1+$S$5)</f>
        <v>17</v>
      </c>
      <c r="V70" s="4">
        <f>(Q70*$Q$4+R70*$R$4)*(1+$S$5)</f>
        <v>17</v>
      </c>
      <c r="W70" s="8">
        <f>(R70*$Q$5+S70*$R$5)*($S$5)+X70</f>
        <v>3</v>
      </c>
      <c r="X70" s="9">
        <v>3</v>
      </c>
    </row>
    <row r="71" spans="16:24">
      <c r="P71" s="5">
        <f t="shared" si="0"/>
        <v>6.39999999999999</v>
      </c>
      <c r="Q71" s="3">
        <v>7</v>
      </c>
      <c r="R71" s="3">
        <v>3</v>
      </c>
      <c r="S71" s="1">
        <f>Q71*$Q$2+R71*$R$2</f>
        <v>15.25</v>
      </c>
      <c r="T71" s="7">
        <f>S71*(1+$S$5)</f>
        <v>15.25</v>
      </c>
      <c r="U71" s="7">
        <f>(Q71*$Q$3+R71*$R$3)*(1+$S$5)</f>
        <v>17</v>
      </c>
      <c r="V71" s="4">
        <f>(Q71*$Q$4+R71*$R$4)*(1+$S$5)</f>
        <v>17</v>
      </c>
      <c r="W71" s="8">
        <f>(R71*$Q$5+S71*$R$5)*($S$5)+X71</f>
        <v>3</v>
      </c>
      <c r="X71" s="9">
        <v>3</v>
      </c>
    </row>
    <row r="72" spans="16:24">
      <c r="P72" s="5">
        <f t="shared" ref="P72:P135" si="1">0.1+P71</f>
        <v>6.49999999999999</v>
      </c>
      <c r="Q72" s="3">
        <v>7</v>
      </c>
      <c r="R72" s="3">
        <v>3</v>
      </c>
      <c r="S72" s="1">
        <f>Q72*$Q$2+R72*$R$2</f>
        <v>15.25</v>
      </c>
      <c r="T72" s="7">
        <f>S72*(1+$S$5)</f>
        <v>15.25</v>
      </c>
      <c r="U72" s="7">
        <f>(Q72*$Q$3+R72*$R$3)*(1+$S$5)</f>
        <v>17</v>
      </c>
      <c r="V72" s="4">
        <f>(Q72*$Q$4+R72*$R$4)*(1+$S$5)</f>
        <v>17</v>
      </c>
      <c r="W72" s="8">
        <f>(R72*$Q$5+S72*$R$5)*($S$5)+X72</f>
        <v>3</v>
      </c>
      <c r="X72" s="9">
        <v>3</v>
      </c>
    </row>
    <row r="73" spans="16:24">
      <c r="P73" s="5">
        <f t="shared" si="1"/>
        <v>6.59999999999999</v>
      </c>
      <c r="Q73" s="3">
        <v>7</v>
      </c>
      <c r="R73" s="3">
        <v>3</v>
      </c>
      <c r="S73" s="1">
        <f>Q73*$Q$2+R73*$R$2</f>
        <v>15.25</v>
      </c>
      <c r="T73" s="7">
        <f>S73*(1+$S$5)</f>
        <v>15.25</v>
      </c>
      <c r="U73" s="7">
        <f>(Q73*$Q$3+R73*$R$3)*(1+$S$5)</f>
        <v>17</v>
      </c>
      <c r="V73" s="4">
        <f>(Q73*$Q$4+R73*$R$4)*(1+$S$5)</f>
        <v>17</v>
      </c>
      <c r="W73" s="8">
        <f>(R73*$Q$5+S73*$R$5)*($S$5)+X73</f>
        <v>3</v>
      </c>
      <c r="X73" s="9">
        <v>3</v>
      </c>
    </row>
    <row r="74" spans="16:24">
      <c r="P74" s="5">
        <f t="shared" si="1"/>
        <v>6.69999999999999</v>
      </c>
      <c r="Q74" s="3">
        <v>7</v>
      </c>
      <c r="R74" s="3">
        <v>3</v>
      </c>
      <c r="S74" s="1">
        <f>Q74*$Q$2+R74*$R$2</f>
        <v>15.25</v>
      </c>
      <c r="T74" s="7">
        <f>S74*(1+$S$5)</f>
        <v>15.25</v>
      </c>
      <c r="U74" s="7">
        <f>(Q74*$Q$3+R74*$R$3)*(1+$S$5)</f>
        <v>17</v>
      </c>
      <c r="V74" s="4">
        <f>(Q74*$Q$4+R74*$R$4)*(1+$S$5)</f>
        <v>17</v>
      </c>
      <c r="W74" s="8">
        <f>(R74*$Q$5+S74*$R$5)*($S$5)+X74</f>
        <v>3</v>
      </c>
      <c r="X74" s="9">
        <v>3</v>
      </c>
    </row>
    <row r="75" spans="16:24">
      <c r="P75" s="5">
        <f t="shared" si="1"/>
        <v>6.79999999999999</v>
      </c>
      <c r="Q75" s="3">
        <v>7</v>
      </c>
      <c r="R75" s="3">
        <v>3</v>
      </c>
      <c r="S75" s="1">
        <f>Q75*$Q$2+R75*$R$2</f>
        <v>15.25</v>
      </c>
      <c r="T75" s="7">
        <f>S75*(1+$S$5)</f>
        <v>15.25</v>
      </c>
      <c r="U75" s="7">
        <f>(Q75*$Q$3+R75*$R$3)*(1+$S$5)</f>
        <v>17</v>
      </c>
      <c r="V75" s="4">
        <f>(Q75*$Q$4+R75*$R$4)*(1+$S$5)</f>
        <v>17</v>
      </c>
      <c r="W75" s="8">
        <f>(R75*$Q$5+S75*$R$5)*($S$5)+X75</f>
        <v>3</v>
      </c>
      <c r="X75" s="9">
        <v>3</v>
      </c>
    </row>
    <row r="76" spans="16:24">
      <c r="P76" s="5">
        <f t="shared" si="1"/>
        <v>6.89999999999999</v>
      </c>
      <c r="Q76" s="3">
        <v>7</v>
      </c>
      <c r="R76" s="3">
        <v>3</v>
      </c>
      <c r="S76" s="1">
        <f>Q76*$Q$2+R76*$R$2</f>
        <v>15.25</v>
      </c>
      <c r="T76" s="7">
        <f>S76*(1+$S$5)</f>
        <v>15.25</v>
      </c>
      <c r="U76" s="7">
        <f>(Q76*$Q$3+R76*$R$3)*(1+$S$5)</f>
        <v>17</v>
      </c>
      <c r="V76" s="4">
        <f>(Q76*$Q$4+R76*$R$4)*(1+$S$5)</f>
        <v>17</v>
      </c>
      <c r="W76" s="8">
        <f>(R76*$Q$5+S76*$R$5)*($S$5)+X76</f>
        <v>3</v>
      </c>
      <c r="X76" s="9">
        <v>3</v>
      </c>
    </row>
    <row r="77" spans="16:24">
      <c r="P77" s="5">
        <f t="shared" si="1"/>
        <v>6.99999999999999</v>
      </c>
      <c r="Q77" s="3">
        <v>8</v>
      </c>
      <c r="R77" s="3">
        <v>3</v>
      </c>
      <c r="S77" s="1">
        <f>Q77*$Q$2+R77*$R$2</f>
        <v>17</v>
      </c>
      <c r="T77" s="7">
        <f>S77*(1+$S$5)</f>
        <v>17</v>
      </c>
      <c r="U77" s="7">
        <f>(Q77*$Q$3+R77*$R$3)*(1+$S$5)</f>
        <v>19</v>
      </c>
      <c r="V77" s="4">
        <f>(Q77*$Q$4+R77*$R$4)*(1+$S$5)</f>
        <v>19</v>
      </c>
      <c r="W77" s="8">
        <f>(R77*$Q$5+S77*$R$5)*($S$5)+X77</f>
        <v>3</v>
      </c>
      <c r="X77" s="9">
        <v>3</v>
      </c>
    </row>
    <row r="78" spans="16:24">
      <c r="P78" s="5">
        <f t="shared" si="1"/>
        <v>7.09999999999999</v>
      </c>
      <c r="Q78" s="3">
        <v>8</v>
      </c>
      <c r="R78" s="3">
        <v>3</v>
      </c>
      <c r="S78" s="1">
        <f>Q78*$Q$2+R78*$R$2</f>
        <v>17</v>
      </c>
      <c r="T78" s="7">
        <f>S78*(1+$S$5)</f>
        <v>17</v>
      </c>
      <c r="U78" s="7">
        <f>(Q78*$Q$3+R78*$R$3)*(1+$S$5)</f>
        <v>19</v>
      </c>
      <c r="V78" s="4">
        <f>(Q78*$Q$4+R78*$R$4)*(1+$S$5)</f>
        <v>19</v>
      </c>
      <c r="W78" s="8">
        <f>(R78*$Q$5+S78*$R$5)*($S$5)+X78</f>
        <v>3</v>
      </c>
      <c r="X78" s="9">
        <v>3</v>
      </c>
    </row>
    <row r="79" spans="16:24">
      <c r="P79" s="5">
        <f t="shared" si="1"/>
        <v>7.19999999999999</v>
      </c>
      <c r="Q79" s="3">
        <v>8</v>
      </c>
      <c r="R79" s="3">
        <v>3</v>
      </c>
      <c r="S79" s="1">
        <f>Q79*$Q$2+R79*$R$2</f>
        <v>17</v>
      </c>
      <c r="T79" s="7">
        <f>S79*(1+$S$5)</f>
        <v>17</v>
      </c>
      <c r="U79" s="7">
        <f>(Q79*$Q$3+R79*$R$3)*(1+$S$5)</f>
        <v>19</v>
      </c>
      <c r="V79" s="4">
        <f>(Q79*$Q$4+R79*$R$4)*(1+$S$5)</f>
        <v>19</v>
      </c>
      <c r="W79" s="8">
        <f>(R79*$Q$5+S79*$R$5)*($S$5)+X79</f>
        <v>3</v>
      </c>
      <c r="X79" s="9">
        <v>3</v>
      </c>
    </row>
    <row r="80" spans="16:24">
      <c r="P80" s="5">
        <f t="shared" si="1"/>
        <v>7.29999999999999</v>
      </c>
      <c r="Q80" s="3">
        <v>8</v>
      </c>
      <c r="R80" s="3">
        <v>3</v>
      </c>
      <c r="S80" s="1">
        <f>Q80*$Q$2+R80*$R$2</f>
        <v>17</v>
      </c>
      <c r="T80" s="7">
        <f>S80*(1+$S$5)</f>
        <v>17</v>
      </c>
      <c r="U80" s="7">
        <f>(Q80*$Q$3+R80*$R$3)*(1+$S$5)</f>
        <v>19</v>
      </c>
      <c r="V80" s="4">
        <f>(Q80*$Q$4+R80*$R$4)*(1+$S$5)</f>
        <v>19</v>
      </c>
      <c r="W80" s="8">
        <f>(R80*$Q$5+S80*$R$5)*($S$5)+X80</f>
        <v>3</v>
      </c>
      <c r="X80" s="9">
        <v>3</v>
      </c>
    </row>
    <row r="81" spans="16:24">
      <c r="P81" s="5">
        <f t="shared" si="1"/>
        <v>7.39999999999999</v>
      </c>
      <c r="Q81" s="3">
        <v>8</v>
      </c>
      <c r="R81" s="3">
        <v>3</v>
      </c>
      <c r="S81" s="1">
        <f>Q81*$Q$2+R81*$R$2</f>
        <v>17</v>
      </c>
      <c r="T81" s="7">
        <f>S81*(1+$S$5)</f>
        <v>17</v>
      </c>
      <c r="U81" s="7">
        <f>(Q81*$Q$3+R81*$R$3)*(1+$S$5)</f>
        <v>19</v>
      </c>
      <c r="V81" s="4">
        <f>(Q81*$Q$4+R81*$R$4)*(1+$S$5)</f>
        <v>19</v>
      </c>
      <c r="W81" s="8">
        <f>(R81*$Q$5+S81*$R$5)*($S$5)+X81</f>
        <v>3</v>
      </c>
      <c r="X81" s="9">
        <v>3</v>
      </c>
    </row>
    <row r="82" spans="16:24">
      <c r="P82" s="5">
        <f t="shared" si="1"/>
        <v>7.49999999999999</v>
      </c>
      <c r="Q82" s="3">
        <v>8</v>
      </c>
      <c r="R82" s="3">
        <v>3</v>
      </c>
      <c r="S82" s="1">
        <f>Q82*$Q$2+R82*$R$2</f>
        <v>17</v>
      </c>
      <c r="T82" s="7">
        <f>S82*(1+$S$5)</f>
        <v>17</v>
      </c>
      <c r="U82" s="7">
        <f>(Q82*$Q$3+R82*$R$3)*(1+$S$5)</f>
        <v>19</v>
      </c>
      <c r="V82" s="4">
        <f>(Q82*$Q$4+R82*$R$4)*(1+$S$5)</f>
        <v>19</v>
      </c>
      <c r="W82" s="8">
        <f>(R82*$Q$5+S82*$R$5)*($S$5)+X82</f>
        <v>3</v>
      </c>
      <c r="X82" s="9">
        <v>3</v>
      </c>
    </row>
    <row r="83" spans="16:24">
      <c r="P83" s="5">
        <f t="shared" si="1"/>
        <v>7.59999999999999</v>
      </c>
      <c r="Q83" s="3">
        <v>8</v>
      </c>
      <c r="R83" s="3">
        <v>3</v>
      </c>
      <c r="S83" s="1">
        <f>Q83*$Q$2+R83*$R$2</f>
        <v>17</v>
      </c>
      <c r="T83" s="7">
        <f>S83*(1+$S$5)</f>
        <v>17</v>
      </c>
      <c r="U83" s="7">
        <f>(Q83*$Q$3+R83*$R$3)*(1+$S$5)</f>
        <v>19</v>
      </c>
      <c r="V83" s="4">
        <f>(Q83*$Q$4+R83*$R$4)*(1+$S$5)</f>
        <v>19</v>
      </c>
      <c r="W83" s="8">
        <f>(R83*$Q$5+S83*$R$5)*($S$5)+X83</f>
        <v>3</v>
      </c>
      <c r="X83" s="9">
        <v>3</v>
      </c>
    </row>
    <row r="84" spans="16:24">
      <c r="P84" s="5">
        <f t="shared" si="1"/>
        <v>7.69999999999999</v>
      </c>
      <c r="Q84" s="3">
        <v>8</v>
      </c>
      <c r="R84" s="3">
        <v>3</v>
      </c>
      <c r="S84" s="1">
        <f>Q84*$Q$2+R84*$R$2</f>
        <v>17</v>
      </c>
      <c r="T84" s="7">
        <f>S84*(1+$S$5)</f>
        <v>17</v>
      </c>
      <c r="U84" s="7">
        <f>(Q84*$Q$3+R84*$R$3)*(1+$S$5)</f>
        <v>19</v>
      </c>
      <c r="V84" s="4">
        <f>(Q84*$Q$4+R84*$R$4)*(1+$S$5)</f>
        <v>19</v>
      </c>
      <c r="W84" s="8">
        <f>(R84*$Q$5+S84*$R$5)*($S$5)+X84</f>
        <v>3</v>
      </c>
      <c r="X84" s="9">
        <v>3</v>
      </c>
    </row>
    <row r="85" spans="16:24">
      <c r="P85" s="5">
        <f t="shared" si="1"/>
        <v>7.79999999999999</v>
      </c>
      <c r="Q85" s="3">
        <v>8</v>
      </c>
      <c r="R85" s="3">
        <v>3</v>
      </c>
      <c r="S85" s="1">
        <f>Q85*$Q$2+R85*$R$2</f>
        <v>17</v>
      </c>
      <c r="T85" s="7">
        <f>S85*(1+$S$5)</f>
        <v>17</v>
      </c>
      <c r="U85" s="7">
        <f>(Q85*$Q$3+R85*$R$3)*(1+$S$5)</f>
        <v>19</v>
      </c>
      <c r="V85" s="4">
        <f>(Q85*$Q$4+R85*$R$4)*(1+$S$5)</f>
        <v>19</v>
      </c>
      <c r="W85" s="8">
        <f>(R85*$Q$5+S85*$R$5)*($S$5)+X85</f>
        <v>3</v>
      </c>
      <c r="X85" s="9">
        <v>3</v>
      </c>
    </row>
    <row r="86" spans="16:24">
      <c r="P86" s="5">
        <f t="shared" si="1"/>
        <v>7.89999999999999</v>
      </c>
      <c r="Q86" s="3">
        <v>8</v>
      </c>
      <c r="R86" s="3">
        <v>3</v>
      </c>
      <c r="S86" s="1">
        <f>Q86*$Q$2+R86*$R$2</f>
        <v>17</v>
      </c>
      <c r="T86" s="7">
        <f>S86*(1+$S$5)</f>
        <v>17</v>
      </c>
      <c r="U86" s="7">
        <f>(Q86*$Q$3+R86*$R$3)*(1+$S$5)</f>
        <v>19</v>
      </c>
      <c r="V86" s="4">
        <f>(Q86*$Q$4+R86*$R$4)*(1+$S$5)</f>
        <v>19</v>
      </c>
      <c r="W86" s="8">
        <f>(R86*$Q$5+S86*$R$5)*($S$5)+X86</f>
        <v>3</v>
      </c>
      <c r="X86" s="9">
        <v>3</v>
      </c>
    </row>
    <row r="87" spans="16:24">
      <c r="P87" s="5">
        <f t="shared" si="1"/>
        <v>7.99999999999999</v>
      </c>
      <c r="Q87" s="3">
        <v>9</v>
      </c>
      <c r="R87" s="3">
        <v>3</v>
      </c>
      <c r="S87" s="1">
        <f>Q87*$Q$2+R87*$R$2</f>
        <v>18.75</v>
      </c>
      <c r="T87" s="7">
        <f>S87*(1+$S$5)</f>
        <v>18.75</v>
      </c>
      <c r="U87" s="7">
        <f>(Q87*$Q$3+R87*$R$3)*(1+$S$5)</f>
        <v>21</v>
      </c>
      <c r="V87" s="4">
        <f>(Q87*$Q$4+R87*$R$4)*(1+$S$5)</f>
        <v>21</v>
      </c>
      <c r="W87" s="8">
        <f>(R87*$Q$5+S87*$R$5)*($S$5)+X87</f>
        <v>3</v>
      </c>
      <c r="X87" s="9">
        <v>3</v>
      </c>
    </row>
    <row r="88" spans="16:24">
      <c r="P88" s="5">
        <f t="shared" si="1"/>
        <v>8.09999999999999</v>
      </c>
      <c r="Q88" s="3">
        <v>9</v>
      </c>
      <c r="R88" s="3">
        <v>3</v>
      </c>
      <c r="S88" s="1">
        <f>Q88*$Q$2+R88*$R$2</f>
        <v>18.75</v>
      </c>
      <c r="T88" s="7">
        <f>S88*(1+$S$5)</f>
        <v>18.75</v>
      </c>
      <c r="U88" s="7">
        <f>(Q88*$Q$3+R88*$R$3)*(1+$S$5)</f>
        <v>21</v>
      </c>
      <c r="V88" s="4">
        <f>(Q88*$Q$4+R88*$R$4)*(1+$S$5)</f>
        <v>21</v>
      </c>
      <c r="W88" s="8">
        <f>(R88*$Q$5+S88*$R$5)*($S$5)+X88</f>
        <v>3</v>
      </c>
      <c r="X88" s="9">
        <v>3</v>
      </c>
    </row>
    <row r="89" spans="16:24">
      <c r="P89" s="5">
        <f t="shared" si="1"/>
        <v>8.19999999999999</v>
      </c>
      <c r="Q89" s="3">
        <v>9</v>
      </c>
      <c r="R89" s="3">
        <v>3</v>
      </c>
      <c r="S89" s="1">
        <f>Q89*$Q$2+R89*$R$2</f>
        <v>18.75</v>
      </c>
      <c r="T89" s="7">
        <f>S89*(1+$S$5)</f>
        <v>18.75</v>
      </c>
      <c r="U89" s="7">
        <f>(Q89*$Q$3+R89*$R$3)*(1+$S$5)</f>
        <v>21</v>
      </c>
      <c r="V89" s="4">
        <f>(Q89*$Q$4+R89*$R$4)*(1+$S$5)</f>
        <v>21</v>
      </c>
      <c r="W89" s="8">
        <f>(R89*$Q$5+S89*$R$5)*($S$5)+X89</f>
        <v>3</v>
      </c>
      <c r="X89" s="9">
        <v>3</v>
      </c>
    </row>
    <row r="90" spans="16:24">
      <c r="P90" s="5">
        <f t="shared" si="1"/>
        <v>8.29999999999999</v>
      </c>
      <c r="Q90" s="3">
        <v>9</v>
      </c>
      <c r="R90" s="3">
        <v>3</v>
      </c>
      <c r="S90" s="1">
        <f>Q90*$Q$2+R90*$R$2</f>
        <v>18.75</v>
      </c>
      <c r="T90" s="7">
        <f>S90*(1+$S$5)</f>
        <v>18.75</v>
      </c>
      <c r="U90" s="7">
        <f>(Q90*$Q$3+R90*$R$3)*(1+$S$5)</f>
        <v>21</v>
      </c>
      <c r="V90" s="4">
        <f>(Q90*$Q$4+R90*$R$4)*(1+$S$5)</f>
        <v>21</v>
      </c>
      <c r="W90" s="8">
        <f>(R90*$Q$5+S90*$R$5)*($S$5)+X90</f>
        <v>3</v>
      </c>
      <c r="X90" s="9">
        <v>3</v>
      </c>
    </row>
    <row r="91" spans="16:24">
      <c r="P91" s="5">
        <f t="shared" si="1"/>
        <v>8.39999999999999</v>
      </c>
      <c r="Q91" s="3">
        <v>9</v>
      </c>
      <c r="R91" s="3">
        <v>3</v>
      </c>
      <c r="S91" s="1">
        <f>Q91*$Q$2+R91*$R$2</f>
        <v>18.75</v>
      </c>
      <c r="T91" s="7">
        <f>S91*(1+$S$5)</f>
        <v>18.75</v>
      </c>
      <c r="U91" s="7">
        <f>(Q91*$Q$3+R91*$R$3)*(1+$S$5)</f>
        <v>21</v>
      </c>
      <c r="V91" s="4">
        <f>(Q91*$Q$4+R91*$R$4)*(1+$S$5)</f>
        <v>21</v>
      </c>
      <c r="W91" s="8">
        <f>(R91*$Q$5+S91*$R$5)*($S$5)+X91</f>
        <v>3</v>
      </c>
      <c r="X91" s="9">
        <v>3</v>
      </c>
    </row>
    <row r="92" spans="16:24">
      <c r="P92" s="5">
        <f t="shared" si="1"/>
        <v>8.49999999999999</v>
      </c>
      <c r="Q92" s="3">
        <v>9</v>
      </c>
      <c r="R92" s="3">
        <v>3</v>
      </c>
      <c r="S92" s="1">
        <f>Q92*$Q$2+R92*$R$2</f>
        <v>18.75</v>
      </c>
      <c r="T92" s="7">
        <f>S92*(1+$S$5)</f>
        <v>18.75</v>
      </c>
      <c r="U92" s="7">
        <f>(Q92*$Q$3+R92*$R$3)*(1+$S$5)</f>
        <v>21</v>
      </c>
      <c r="V92" s="4">
        <f>(Q92*$Q$4+R92*$R$4)*(1+$S$5)</f>
        <v>21</v>
      </c>
      <c r="W92" s="8">
        <f>(R92*$Q$5+S92*$R$5)*($S$5)+X92</f>
        <v>3</v>
      </c>
      <c r="X92" s="9">
        <v>3</v>
      </c>
    </row>
    <row r="93" spans="16:24">
      <c r="P93" s="5">
        <f t="shared" si="1"/>
        <v>8.59999999999999</v>
      </c>
      <c r="Q93" s="3">
        <v>9</v>
      </c>
      <c r="R93" s="3">
        <v>3</v>
      </c>
      <c r="S93" s="1">
        <f>Q93*$Q$2+R93*$R$2</f>
        <v>18.75</v>
      </c>
      <c r="T93" s="7">
        <f>S93*(1+$S$5)</f>
        <v>18.75</v>
      </c>
      <c r="U93" s="7">
        <f>(Q93*$Q$3+R93*$R$3)*(1+$S$5)</f>
        <v>21</v>
      </c>
      <c r="V93" s="4">
        <f>(Q93*$Q$4+R93*$R$4)*(1+$S$5)</f>
        <v>21</v>
      </c>
      <c r="W93" s="8">
        <f>(R93*$Q$5+S93*$R$5)*($S$5)+X93</f>
        <v>3</v>
      </c>
      <c r="X93" s="9">
        <v>3</v>
      </c>
    </row>
    <row r="94" spans="16:24">
      <c r="P94" s="5">
        <f t="shared" si="1"/>
        <v>8.69999999999999</v>
      </c>
      <c r="Q94" s="3">
        <v>9</v>
      </c>
      <c r="R94" s="3">
        <v>3</v>
      </c>
      <c r="S94" s="1">
        <f>Q94*$Q$2+R94*$R$2</f>
        <v>18.75</v>
      </c>
      <c r="T94" s="7">
        <f>S94*(1+$S$5)</f>
        <v>18.75</v>
      </c>
      <c r="U94" s="7">
        <f>(Q94*$Q$3+R94*$R$3)*(1+$S$5)</f>
        <v>21</v>
      </c>
      <c r="V94" s="4">
        <f>(Q94*$Q$4+R94*$R$4)*(1+$S$5)</f>
        <v>21</v>
      </c>
      <c r="W94" s="8">
        <f>(R94*$Q$5+S94*$R$5)*($S$5)+X94</f>
        <v>3</v>
      </c>
      <c r="X94" s="9">
        <v>3</v>
      </c>
    </row>
    <row r="95" spans="16:24">
      <c r="P95" s="5">
        <f t="shared" si="1"/>
        <v>8.79999999999998</v>
      </c>
      <c r="Q95" s="3">
        <v>9</v>
      </c>
      <c r="R95" s="3">
        <v>3</v>
      </c>
      <c r="S95" s="1">
        <f>Q95*$Q$2+R95*$R$2</f>
        <v>18.75</v>
      </c>
      <c r="T95" s="7">
        <f>S95*(1+$S$5)</f>
        <v>18.75</v>
      </c>
      <c r="U95" s="7">
        <f>(Q95*$Q$3+R95*$R$3)*(1+$S$5)</f>
        <v>21</v>
      </c>
      <c r="V95" s="4">
        <f>(Q95*$Q$4+R95*$R$4)*(1+$S$5)</f>
        <v>21</v>
      </c>
      <c r="W95" s="8">
        <f>(R95*$Q$5+S95*$R$5)*($S$5)+X95</f>
        <v>3</v>
      </c>
      <c r="X95" s="9">
        <v>3</v>
      </c>
    </row>
    <row r="96" spans="16:24">
      <c r="P96" s="5">
        <f t="shared" si="1"/>
        <v>8.89999999999998</v>
      </c>
      <c r="Q96" s="3">
        <v>9</v>
      </c>
      <c r="R96" s="3">
        <v>3</v>
      </c>
      <c r="S96" s="1">
        <f>Q96*$Q$2+R96*$R$2</f>
        <v>18.75</v>
      </c>
      <c r="T96" s="7">
        <f>S96*(1+$S$5)</f>
        <v>18.75</v>
      </c>
      <c r="U96" s="7">
        <f>(Q96*$Q$3+R96*$R$3)*(1+$S$5)</f>
        <v>21</v>
      </c>
      <c r="V96" s="4">
        <f>(Q96*$Q$4+R96*$R$4)*(1+$S$5)</f>
        <v>21</v>
      </c>
      <c r="W96" s="8">
        <f>(R96*$Q$5+S96*$R$5)*($S$5)+X96</f>
        <v>3</v>
      </c>
      <c r="X96" s="9">
        <v>3</v>
      </c>
    </row>
    <row r="97" spans="16:24">
      <c r="P97" s="5">
        <f t="shared" si="1"/>
        <v>8.99999999999998</v>
      </c>
      <c r="Q97" s="3">
        <v>9</v>
      </c>
      <c r="R97" s="3">
        <v>4</v>
      </c>
      <c r="S97" s="1">
        <f>Q97*$Q$2+R97*$R$2</f>
        <v>19.75</v>
      </c>
      <c r="T97" s="7">
        <f>S97*(1+$S$5)</f>
        <v>19.75</v>
      </c>
      <c r="U97" s="7">
        <f>(Q97*$Q$3+R97*$R$3)*(1+$S$5)</f>
        <v>22</v>
      </c>
      <c r="V97" s="4">
        <f>(Q97*$Q$4+R97*$R$4)*(1+$S$5)</f>
        <v>22</v>
      </c>
      <c r="W97" s="8">
        <f>(R97*$Q$5+S97*$R$5)*($S$5)+X97</f>
        <v>3</v>
      </c>
      <c r="X97" s="9">
        <v>3</v>
      </c>
    </row>
    <row r="98" spans="16:24">
      <c r="P98" s="5">
        <f t="shared" si="1"/>
        <v>9.09999999999998</v>
      </c>
      <c r="Q98" s="3">
        <v>9</v>
      </c>
      <c r="R98" s="3">
        <v>4</v>
      </c>
      <c r="S98" s="1">
        <f>Q98*$Q$2+R98*$R$2</f>
        <v>19.75</v>
      </c>
      <c r="T98" s="7">
        <f>S98*(1+$S$5)</f>
        <v>19.75</v>
      </c>
      <c r="U98" s="7">
        <f>(Q98*$Q$3+R98*$R$3)*(1+$S$5)</f>
        <v>22</v>
      </c>
      <c r="V98" s="4">
        <f>(Q98*$Q$4+R98*$R$4)*(1+$S$5)</f>
        <v>22</v>
      </c>
      <c r="W98" s="8">
        <f>(R98*$Q$5+S98*$R$5)*($S$5)+X98</f>
        <v>3</v>
      </c>
      <c r="X98" s="9">
        <v>3</v>
      </c>
    </row>
    <row r="99" spans="16:24">
      <c r="P99" s="5">
        <f t="shared" si="1"/>
        <v>9.19999999999998</v>
      </c>
      <c r="Q99" s="3">
        <v>9</v>
      </c>
      <c r="R99" s="3">
        <v>4</v>
      </c>
      <c r="S99" s="1">
        <f>Q99*$Q$2+R99*$R$2</f>
        <v>19.75</v>
      </c>
      <c r="T99" s="7">
        <f>S99*(1+$S$5)</f>
        <v>19.75</v>
      </c>
      <c r="U99" s="7">
        <f>(Q99*$Q$3+R99*$R$3)*(1+$S$5)</f>
        <v>22</v>
      </c>
      <c r="V99" s="4">
        <f>(Q99*$Q$4+R99*$R$4)*(1+$S$5)</f>
        <v>22</v>
      </c>
      <c r="W99" s="8">
        <f>(R99*$Q$5+S99*$R$5)*($S$5)+X99</f>
        <v>3</v>
      </c>
      <c r="X99" s="9">
        <v>3</v>
      </c>
    </row>
    <row r="100" spans="16:24">
      <c r="P100" s="5">
        <f t="shared" si="1"/>
        <v>9.29999999999998</v>
      </c>
      <c r="Q100" s="3">
        <v>9</v>
      </c>
      <c r="R100" s="3">
        <v>4</v>
      </c>
      <c r="S100" s="1">
        <f>Q100*$Q$2+R100*$R$2</f>
        <v>19.75</v>
      </c>
      <c r="T100" s="7">
        <f>S100*(1+$S$5)</f>
        <v>19.75</v>
      </c>
      <c r="U100" s="7">
        <f>(Q100*$Q$3+R100*$R$3)*(1+$S$5)</f>
        <v>22</v>
      </c>
      <c r="V100" s="4">
        <f>(Q100*$Q$4+R100*$R$4)*(1+$S$5)</f>
        <v>22</v>
      </c>
      <c r="W100" s="8">
        <f>(R100*$Q$5+S100*$R$5)*($S$5)+X100</f>
        <v>3</v>
      </c>
      <c r="X100" s="9">
        <v>3</v>
      </c>
    </row>
    <row r="101" spans="16:24">
      <c r="P101" s="5">
        <f t="shared" si="1"/>
        <v>9.39999999999998</v>
      </c>
      <c r="Q101" s="3">
        <v>9</v>
      </c>
      <c r="R101" s="3">
        <v>4</v>
      </c>
      <c r="S101" s="1">
        <f>Q101*$Q$2+R101*$R$2</f>
        <v>19.75</v>
      </c>
      <c r="T101" s="7">
        <f>S101*(1+$S$5)</f>
        <v>19.75</v>
      </c>
      <c r="U101" s="7">
        <f>(Q101*$Q$3+R101*$R$3)*(1+$S$5)</f>
        <v>22</v>
      </c>
      <c r="V101" s="4">
        <f>(Q101*$Q$4+R101*$R$4)*(1+$S$5)</f>
        <v>22</v>
      </c>
      <c r="W101" s="8">
        <f>(R101*$Q$5+S101*$R$5)*($S$5)+X101</f>
        <v>3</v>
      </c>
      <c r="X101" s="9">
        <v>3</v>
      </c>
    </row>
    <row r="102" spans="16:24">
      <c r="P102" s="5">
        <f t="shared" si="1"/>
        <v>9.49999999999998</v>
      </c>
      <c r="Q102" s="3">
        <v>9</v>
      </c>
      <c r="R102" s="3">
        <v>4</v>
      </c>
      <c r="S102" s="1">
        <f>Q102*$Q$2+R102*$R$2</f>
        <v>19.75</v>
      </c>
      <c r="T102" s="7">
        <f>S102*(1+$S$5)</f>
        <v>19.75</v>
      </c>
      <c r="U102" s="7">
        <f>(Q102*$Q$3+R102*$R$3)*(1+$S$5)</f>
        <v>22</v>
      </c>
      <c r="V102" s="4">
        <f>(Q102*$Q$4+R102*$R$4)*(1+$S$5)</f>
        <v>22</v>
      </c>
      <c r="W102" s="8">
        <f>(R102*$Q$5+S102*$R$5)*($S$5)+X102</f>
        <v>3</v>
      </c>
      <c r="X102" s="9">
        <v>3</v>
      </c>
    </row>
    <row r="103" spans="16:24">
      <c r="P103" s="5">
        <f t="shared" si="1"/>
        <v>9.59999999999998</v>
      </c>
      <c r="Q103" s="3">
        <v>9</v>
      </c>
      <c r="R103" s="3">
        <v>4</v>
      </c>
      <c r="S103" s="1">
        <f>Q103*$Q$2+R103*$R$2</f>
        <v>19.75</v>
      </c>
      <c r="T103" s="7">
        <f>S103*(1+$S$5)</f>
        <v>19.75</v>
      </c>
      <c r="U103" s="7">
        <f>(Q103*$Q$3+R103*$R$3)*(1+$S$5)</f>
        <v>22</v>
      </c>
      <c r="V103" s="4">
        <f>(Q103*$Q$4+R103*$R$4)*(1+$S$5)</f>
        <v>22</v>
      </c>
      <c r="W103" s="8">
        <f>(R103*$Q$5+S103*$R$5)*($S$5)+X103</f>
        <v>3</v>
      </c>
      <c r="X103" s="9">
        <v>3</v>
      </c>
    </row>
    <row r="104" spans="16:24">
      <c r="P104" s="5">
        <f t="shared" si="1"/>
        <v>9.69999999999998</v>
      </c>
      <c r="Q104" s="3">
        <v>9</v>
      </c>
      <c r="R104" s="3">
        <v>4</v>
      </c>
      <c r="S104" s="1">
        <f>Q104*$Q$2+R104*$R$2</f>
        <v>19.75</v>
      </c>
      <c r="T104" s="7">
        <f>S104*(1+$S$5)</f>
        <v>19.75</v>
      </c>
      <c r="U104" s="7">
        <f>(Q104*$Q$3+R104*$R$3)*(1+$S$5)</f>
        <v>22</v>
      </c>
      <c r="V104" s="4">
        <f>(Q104*$Q$4+R104*$R$4)*(1+$S$5)</f>
        <v>22</v>
      </c>
      <c r="W104" s="8">
        <f>(R104*$Q$5+S104*$R$5)*($S$5)+X104</f>
        <v>3</v>
      </c>
      <c r="X104" s="9">
        <v>3</v>
      </c>
    </row>
    <row r="105" spans="16:24">
      <c r="P105" s="5">
        <f t="shared" si="1"/>
        <v>9.79999999999998</v>
      </c>
      <c r="Q105" s="3">
        <v>9</v>
      </c>
      <c r="R105" s="3">
        <v>4</v>
      </c>
      <c r="S105" s="1">
        <f>Q105*$Q$2+R105*$R$2</f>
        <v>19.75</v>
      </c>
      <c r="T105" s="7">
        <f>S105*(1+$S$5)</f>
        <v>19.75</v>
      </c>
      <c r="U105" s="7">
        <f>(Q105*$Q$3+R105*$R$3)*(1+$S$5)</f>
        <v>22</v>
      </c>
      <c r="V105" s="4">
        <f>(Q105*$Q$4+R105*$R$4)*(1+$S$5)</f>
        <v>22</v>
      </c>
      <c r="W105" s="8">
        <f>(R105*$Q$5+S105*$R$5)*($S$5)+X105</f>
        <v>3</v>
      </c>
      <c r="X105" s="9">
        <v>3</v>
      </c>
    </row>
    <row r="106" spans="16:24">
      <c r="P106" s="5">
        <f t="shared" si="1"/>
        <v>9.89999999999998</v>
      </c>
      <c r="Q106" s="3">
        <v>9</v>
      </c>
      <c r="R106" s="3">
        <v>4</v>
      </c>
      <c r="S106" s="1">
        <f>Q106*$Q$2+R106*$R$2</f>
        <v>19.75</v>
      </c>
      <c r="T106" s="7">
        <f>S106*(1+$S$5)</f>
        <v>19.75</v>
      </c>
      <c r="U106" s="7">
        <f>(Q106*$Q$3+R106*$R$3)*(1+$S$5)</f>
        <v>22</v>
      </c>
      <c r="V106" s="4">
        <f>(Q106*$Q$4+R106*$R$4)*(1+$S$5)</f>
        <v>22</v>
      </c>
      <c r="W106" s="8">
        <f>(R106*$Q$5+S106*$R$5)*($S$5)+X106</f>
        <v>3</v>
      </c>
      <c r="X106" s="9">
        <v>3</v>
      </c>
    </row>
    <row r="107" spans="16:24">
      <c r="P107" s="5">
        <f t="shared" si="1"/>
        <v>9.99999999999998</v>
      </c>
      <c r="Q107" s="3">
        <v>9</v>
      </c>
      <c r="R107" s="3">
        <v>4</v>
      </c>
      <c r="S107" s="1">
        <f>Q107*$Q$2+R107*$R$2</f>
        <v>19.75</v>
      </c>
      <c r="T107" s="7">
        <f>S107*(1+$S$5)</f>
        <v>19.75</v>
      </c>
      <c r="U107" s="7">
        <f>(Q107*$Q$3+R107*$R$3)*(1+$S$5)</f>
        <v>22</v>
      </c>
      <c r="V107" s="4">
        <f>(Q107*$Q$4+R107*$R$4)*(1+$S$5)</f>
        <v>22</v>
      </c>
      <c r="W107" s="8">
        <f>(R107*$Q$5+S107*$R$5)*($S$5)+X107</f>
        <v>3</v>
      </c>
      <c r="X107" s="9">
        <v>3</v>
      </c>
    </row>
    <row r="108" spans="16:24">
      <c r="P108" s="5">
        <f t="shared" si="1"/>
        <v>10.1</v>
      </c>
      <c r="Q108" s="3">
        <v>9</v>
      </c>
      <c r="R108" s="3">
        <v>4</v>
      </c>
      <c r="S108" s="1">
        <f>Q108*$Q$2+R108*$R$2</f>
        <v>19.75</v>
      </c>
      <c r="T108" s="7">
        <f>S108*(1+$S$5)</f>
        <v>19.75</v>
      </c>
      <c r="U108" s="7">
        <f>(Q108*$Q$3+R108*$R$3)*(1+$S$5)</f>
        <v>22</v>
      </c>
      <c r="V108" s="4">
        <f>(Q108*$Q$4+R108*$R$4)*(1+$S$5)</f>
        <v>22</v>
      </c>
      <c r="W108" s="8">
        <f>(R108*$Q$5+S108*$R$5)*($S$5)+X108</f>
        <v>3</v>
      </c>
      <c r="X108" s="9">
        <v>3</v>
      </c>
    </row>
    <row r="109" spans="16:24">
      <c r="P109" s="5">
        <f t="shared" si="1"/>
        <v>10.2</v>
      </c>
      <c r="Q109" s="3">
        <v>9</v>
      </c>
      <c r="R109" s="3">
        <v>4</v>
      </c>
      <c r="S109" s="1">
        <f>Q109*$Q$2+R109*$R$2</f>
        <v>19.75</v>
      </c>
      <c r="T109" s="7">
        <f>S109*(1+$S$5)</f>
        <v>19.75</v>
      </c>
      <c r="U109" s="7">
        <f>(Q109*$Q$3+R109*$R$3)*(1+$S$5)</f>
        <v>22</v>
      </c>
      <c r="V109" s="4">
        <f>(Q109*$Q$4+R109*$R$4)*(1+$S$5)</f>
        <v>22</v>
      </c>
      <c r="W109" s="8">
        <f>(R109*$Q$5+S109*$R$5)*($S$5)+X109</f>
        <v>3</v>
      </c>
      <c r="X109" s="9">
        <v>3</v>
      </c>
    </row>
    <row r="110" spans="16:24">
      <c r="P110" s="5">
        <f t="shared" si="1"/>
        <v>10.3</v>
      </c>
      <c r="Q110" s="3">
        <v>9</v>
      </c>
      <c r="R110" s="3">
        <v>4</v>
      </c>
      <c r="S110" s="1">
        <f>Q110*$Q$2+R110*$R$2</f>
        <v>19.75</v>
      </c>
      <c r="T110" s="7">
        <f>S110*(1+$S$5)</f>
        <v>19.75</v>
      </c>
      <c r="U110" s="7">
        <f>(Q110*$Q$3+R110*$R$3)*(1+$S$5)</f>
        <v>22</v>
      </c>
      <c r="V110" s="4">
        <f>(Q110*$Q$4+R110*$R$4)*(1+$S$5)</f>
        <v>22</v>
      </c>
      <c r="W110" s="8">
        <f>(R110*$Q$5+S110*$R$5)*($S$5)+X110</f>
        <v>3</v>
      </c>
      <c r="X110" s="9">
        <v>3</v>
      </c>
    </row>
    <row r="111" spans="16:24">
      <c r="P111" s="5">
        <f t="shared" si="1"/>
        <v>10.4</v>
      </c>
      <c r="Q111" s="3">
        <v>9</v>
      </c>
      <c r="R111" s="3">
        <v>4</v>
      </c>
      <c r="S111" s="1">
        <f>Q111*$Q$2+R111*$R$2</f>
        <v>19.75</v>
      </c>
      <c r="T111" s="7">
        <f>S111*(1+$S$5)</f>
        <v>19.75</v>
      </c>
      <c r="U111" s="7">
        <f>(Q111*$Q$3+R111*$R$3)*(1+$S$5)</f>
        <v>22</v>
      </c>
      <c r="V111" s="4">
        <f>(Q111*$Q$4+R111*$R$4)*(1+$S$5)</f>
        <v>22</v>
      </c>
      <c r="W111" s="8">
        <f>(R111*$Q$5+S111*$R$5)*($S$5)+X111</f>
        <v>3</v>
      </c>
      <c r="X111" s="9">
        <v>3</v>
      </c>
    </row>
    <row r="112" spans="16:24">
      <c r="P112" s="5">
        <f t="shared" si="1"/>
        <v>10.5</v>
      </c>
      <c r="Q112" s="3">
        <v>9</v>
      </c>
      <c r="R112" s="3">
        <v>4</v>
      </c>
      <c r="S112" s="1">
        <f>Q112*$Q$2+R112*$R$2</f>
        <v>19.75</v>
      </c>
      <c r="T112" s="7">
        <f>S112*(1+$S$5)</f>
        <v>19.75</v>
      </c>
      <c r="U112" s="7">
        <f>(Q112*$Q$3+R112*$R$3)*(1+$S$5)</f>
        <v>22</v>
      </c>
      <c r="V112" s="4">
        <f>(Q112*$Q$4+R112*$R$4)*(1+$S$5)</f>
        <v>22</v>
      </c>
      <c r="W112" s="8">
        <f>(R112*$Q$5+S112*$R$5)*($S$5)+X112</f>
        <v>3</v>
      </c>
      <c r="X112" s="9">
        <v>3</v>
      </c>
    </row>
    <row r="113" spans="16:24">
      <c r="P113" s="5">
        <f t="shared" si="1"/>
        <v>10.6</v>
      </c>
      <c r="Q113" s="3">
        <v>9</v>
      </c>
      <c r="R113" s="3">
        <v>4</v>
      </c>
      <c r="S113" s="1">
        <f>Q113*$Q$2+R113*$R$2</f>
        <v>19.75</v>
      </c>
      <c r="T113" s="7">
        <f>S113*(1+$S$5)</f>
        <v>19.75</v>
      </c>
      <c r="U113" s="7">
        <f>(Q113*$Q$3+R113*$R$3)*(1+$S$5)</f>
        <v>22</v>
      </c>
      <c r="V113" s="4">
        <f>(Q113*$Q$4+R113*$R$4)*(1+$S$5)</f>
        <v>22</v>
      </c>
      <c r="W113" s="8">
        <f>(R113*$Q$5+S113*$R$5)*($S$5)+X113</f>
        <v>3</v>
      </c>
      <c r="X113" s="9">
        <v>3</v>
      </c>
    </row>
    <row r="114" spans="16:24">
      <c r="P114" s="5">
        <f t="shared" si="1"/>
        <v>10.7</v>
      </c>
      <c r="Q114" s="3">
        <v>9</v>
      </c>
      <c r="R114" s="3">
        <v>4</v>
      </c>
      <c r="S114" s="1">
        <f>Q114*$Q$2+R114*$R$2</f>
        <v>19.75</v>
      </c>
      <c r="T114" s="7">
        <f>S114*(1+$S$5)</f>
        <v>19.75</v>
      </c>
      <c r="U114" s="7">
        <f>(Q114*$Q$3+R114*$R$3)*(1+$S$5)</f>
        <v>22</v>
      </c>
      <c r="V114" s="4">
        <f>(Q114*$Q$4+R114*$R$4)*(1+$S$5)</f>
        <v>22</v>
      </c>
      <c r="W114" s="8">
        <f>(R114*$Q$5+S114*$R$5)*($S$5)+X114</f>
        <v>3</v>
      </c>
      <c r="X114" s="9">
        <v>3</v>
      </c>
    </row>
    <row r="115" spans="16:24">
      <c r="P115" s="5">
        <f t="shared" si="1"/>
        <v>10.8</v>
      </c>
      <c r="Q115" s="3">
        <v>9</v>
      </c>
      <c r="R115" s="3">
        <v>4</v>
      </c>
      <c r="S115" s="1">
        <f>Q115*$Q$2+R115*$R$2</f>
        <v>19.75</v>
      </c>
      <c r="T115" s="7">
        <f>S115*(1+$S$5)</f>
        <v>19.75</v>
      </c>
      <c r="U115" s="7">
        <f>(Q115*$Q$3+R115*$R$3)*(1+$S$5)</f>
        <v>22</v>
      </c>
      <c r="V115" s="4">
        <f>(Q115*$Q$4+R115*$R$4)*(1+$S$5)</f>
        <v>22</v>
      </c>
      <c r="W115" s="8">
        <f>(R115*$Q$5+S115*$R$5)*($S$5)+X115</f>
        <v>3</v>
      </c>
      <c r="X115" s="9">
        <v>3</v>
      </c>
    </row>
    <row r="116" spans="16:24">
      <c r="P116" s="5">
        <f t="shared" si="1"/>
        <v>10.9</v>
      </c>
      <c r="Q116" s="3">
        <v>9</v>
      </c>
      <c r="R116" s="3">
        <v>4</v>
      </c>
      <c r="S116" s="1">
        <f>Q116*$Q$2+R116*$R$2</f>
        <v>19.75</v>
      </c>
      <c r="T116" s="7">
        <f>S116*(1+$S$5)</f>
        <v>19.75</v>
      </c>
      <c r="U116" s="7">
        <f>(Q116*$Q$3+R116*$R$3)*(1+$S$5)</f>
        <v>22</v>
      </c>
      <c r="V116" s="4">
        <f>(Q116*$Q$4+R116*$R$4)*(1+$S$5)</f>
        <v>22</v>
      </c>
      <c r="W116" s="8">
        <f>(R116*$Q$5+S116*$R$5)*($S$5)+X116</f>
        <v>3</v>
      </c>
      <c r="X116" s="9">
        <v>3</v>
      </c>
    </row>
    <row r="117" spans="16:24">
      <c r="P117" s="5">
        <f t="shared" si="1"/>
        <v>11</v>
      </c>
      <c r="Q117" s="3">
        <v>9</v>
      </c>
      <c r="R117" s="3">
        <v>4</v>
      </c>
      <c r="S117" s="1">
        <f>Q117*$Q$2+R117*$R$2</f>
        <v>19.75</v>
      </c>
      <c r="T117" s="7">
        <f>S117*(1+$S$5)</f>
        <v>19.75</v>
      </c>
      <c r="U117" s="7">
        <f>(Q117*$Q$3+R117*$R$3)*(1+$S$5)</f>
        <v>22</v>
      </c>
      <c r="V117" s="4">
        <f>(Q117*$Q$4+R117*$R$4)*(1+$S$5)</f>
        <v>22</v>
      </c>
      <c r="W117" s="8">
        <f>(R117*$Q$5+S117*$R$5)*($S$5)+X117</f>
        <v>3</v>
      </c>
      <c r="X117" s="9">
        <v>3</v>
      </c>
    </row>
    <row r="118" spans="16:24">
      <c r="P118" s="5">
        <f t="shared" si="1"/>
        <v>11.1</v>
      </c>
      <c r="Q118" s="3">
        <v>9</v>
      </c>
      <c r="R118" s="3">
        <v>4</v>
      </c>
      <c r="S118" s="1">
        <f>Q118*$Q$2+R118*$R$2</f>
        <v>19.75</v>
      </c>
      <c r="T118" s="7">
        <f>S118*(1+$S$5)</f>
        <v>19.75</v>
      </c>
      <c r="U118" s="7">
        <f>(Q118*$Q$3+R118*$R$3)*(1+$S$5)</f>
        <v>22</v>
      </c>
      <c r="V118" s="4">
        <f>(Q118*$Q$4+R118*$R$4)*(1+$S$5)</f>
        <v>22</v>
      </c>
      <c r="W118" s="8">
        <f>(R118*$Q$5+S118*$R$5)*($S$5)+X118</f>
        <v>3</v>
      </c>
      <c r="X118" s="9">
        <v>3</v>
      </c>
    </row>
    <row r="119" spans="16:24">
      <c r="P119" s="5">
        <f t="shared" si="1"/>
        <v>11.2</v>
      </c>
      <c r="Q119" s="3">
        <v>9</v>
      </c>
      <c r="R119" s="3">
        <v>4</v>
      </c>
      <c r="S119" s="1">
        <f>Q119*$Q$2+R119*$R$2</f>
        <v>19.75</v>
      </c>
      <c r="T119" s="7">
        <f>S119*(1+$S$5)</f>
        <v>19.75</v>
      </c>
      <c r="U119" s="7">
        <f>(Q119*$Q$3+R119*$R$3)*(1+$S$5)</f>
        <v>22</v>
      </c>
      <c r="V119" s="4">
        <f>(Q119*$Q$4+R119*$R$4)*(1+$S$5)</f>
        <v>22</v>
      </c>
      <c r="W119" s="8">
        <f>(R119*$Q$5+S119*$R$5)*($S$5)+X119</f>
        <v>3</v>
      </c>
      <c r="X119" s="9">
        <v>3</v>
      </c>
    </row>
    <row r="120" spans="16:24">
      <c r="P120" s="5">
        <f t="shared" si="1"/>
        <v>11.3</v>
      </c>
      <c r="Q120" s="3">
        <v>9</v>
      </c>
      <c r="R120" s="3">
        <v>4</v>
      </c>
      <c r="S120" s="1">
        <f>Q120*$Q$2+R120*$R$2</f>
        <v>19.75</v>
      </c>
      <c r="T120" s="7">
        <f>S120*(1+$S$5)</f>
        <v>19.75</v>
      </c>
      <c r="U120" s="7">
        <f>(Q120*$Q$3+R120*$R$3)*(1+$S$5)</f>
        <v>22</v>
      </c>
      <c r="V120" s="4">
        <f>(Q120*$Q$4+R120*$R$4)*(1+$S$5)</f>
        <v>22</v>
      </c>
      <c r="W120" s="8">
        <f>(R120*$Q$5+S120*$R$5)*($S$5)+X120</f>
        <v>3</v>
      </c>
      <c r="X120" s="9">
        <v>3</v>
      </c>
    </row>
    <row r="121" spans="16:24">
      <c r="P121" s="5">
        <f t="shared" si="1"/>
        <v>11.4</v>
      </c>
      <c r="Q121" s="3">
        <v>9</v>
      </c>
      <c r="R121" s="3">
        <v>4</v>
      </c>
      <c r="S121" s="1">
        <f>Q121*$Q$2+R121*$R$2</f>
        <v>19.75</v>
      </c>
      <c r="T121" s="7">
        <f>S121*(1+$S$5)</f>
        <v>19.75</v>
      </c>
      <c r="U121" s="7">
        <f>(Q121*$Q$3+R121*$R$3)*(1+$S$5)</f>
        <v>22</v>
      </c>
      <c r="V121" s="4">
        <f>(Q121*$Q$4+R121*$R$4)*(1+$S$5)</f>
        <v>22</v>
      </c>
      <c r="W121" s="8">
        <f>(R121*$Q$5+S121*$R$5)*($S$5)+X121</f>
        <v>3</v>
      </c>
      <c r="X121" s="9">
        <v>3</v>
      </c>
    </row>
    <row r="122" spans="16:24">
      <c r="P122" s="5">
        <f t="shared" si="1"/>
        <v>11.5</v>
      </c>
      <c r="Q122" s="3">
        <v>9</v>
      </c>
      <c r="R122" s="3">
        <v>4</v>
      </c>
      <c r="S122" s="1">
        <f>Q122*$Q$2+R122*$R$2</f>
        <v>19.75</v>
      </c>
      <c r="T122" s="7">
        <f>S122*(1+$S$5)</f>
        <v>19.75</v>
      </c>
      <c r="U122" s="7">
        <f>(Q122*$Q$3+R122*$R$3)*(1+$S$5)</f>
        <v>22</v>
      </c>
      <c r="V122" s="4">
        <f>(Q122*$Q$4+R122*$R$4)*(1+$S$5)</f>
        <v>22</v>
      </c>
      <c r="W122" s="8">
        <f>(R122*$Q$5+S122*$R$5)*($S$5)+X122</f>
        <v>3</v>
      </c>
      <c r="X122" s="9">
        <v>3</v>
      </c>
    </row>
    <row r="123" spans="16:24">
      <c r="P123" s="5">
        <f t="shared" si="1"/>
        <v>11.6</v>
      </c>
      <c r="Q123" s="3">
        <v>9</v>
      </c>
      <c r="R123" s="3">
        <v>4</v>
      </c>
      <c r="S123" s="1">
        <f>Q123*$Q$2+R123*$R$2</f>
        <v>19.75</v>
      </c>
      <c r="T123" s="7">
        <f>S123*(1+$S$5)</f>
        <v>19.75</v>
      </c>
      <c r="U123" s="7">
        <f>(Q123*$Q$3+R123*$R$3)*(1+$S$5)</f>
        <v>22</v>
      </c>
      <c r="V123" s="4">
        <f>(Q123*$Q$4+R123*$R$4)*(1+$S$5)</f>
        <v>22</v>
      </c>
      <c r="W123" s="8">
        <f>(R123*$Q$5+S123*$R$5)*($S$5)+X123</f>
        <v>3</v>
      </c>
      <c r="X123" s="9">
        <v>3</v>
      </c>
    </row>
    <row r="124" spans="16:24">
      <c r="P124" s="5">
        <f t="shared" si="1"/>
        <v>11.7</v>
      </c>
      <c r="Q124" s="3">
        <v>9</v>
      </c>
      <c r="R124" s="3">
        <v>4</v>
      </c>
      <c r="S124" s="1">
        <f>Q124*$Q$2+R124*$R$2</f>
        <v>19.75</v>
      </c>
      <c r="T124" s="7">
        <f>S124*(1+$S$5)</f>
        <v>19.75</v>
      </c>
      <c r="U124" s="7">
        <f>(Q124*$Q$3+R124*$R$3)*(1+$S$5)</f>
        <v>22</v>
      </c>
      <c r="V124" s="4">
        <f>(Q124*$Q$4+R124*$R$4)*(1+$S$5)</f>
        <v>22</v>
      </c>
      <c r="W124" s="8">
        <f>(R124*$Q$5+S124*$R$5)*($S$5)+X124</f>
        <v>3</v>
      </c>
      <c r="X124" s="9">
        <v>3</v>
      </c>
    </row>
    <row r="125" spans="16:24">
      <c r="P125" s="5">
        <f t="shared" si="1"/>
        <v>11.8</v>
      </c>
      <c r="Q125" s="3">
        <v>9</v>
      </c>
      <c r="R125" s="3">
        <v>4</v>
      </c>
      <c r="S125" s="1">
        <f>Q125*$Q$2+R125*$R$2</f>
        <v>19.75</v>
      </c>
      <c r="T125" s="7">
        <f>S125*(1+$S$5)</f>
        <v>19.75</v>
      </c>
      <c r="U125" s="7">
        <f>(Q125*$Q$3+R125*$R$3)*(1+$S$5)</f>
        <v>22</v>
      </c>
      <c r="V125" s="4">
        <f>(Q125*$Q$4+R125*$R$4)*(1+$S$5)</f>
        <v>22</v>
      </c>
      <c r="W125" s="8">
        <f>(R125*$Q$5+S125*$R$5)*($S$5)+X125</f>
        <v>3</v>
      </c>
      <c r="X125" s="9">
        <v>3</v>
      </c>
    </row>
    <row r="126" spans="16:24">
      <c r="P126" s="5">
        <f t="shared" si="1"/>
        <v>11.9</v>
      </c>
      <c r="Q126" s="3">
        <v>9</v>
      </c>
      <c r="R126" s="3">
        <v>4</v>
      </c>
      <c r="S126" s="1">
        <f>Q126*$Q$2+R126*$R$2</f>
        <v>19.75</v>
      </c>
      <c r="T126" s="7">
        <f>S126*(1+$S$5)</f>
        <v>19.75</v>
      </c>
      <c r="U126" s="7">
        <f>(Q126*$Q$3+R126*$R$3)*(1+$S$5)</f>
        <v>22</v>
      </c>
      <c r="V126" s="4">
        <f>(Q126*$Q$4+R126*$R$4)*(1+$S$5)</f>
        <v>22</v>
      </c>
      <c r="W126" s="8">
        <f>(R126*$Q$5+S126*$R$5)*($S$5)+X126</f>
        <v>3</v>
      </c>
      <c r="X126" s="9">
        <v>3</v>
      </c>
    </row>
    <row r="127" spans="16:24">
      <c r="P127" s="5">
        <f t="shared" si="1"/>
        <v>12</v>
      </c>
      <c r="Q127" s="3">
        <v>9</v>
      </c>
      <c r="R127" s="3">
        <v>5</v>
      </c>
      <c r="S127" s="1">
        <f>Q127*$Q$2+R127*$R$2</f>
        <v>20.75</v>
      </c>
      <c r="T127" s="7">
        <f>S127*(1+$S$5)</f>
        <v>20.75</v>
      </c>
      <c r="U127" s="7">
        <f>(Q127*$Q$3+R127*$R$3)*(1+$S$5)</f>
        <v>23</v>
      </c>
      <c r="V127" s="4">
        <f>(Q127*$Q$4+R127*$R$4)*(1+$S$5)</f>
        <v>23</v>
      </c>
      <c r="W127" s="8">
        <f>(R127*$Q$5+S127*$R$5)*($S$5)+X127</f>
        <v>3</v>
      </c>
      <c r="X127" s="9">
        <v>3</v>
      </c>
    </row>
    <row r="128" spans="16:24">
      <c r="P128" s="5">
        <f t="shared" si="1"/>
        <v>12.1</v>
      </c>
      <c r="Q128" s="3">
        <v>9</v>
      </c>
      <c r="R128" s="3">
        <v>5</v>
      </c>
      <c r="S128" s="1">
        <f>Q128*$Q$2+R128*$R$2</f>
        <v>20.75</v>
      </c>
      <c r="T128" s="7">
        <f>S128*(1+$S$5)</f>
        <v>20.75</v>
      </c>
      <c r="U128" s="7">
        <f>(Q128*$Q$3+R128*$R$3)*(1+$S$5)</f>
        <v>23</v>
      </c>
      <c r="V128" s="4">
        <f>(Q128*$Q$4+R128*$R$4)*(1+$S$5)</f>
        <v>23</v>
      </c>
      <c r="W128" s="8">
        <f>(R128*$Q$5+S128*$R$5)*($S$5)+X128</f>
        <v>3</v>
      </c>
      <c r="X128" s="9">
        <v>3</v>
      </c>
    </row>
    <row r="129" spans="16:24">
      <c r="P129" s="5">
        <f t="shared" si="1"/>
        <v>12.2</v>
      </c>
      <c r="Q129" s="3">
        <v>9</v>
      </c>
      <c r="R129" s="3">
        <v>5</v>
      </c>
      <c r="S129" s="1">
        <f>Q129*$Q$2+R129*$R$2</f>
        <v>20.75</v>
      </c>
      <c r="T129" s="7">
        <f>S129*(1+$S$5)</f>
        <v>20.75</v>
      </c>
      <c r="U129" s="7">
        <f>(Q129*$Q$3+R129*$R$3)*(1+$S$5)</f>
        <v>23</v>
      </c>
      <c r="V129" s="4">
        <f>(Q129*$Q$4+R129*$R$4)*(1+$S$5)</f>
        <v>23</v>
      </c>
      <c r="W129" s="8">
        <f>(R129*$Q$5+S129*$R$5)*($S$5)+X129</f>
        <v>3</v>
      </c>
      <c r="X129" s="9">
        <v>3</v>
      </c>
    </row>
    <row r="130" spans="16:24">
      <c r="P130" s="5">
        <f t="shared" si="1"/>
        <v>12.3</v>
      </c>
      <c r="Q130" s="3">
        <v>9</v>
      </c>
      <c r="R130" s="3">
        <v>5</v>
      </c>
      <c r="S130" s="1">
        <f>Q130*$Q$2+R130*$R$2</f>
        <v>20.75</v>
      </c>
      <c r="T130" s="7">
        <f>S130*(1+$S$5)</f>
        <v>20.75</v>
      </c>
      <c r="U130" s="7">
        <f>(Q130*$Q$3+R130*$R$3)*(1+$S$5)</f>
        <v>23</v>
      </c>
      <c r="V130" s="4">
        <f>(Q130*$Q$4+R130*$R$4)*(1+$S$5)</f>
        <v>23</v>
      </c>
      <c r="W130" s="8">
        <f>(R130*$Q$5+S130*$R$5)*($S$5)+X130</f>
        <v>3</v>
      </c>
      <c r="X130" s="9">
        <v>3</v>
      </c>
    </row>
    <row r="131" spans="16:24">
      <c r="P131" s="5">
        <f t="shared" si="1"/>
        <v>12.4</v>
      </c>
      <c r="Q131" s="3">
        <v>9</v>
      </c>
      <c r="R131" s="3">
        <v>5</v>
      </c>
      <c r="S131" s="1">
        <f>Q131*$Q$2+R131*$R$2</f>
        <v>20.75</v>
      </c>
      <c r="T131" s="7">
        <f>S131*(1+$S$5)</f>
        <v>20.75</v>
      </c>
      <c r="U131" s="7">
        <f>(Q131*$Q$3+R131*$R$3)*(1+$S$5)</f>
        <v>23</v>
      </c>
      <c r="V131" s="4">
        <f>(Q131*$Q$4+R131*$R$4)*(1+$S$5)</f>
        <v>23</v>
      </c>
      <c r="W131" s="8">
        <f>(R131*$Q$5+S131*$R$5)*($S$5)+X131</f>
        <v>3</v>
      </c>
      <c r="X131" s="9">
        <v>3</v>
      </c>
    </row>
    <row r="132" spans="16:24">
      <c r="P132" s="5">
        <f t="shared" si="1"/>
        <v>12.5</v>
      </c>
      <c r="Q132" s="3">
        <v>9</v>
      </c>
      <c r="R132" s="3">
        <v>5</v>
      </c>
      <c r="S132" s="1">
        <f>Q132*$Q$2+R132*$R$2</f>
        <v>20.75</v>
      </c>
      <c r="T132" s="7">
        <f>S132*(1+$S$5)</f>
        <v>20.75</v>
      </c>
      <c r="U132" s="7">
        <f>(Q132*$Q$3+R132*$R$3)*(1+$S$5)</f>
        <v>23</v>
      </c>
      <c r="V132" s="4">
        <f>(Q132*$Q$4+R132*$R$4)*(1+$S$5)</f>
        <v>23</v>
      </c>
      <c r="W132" s="8">
        <f>(R132*$Q$5+S132*$R$5)*($S$5)+X132</f>
        <v>3</v>
      </c>
      <c r="X132" s="9">
        <v>3</v>
      </c>
    </row>
    <row r="133" spans="16:24">
      <c r="P133" s="5">
        <f t="shared" si="1"/>
        <v>12.6</v>
      </c>
      <c r="Q133" s="3">
        <v>9</v>
      </c>
      <c r="R133" s="3">
        <v>5</v>
      </c>
      <c r="S133" s="1">
        <f>Q133*$Q$2+R133*$R$2</f>
        <v>20.75</v>
      </c>
      <c r="T133" s="7">
        <f>S133*(1+$S$5)</f>
        <v>20.75</v>
      </c>
      <c r="U133" s="7">
        <f>(Q133*$Q$3+R133*$R$3)*(1+$S$5)</f>
        <v>23</v>
      </c>
      <c r="V133" s="4">
        <f>(Q133*$Q$4+R133*$R$4)*(1+$S$5)</f>
        <v>23</v>
      </c>
      <c r="W133" s="8">
        <f>(R133*$Q$5+S133*$R$5)*($S$5)+X133</f>
        <v>3</v>
      </c>
      <c r="X133" s="9">
        <v>3</v>
      </c>
    </row>
    <row r="134" spans="16:24">
      <c r="P134" s="5">
        <f t="shared" si="1"/>
        <v>12.7</v>
      </c>
      <c r="Q134" s="3">
        <v>9</v>
      </c>
      <c r="R134" s="3">
        <v>5</v>
      </c>
      <c r="S134" s="1">
        <f>Q134*$Q$2+R134*$R$2</f>
        <v>20.75</v>
      </c>
      <c r="T134" s="7">
        <f>S134*(1+$S$5)</f>
        <v>20.75</v>
      </c>
      <c r="U134" s="7">
        <f>(Q134*$Q$3+R134*$R$3)*(1+$S$5)</f>
        <v>23</v>
      </c>
      <c r="V134" s="4">
        <f>(Q134*$Q$4+R134*$R$4)*(1+$S$5)</f>
        <v>23</v>
      </c>
      <c r="W134" s="8">
        <f>(R134*$Q$5+S134*$R$5)*($S$5)+X134</f>
        <v>3</v>
      </c>
      <c r="X134" s="9">
        <v>3</v>
      </c>
    </row>
    <row r="135" spans="16:24">
      <c r="P135" s="5">
        <f t="shared" si="1"/>
        <v>12.8</v>
      </c>
      <c r="Q135" s="3">
        <v>9</v>
      </c>
      <c r="R135" s="3">
        <v>5</v>
      </c>
      <c r="S135" s="1">
        <f>Q135*$Q$2+R135*$R$2</f>
        <v>20.75</v>
      </c>
      <c r="T135" s="7">
        <f>S135*(1+$S$5)</f>
        <v>20.75</v>
      </c>
      <c r="U135" s="7">
        <f>(Q135*$Q$3+R135*$R$3)*(1+$S$5)</f>
        <v>23</v>
      </c>
      <c r="V135" s="4">
        <f>(Q135*$Q$4+R135*$R$4)*(1+$S$5)</f>
        <v>23</v>
      </c>
      <c r="W135" s="8">
        <f>(R135*$Q$5+S135*$R$5)*($S$5)+X135</f>
        <v>3</v>
      </c>
      <c r="X135" s="9">
        <v>3</v>
      </c>
    </row>
    <row r="136" spans="16:24">
      <c r="P136" s="5">
        <f t="shared" ref="P136:P199" si="2">0.1+P135</f>
        <v>12.9</v>
      </c>
      <c r="Q136" s="3">
        <v>9</v>
      </c>
      <c r="R136" s="3">
        <v>5</v>
      </c>
      <c r="S136" s="1">
        <f>Q136*$Q$2+R136*$R$2</f>
        <v>20.75</v>
      </c>
      <c r="T136" s="7">
        <f>S136*(1+$S$5)</f>
        <v>20.75</v>
      </c>
      <c r="U136" s="7">
        <f>(Q136*$Q$3+R136*$R$3)*(1+$S$5)</f>
        <v>23</v>
      </c>
      <c r="V136" s="4">
        <f>(Q136*$Q$4+R136*$R$4)*(1+$S$5)</f>
        <v>23</v>
      </c>
      <c r="W136" s="8">
        <f>(R136*$Q$5+S136*$R$5)*($S$5)+X136</f>
        <v>3</v>
      </c>
      <c r="X136" s="9">
        <v>3</v>
      </c>
    </row>
    <row r="137" spans="16:24">
      <c r="P137" s="5">
        <f t="shared" si="2"/>
        <v>13</v>
      </c>
      <c r="Q137" s="3">
        <v>9</v>
      </c>
      <c r="R137" s="3">
        <v>5</v>
      </c>
      <c r="S137" s="1">
        <f>Q137*$Q$2+R137*$R$2</f>
        <v>20.75</v>
      </c>
      <c r="T137" s="7">
        <f>S137*(1+$S$5)</f>
        <v>20.75</v>
      </c>
      <c r="U137" s="7">
        <f>(Q137*$Q$3+R137*$R$3)*(1+$S$5)</f>
        <v>23</v>
      </c>
      <c r="V137" s="4">
        <f>(Q137*$Q$4+R137*$R$4)*(1+$S$5)</f>
        <v>23</v>
      </c>
      <c r="W137" s="8">
        <f>(R137*$Q$5+S137*$R$5)*($S$5)+X137</f>
        <v>3</v>
      </c>
      <c r="X137" s="9">
        <v>3</v>
      </c>
    </row>
    <row r="138" spans="16:24">
      <c r="P138" s="5">
        <f t="shared" si="2"/>
        <v>13.1</v>
      </c>
      <c r="Q138" s="3">
        <v>9</v>
      </c>
      <c r="R138" s="3">
        <v>5</v>
      </c>
      <c r="S138" s="1">
        <f>Q138*$Q$2+R138*$R$2</f>
        <v>20.75</v>
      </c>
      <c r="T138" s="7">
        <f>S138*(1+$S$5)</f>
        <v>20.75</v>
      </c>
      <c r="U138" s="7">
        <f>(Q138*$Q$3+R138*$R$3)*(1+$S$5)</f>
        <v>23</v>
      </c>
      <c r="V138" s="4">
        <f>(Q138*$Q$4+R138*$R$4)*(1+$S$5)</f>
        <v>23</v>
      </c>
      <c r="W138" s="8">
        <f>(R138*$Q$5+S138*$R$5)*($S$5)+X138</f>
        <v>3</v>
      </c>
      <c r="X138" s="9">
        <v>3</v>
      </c>
    </row>
    <row r="139" spans="16:24">
      <c r="P139" s="5">
        <f t="shared" si="2"/>
        <v>13.2</v>
      </c>
      <c r="Q139" s="3">
        <v>9</v>
      </c>
      <c r="R139" s="3">
        <v>5</v>
      </c>
      <c r="S139" s="1">
        <f>Q139*$Q$2+R139*$R$2</f>
        <v>20.75</v>
      </c>
      <c r="T139" s="7">
        <f>S139*(1+$S$5)</f>
        <v>20.75</v>
      </c>
      <c r="U139" s="7">
        <f>(Q139*$Q$3+R139*$R$3)*(1+$S$5)</f>
        <v>23</v>
      </c>
      <c r="V139" s="4">
        <f>(Q139*$Q$4+R139*$R$4)*(1+$S$5)</f>
        <v>23</v>
      </c>
      <c r="W139" s="8">
        <f>(R139*$Q$5+S139*$R$5)*($S$5)+X139</f>
        <v>3</v>
      </c>
      <c r="X139" s="9">
        <v>3</v>
      </c>
    </row>
    <row r="140" spans="16:24">
      <c r="P140" s="5">
        <f t="shared" si="2"/>
        <v>13.3</v>
      </c>
      <c r="Q140" s="3">
        <v>9</v>
      </c>
      <c r="R140" s="3">
        <v>5</v>
      </c>
      <c r="S140" s="1">
        <f>Q140*$Q$2+R140*$R$2</f>
        <v>20.75</v>
      </c>
      <c r="T140" s="7">
        <f>S140*(1+$S$5)</f>
        <v>20.75</v>
      </c>
      <c r="U140" s="7">
        <f>(Q140*$Q$3+R140*$R$3)*(1+$S$5)</f>
        <v>23</v>
      </c>
      <c r="V140" s="4">
        <f>(Q140*$Q$4+R140*$R$4)*(1+$S$5)</f>
        <v>23</v>
      </c>
      <c r="W140" s="8">
        <f>(R140*$Q$5+S140*$R$5)*($S$5)+X140</f>
        <v>3</v>
      </c>
      <c r="X140" s="9">
        <v>3</v>
      </c>
    </row>
    <row r="141" spans="16:24">
      <c r="P141" s="5">
        <f t="shared" si="2"/>
        <v>13.4</v>
      </c>
      <c r="Q141" s="3">
        <v>9</v>
      </c>
      <c r="R141" s="3">
        <v>5</v>
      </c>
      <c r="S141" s="1">
        <f>Q141*$Q$2+R141*$R$2</f>
        <v>20.75</v>
      </c>
      <c r="T141" s="7">
        <f>S141*(1+$S$5)</f>
        <v>20.75</v>
      </c>
      <c r="U141" s="7">
        <f>(Q141*$Q$3+R141*$R$3)*(1+$S$5)</f>
        <v>23</v>
      </c>
      <c r="V141" s="4">
        <f>(Q141*$Q$4+R141*$R$4)*(1+$S$5)</f>
        <v>23</v>
      </c>
      <c r="W141" s="8">
        <f>(R141*$Q$5+S141*$R$5)*($S$5)+X141</f>
        <v>3</v>
      </c>
      <c r="X141" s="9">
        <v>3</v>
      </c>
    </row>
    <row r="142" spans="16:24">
      <c r="P142" s="5">
        <f t="shared" si="2"/>
        <v>13.5</v>
      </c>
      <c r="Q142" s="3">
        <v>9</v>
      </c>
      <c r="R142" s="3">
        <v>5</v>
      </c>
      <c r="S142" s="1">
        <f>Q142*$Q$2+R142*$R$2</f>
        <v>20.75</v>
      </c>
      <c r="T142" s="7">
        <f>S142*(1+$S$5)</f>
        <v>20.75</v>
      </c>
      <c r="U142" s="7">
        <f>(Q142*$Q$3+R142*$R$3)*(1+$S$5)</f>
        <v>23</v>
      </c>
      <c r="V142" s="4">
        <f>(Q142*$Q$4+R142*$R$4)*(1+$S$5)</f>
        <v>23</v>
      </c>
      <c r="W142" s="8">
        <f>(R142*$Q$5+S142*$R$5)*($S$5)+X142</f>
        <v>3</v>
      </c>
      <c r="X142" s="9">
        <v>3</v>
      </c>
    </row>
    <row r="143" spans="16:24">
      <c r="P143" s="5">
        <f t="shared" si="2"/>
        <v>13.6</v>
      </c>
      <c r="Q143" s="3">
        <v>9</v>
      </c>
      <c r="R143" s="3">
        <v>5</v>
      </c>
      <c r="S143" s="1">
        <f>Q143*$Q$2+R143*$R$2</f>
        <v>20.75</v>
      </c>
      <c r="T143" s="7">
        <f>S143*(1+$S$5)</f>
        <v>20.75</v>
      </c>
      <c r="U143" s="7">
        <f>(Q143*$Q$3+R143*$R$3)*(1+$S$5)</f>
        <v>23</v>
      </c>
      <c r="V143" s="4">
        <f>(Q143*$Q$4+R143*$R$4)*(1+$S$5)</f>
        <v>23</v>
      </c>
      <c r="W143" s="8">
        <f>(R143*$Q$5+S143*$R$5)*($S$5)+X143</f>
        <v>3</v>
      </c>
      <c r="X143" s="9">
        <v>3</v>
      </c>
    </row>
    <row r="144" spans="16:24">
      <c r="P144" s="5">
        <f t="shared" si="2"/>
        <v>13.7</v>
      </c>
      <c r="Q144" s="3">
        <v>9</v>
      </c>
      <c r="R144" s="3">
        <v>5</v>
      </c>
      <c r="S144" s="1">
        <f>Q144*$Q$2+R144*$R$2</f>
        <v>20.75</v>
      </c>
      <c r="T144" s="7">
        <f>S144*(1+$S$5)</f>
        <v>20.75</v>
      </c>
      <c r="U144" s="7">
        <f>(Q144*$Q$3+R144*$R$3)*(1+$S$5)</f>
        <v>23</v>
      </c>
      <c r="V144" s="4">
        <f>(Q144*$Q$4+R144*$R$4)*(1+$S$5)</f>
        <v>23</v>
      </c>
      <c r="W144" s="8">
        <f>(R144*$Q$5+S144*$R$5)*($S$5)+X144</f>
        <v>3</v>
      </c>
      <c r="X144" s="9">
        <v>3</v>
      </c>
    </row>
    <row r="145" spans="16:24">
      <c r="P145" s="5">
        <f t="shared" si="2"/>
        <v>13.8</v>
      </c>
      <c r="Q145" s="3">
        <v>9</v>
      </c>
      <c r="R145" s="3">
        <v>5</v>
      </c>
      <c r="S145" s="1">
        <f>Q145*$Q$2+R145*$R$2</f>
        <v>20.75</v>
      </c>
      <c r="T145" s="7">
        <f>S145*(1+$S$5)</f>
        <v>20.75</v>
      </c>
      <c r="U145" s="7">
        <f>(Q145*$Q$3+R145*$R$3)*(1+$S$5)</f>
        <v>23</v>
      </c>
      <c r="V145" s="4">
        <f>(Q145*$Q$4+R145*$R$4)*(1+$S$5)</f>
        <v>23</v>
      </c>
      <c r="W145" s="8">
        <f>(R145*$Q$5+S145*$R$5)*($S$5)+X145</f>
        <v>3</v>
      </c>
      <c r="X145" s="9">
        <v>3</v>
      </c>
    </row>
    <row r="146" spans="16:24">
      <c r="P146" s="5">
        <f t="shared" si="2"/>
        <v>13.9</v>
      </c>
      <c r="Q146" s="3">
        <v>9</v>
      </c>
      <c r="R146" s="3">
        <v>5</v>
      </c>
      <c r="S146" s="1">
        <f>Q146*$Q$2+R146*$R$2</f>
        <v>20.75</v>
      </c>
      <c r="T146" s="7">
        <f>S146*(1+$S$5)</f>
        <v>20.75</v>
      </c>
      <c r="U146" s="7">
        <f>(Q146*$Q$3+R146*$R$3)*(1+$S$5)</f>
        <v>23</v>
      </c>
      <c r="V146" s="4">
        <f>(Q146*$Q$4+R146*$R$4)*(1+$S$5)</f>
        <v>23</v>
      </c>
      <c r="W146" s="8">
        <f>(R146*$Q$5+S146*$R$5)*($S$5)+X146</f>
        <v>3</v>
      </c>
      <c r="X146" s="9">
        <v>3</v>
      </c>
    </row>
    <row r="147" spans="16:24">
      <c r="P147" s="5">
        <f t="shared" si="2"/>
        <v>14</v>
      </c>
      <c r="Q147" s="3">
        <v>9</v>
      </c>
      <c r="R147" s="3">
        <v>5</v>
      </c>
      <c r="S147" s="1">
        <f>Q147*$Q$2+R147*$R$2</f>
        <v>20.75</v>
      </c>
      <c r="T147" s="7">
        <f>S147*(1+$S$5)</f>
        <v>20.75</v>
      </c>
      <c r="U147" s="7">
        <f>(Q147*$Q$3+R147*$R$3)*(1+$S$5)</f>
        <v>23</v>
      </c>
      <c r="V147" s="4">
        <f>(Q147*$Q$4+R147*$R$4)*(1+$S$5)</f>
        <v>23</v>
      </c>
      <c r="W147" s="8">
        <f>(R147*$Q$5+S147*$R$5)*($S$5)+X147</f>
        <v>3</v>
      </c>
      <c r="X147" s="9">
        <v>3</v>
      </c>
    </row>
    <row r="148" spans="16:24">
      <c r="P148" s="5">
        <f t="shared" si="2"/>
        <v>14.1</v>
      </c>
      <c r="Q148" s="3">
        <v>9</v>
      </c>
      <c r="R148" s="3">
        <v>5</v>
      </c>
      <c r="S148" s="1">
        <f>Q148*$Q$2+R148*$R$2</f>
        <v>20.75</v>
      </c>
      <c r="T148" s="7">
        <f>S148*(1+$S$5)</f>
        <v>20.75</v>
      </c>
      <c r="U148" s="7">
        <f>(Q148*$Q$3+R148*$R$3)*(1+$S$5)</f>
        <v>23</v>
      </c>
      <c r="V148" s="4">
        <f>(Q148*$Q$4+R148*$R$4)*(1+$S$5)</f>
        <v>23</v>
      </c>
      <c r="W148" s="8">
        <f>(R148*$Q$5+S148*$R$5)*($S$5)+X148</f>
        <v>3</v>
      </c>
      <c r="X148" s="9">
        <v>3</v>
      </c>
    </row>
    <row r="149" spans="16:24">
      <c r="P149" s="5">
        <f t="shared" si="2"/>
        <v>14.2</v>
      </c>
      <c r="Q149" s="3">
        <v>9</v>
      </c>
      <c r="R149" s="3">
        <v>5</v>
      </c>
      <c r="S149" s="1">
        <f>Q149*$Q$2+R149*$R$2</f>
        <v>20.75</v>
      </c>
      <c r="T149" s="7">
        <f>S149*(1+$S$5)</f>
        <v>20.75</v>
      </c>
      <c r="U149" s="7">
        <f>(Q149*$Q$3+R149*$R$3)*(1+$S$5)</f>
        <v>23</v>
      </c>
      <c r="V149" s="4">
        <f>(Q149*$Q$4+R149*$R$4)*(1+$S$5)</f>
        <v>23</v>
      </c>
      <c r="W149" s="8">
        <f>(R149*$Q$5+S149*$R$5)*($S$5)+X149</f>
        <v>3</v>
      </c>
      <c r="X149" s="9">
        <v>3</v>
      </c>
    </row>
    <row r="150" spans="16:24">
      <c r="P150" s="5">
        <f t="shared" si="2"/>
        <v>14.3</v>
      </c>
      <c r="Q150" s="3">
        <v>9</v>
      </c>
      <c r="R150" s="3">
        <v>5</v>
      </c>
      <c r="S150" s="1">
        <f>Q150*$Q$2+R150*$R$2</f>
        <v>20.75</v>
      </c>
      <c r="T150" s="7">
        <f>S150*(1+$S$5)</f>
        <v>20.75</v>
      </c>
      <c r="U150" s="7">
        <f>(Q150*$Q$3+R150*$R$3)*(1+$S$5)</f>
        <v>23</v>
      </c>
      <c r="V150" s="4">
        <f>(Q150*$Q$4+R150*$R$4)*(1+$S$5)</f>
        <v>23</v>
      </c>
      <c r="W150" s="8">
        <f>(R150*$Q$5+S150*$R$5)*($S$5)+X150</f>
        <v>3</v>
      </c>
      <c r="X150" s="9">
        <v>3</v>
      </c>
    </row>
    <row r="151" spans="16:24">
      <c r="P151" s="5">
        <f t="shared" si="2"/>
        <v>14.4</v>
      </c>
      <c r="Q151" s="3">
        <v>9</v>
      </c>
      <c r="R151" s="3">
        <v>5</v>
      </c>
      <c r="S151" s="1">
        <f>Q151*$Q$2+R151*$R$2</f>
        <v>20.75</v>
      </c>
      <c r="T151" s="7">
        <f>S151*(1+$S$5)</f>
        <v>20.75</v>
      </c>
      <c r="U151" s="7">
        <f>(Q151*$Q$3+R151*$R$3)*(1+$S$5)</f>
        <v>23</v>
      </c>
      <c r="V151" s="4">
        <f>(Q151*$Q$4+R151*$R$4)*(1+$S$5)</f>
        <v>23</v>
      </c>
      <c r="W151" s="8">
        <f>(R151*$Q$5+S151*$R$5)*($S$5)+X151</f>
        <v>3</v>
      </c>
      <c r="X151" s="9">
        <v>3</v>
      </c>
    </row>
    <row r="152" spans="16:24">
      <c r="P152" s="5">
        <f t="shared" si="2"/>
        <v>14.5</v>
      </c>
      <c r="Q152" s="3">
        <v>9</v>
      </c>
      <c r="R152" s="3">
        <v>5</v>
      </c>
      <c r="S152" s="1">
        <f>Q152*$Q$2+R152*$R$2</f>
        <v>20.75</v>
      </c>
      <c r="T152" s="7">
        <f>S152*(1+$S$5)</f>
        <v>20.75</v>
      </c>
      <c r="U152" s="7">
        <f>(Q152*$Q$3+R152*$R$3)*(1+$S$5)</f>
        <v>23</v>
      </c>
      <c r="V152" s="4">
        <f>(Q152*$Q$4+R152*$R$4)*(1+$S$5)</f>
        <v>23</v>
      </c>
      <c r="W152" s="8">
        <f>(R152*$Q$5+S152*$R$5)*($S$5)+X152</f>
        <v>3</v>
      </c>
      <c r="X152" s="9">
        <v>3</v>
      </c>
    </row>
    <row r="153" spans="16:24">
      <c r="P153" s="5">
        <f t="shared" si="2"/>
        <v>14.6</v>
      </c>
      <c r="Q153" s="3">
        <v>9</v>
      </c>
      <c r="R153" s="3">
        <v>5</v>
      </c>
      <c r="S153" s="1">
        <f>Q153*$Q$2+R153*$R$2</f>
        <v>20.75</v>
      </c>
      <c r="T153" s="7">
        <f>S153*(1+$S$5)</f>
        <v>20.75</v>
      </c>
      <c r="U153" s="7">
        <f>(Q153*$Q$3+R153*$R$3)*(1+$S$5)</f>
        <v>23</v>
      </c>
      <c r="V153" s="4">
        <f>(Q153*$Q$4+R153*$R$4)*(1+$S$5)</f>
        <v>23</v>
      </c>
      <c r="W153" s="8">
        <f>(R153*$Q$5+S153*$R$5)*($S$5)+X153</f>
        <v>3</v>
      </c>
      <c r="X153" s="9">
        <v>3</v>
      </c>
    </row>
    <row r="154" spans="16:24">
      <c r="P154" s="5">
        <f t="shared" si="2"/>
        <v>14.7</v>
      </c>
      <c r="Q154" s="3">
        <v>9</v>
      </c>
      <c r="R154" s="3">
        <v>5</v>
      </c>
      <c r="S154" s="1">
        <f>Q154*$Q$2+R154*$R$2</f>
        <v>20.75</v>
      </c>
      <c r="T154" s="7">
        <f>S154*(1+$S$5)</f>
        <v>20.75</v>
      </c>
      <c r="U154" s="7">
        <f>(Q154*$Q$3+R154*$R$3)*(1+$S$5)</f>
        <v>23</v>
      </c>
      <c r="V154" s="4">
        <f>(Q154*$Q$4+R154*$R$4)*(1+$S$5)</f>
        <v>23</v>
      </c>
      <c r="W154" s="8">
        <f>(R154*$Q$5+S154*$R$5)*($S$5)+X154</f>
        <v>3</v>
      </c>
      <c r="X154" s="9">
        <v>3</v>
      </c>
    </row>
    <row r="155" spans="16:24">
      <c r="P155" s="5">
        <f t="shared" si="2"/>
        <v>14.8</v>
      </c>
      <c r="Q155" s="3">
        <v>9</v>
      </c>
      <c r="R155" s="3">
        <v>5</v>
      </c>
      <c r="S155" s="1">
        <f>Q155*$Q$2+R155*$R$2</f>
        <v>20.75</v>
      </c>
      <c r="T155" s="7">
        <f>S155*(1+$S$5)</f>
        <v>20.75</v>
      </c>
      <c r="U155" s="7">
        <f>(Q155*$Q$3+R155*$R$3)*(1+$S$5)</f>
        <v>23</v>
      </c>
      <c r="V155" s="4">
        <f>(Q155*$Q$4+R155*$R$4)*(1+$S$5)</f>
        <v>23</v>
      </c>
      <c r="W155" s="8">
        <f>(R155*$Q$5+S155*$R$5)*($S$5)+X155</f>
        <v>3</v>
      </c>
      <c r="X155" s="9">
        <v>3</v>
      </c>
    </row>
    <row r="156" spans="16:24">
      <c r="P156" s="5">
        <f t="shared" si="2"/>
        <v>14.9</v>
      </c>
      <c r="Q156" s="3">
        <v>9</v>
      </c>
      <c r="R156" s="3">
        <v>5</v>
      </c>
      <c r="S156" s="1">
        <f>Q156*$Q$2+R156*$R$2</f>
        <v>20.75</v>
      </c>
      <c r="T156" s="7">
        <f>S156*(1+$S$5)</f>
        <v>20.75</v>
      </c>
      <c r="U156" s="7">
        <f>(Q156*$Q$3+R156*$R$3)*(1+$S$5)</f>
        <v>23</v>
      </c>
      <c r="V156" s="4">
        <f>(Q156*$Q$4+R156*$R$4)*(1+$S$5)</f>
        <v>23</v>
      </c>
      <c r="W156" s="8">
        <f>(R156*$Q$5+S156*$R$5)*($S$5)+X156</f>
        <v>3</v>
      </c>
      <c r="X156" s="9">
        <v>3</v>
      </c>
    </row>
    <row r="157" spans="16:24">
      <c r="P157" s="5">
        <f t="shared" si="2"/>
        <v>15</v>
      </c>
      <c r="Q157" s="3">
        <v>9</v>
      </c>
      <c r="R157" s="3">
        <v>6</v>
      </c>
      <c r="S157" s="1">
        <f>Q157*$Q$2+R157*$R$2</f>
        <v>21.75</v>
      </c>
      <c r="T157" s="7">
        <f>S157*(1+$S$5)</f>
        <v>21.75</v>
      </c>
      <c r="U157" s="7">
        <f>(Q157*$Q$3+R157*$R$3)*(1+$S$5)</f>
        <v>24</v>
      </c>
      <c r="V157" s="4">
        <f>(Q157*$Q$4+R157*$R$4)*(1+$S$5)</f>
        <v>24</v>
      </c>
      <c r="W157" s="8">
        <f>(R157*$Q$5+S157*$R$5)*($S$5)+X157</f>
        <v>3</v>
      </c>
      <c r="X157" s="9">
        <v>3</v>
      </c>
    </row>
    <row r="158" spans="16:24">
      <c r="P158" s="5">
        <f t="shared" si="2"/>
        <v>15.1</v>
      </c>
      <c r="Q158" s="3">
        <v>9</v>
      </c>
      <c r="R158" s="3">
        <v>6</v>
      </c>
      <c r="S158" s="1">
        <f>Q158*$Q$2+R158*$R$2</f>
        <v>21.75</v>
      </c>
      <c r="T158" s="7">
        <f>S158*(1+$S$5)</f>
        <v>21.75</v>
      </c>
      <c r="U158" s="7">
        <f>(Q158*$Q$3+R158*$R$3)*(1+$S$5)</f>
        <v>24</v>
      </c>
      <c r="V158" s="4">
        <f>(Q158*$Q$4+R158*$R$4)*(1+$S$5)</f>
        <v>24</v>
      </c>
      <c r="W158" s="8">
        <f>(R158*$Q$5+S158*$R$5)*($S$5)+X158</f>
        <v>3</v>
      </c>
      <c r="X158" s="9">
        <v>3</v>
      </c>
    </row>
    <row r="159" spans="16:24">
      <c r="P159" s="5">
        <f t="shared" si="2"/>
        <v>15.2</v>
      </c>
      <c r="Q159" s="3">
        <v>9</v>
      </c>
      <c r="R159" s="3">
        <v>6</v>
      </c>
      <c r="S159" s="1">
        <f>Q159*$Q$2+R159*$R$2</f>
        <v>21.75</v>
      </c>
      <c r="T159" s="7">
        <f>S159*(1+$S$5)</f>
        <v>21.75</v>
      </c>
      <c r="U159" s="7">
        <f>(Q159*$Q$3+R159*$R$3)*(1+$S$5)</f>
        <v>24</v>
      </c>
      <c r="V159" s="4">
        <f>(Q159*$Q$4+R159*$R$4)*(1+$S$5)</f>
        <v>24</v>
      </c>
      <c r="W159" s="8">
        <f>(R159*$Q$5+S159*$R$5)*($S$5)+X159</f>
        <v>3</v>
      </c>
      <c r="X159" s="9">
        <v>3</v>
      </c>
    </row>
    <row r="160" spans="16:24">
      <c r="P160" s="5">
        <f t="shared" si="2"/>
        <v>15.3</v>
      </c>
      <c r="Q160" s="3">
        <v>9</v>
      </c>
      <c r="R160" s="3">
        <v>6</v>
      </c>
      <c r="S160" s="1">
        <f>Q160*$Q$2+R160*$R$2</f>
        <v>21.75</v>
      </c>
      <c r="T160" s="7">
        <f>S160*(1+$S$5)</f>
        <v>21.75</v>
      </c>
      <c r="U160" s="7">
        <f>(Q160*$Q$3+R160*$R$3)*(1+$S$5)</f>
        <v>24</v>
      </c>
      <c r="V160" s="4">
        <f>(Q160*$Q$4+R160*$R$4)*(1+$S$5)</f>
        <v>24</v>
      </c>
      <c r="W160" s="8">
        <f>(R160*$Q$5+S160*$R$5)*($S$5)+X160</f>
        <v>3</v>
      </c>
      <c r="X160" s="9">
        <v>3</v>
      </c>
    </row>
    <row r="161" spans="16:24">
      <c r="P161" s="5">
        <f t="shared" si="2"/>
        <v>15.4</v>
      </c>
      <c r="Q161" s="3">
        <v>9</v>
      </c>
      <c r="R161" s="3">
        <v>6</v>
      </c>
      <c r="S161" s="1">
        <f>Q161*$Q$2+R161*$R$2</f>
        <v>21.75</v>
      </c>
      <c r="T161" s="7">
        <f>S161*(1+$S$5)</f>
        <v>21.75</v>
      </c>
      <c r="U161" s="7">
        <f>(Q161*$Q$3+R161*$R$3)*(1+$S$5)</f>
        <v>24</v>
      </c>
      <c r="V161" s="4">
        <f>(Q161*$Q$4+R161*$R$4)*(1+$S$5)</f>
        <v>24</v>
      </c>
      <c r="W161" s="8">
        <f>(R161*$Q$5+S161*$R$5)*($S$5)+X161</f>
        <v>3</v>
      </c>
      <c r="X161" s="9">
        <v>3</v>
      </c>
    </row>
    <row r="162" spans="16:24">
      <c r="P162" s="5">
        <f t="shared" si="2"/>
        <v>15.5</v>
      </c>
      <c r="Q162" s="3">
        <v>9</v>
      </c>
      <c r="R162" s="3">
        <v>6</v>
      </c>
      <c r="S162" s="1">
        <f>Q162*$Q$2+R162*$R$2</f>
        <v>21.75</v>
      </c>
      <c r="T162" s="7">
        <f>S162*(1+$S$5)</f>
        <v>21.75</v>
      </c>
      <c r="U162" s="7">
        <f>(Q162*$Q$3+R162*$R$3)*(1+$S$5)</f>
        <v>24</v>
      </c>
      <c r="V162" s="4">
        <f>(Q162*$Q$4+R162*$R$4)*(1+$S$5)</f>
        <v>24</v>
      </c>
      <c r="W162" s="8">
        <f>(R162*$Q$5+S162*$R$5)*($S$5)+X162</f>
        <v>3</v>
      </c>
      <c r="X162" s="9">
        <v>3</v>
      </c>
    </row>
    <row r="163" spans="16:24">
      <c r="P163" s="5">
        <f t="shared" si="2"/>
        <v>15.6</v>
      </c>
      <c r="Q163" s="3">
        <v>9</v>
      </c>
      <c r="R163" s="3">
        <v>6</v>
      </c>
      <c r="S163" s="1">
        <f>Q163*$Q$2+R163*$R$2</f>
        <v>21.75</v>
      </c>
      <c r="T163" s="7">
        <f>S163*(1+$S$5)</f>
        <v>21.75</v>
      </c>
      <c r="U163" s="7">
        <f>(Q163*$Q$3+R163*$R$3)*(1+$S$5)</f>
        <v>24</v>
      </c>
      <c r="V163" s="4">
        <f>(Q163*$Q$4+R163*$R$4)*(1+$S$5)</f>
        <v>24</v>
      </c>
      <c r="W163" s="8">
        <f>(R163*$Q$5+S163*$R$5)*($S$5)+X163</f>
        <v>3</v>
      </c>
      <c r="X163" s="9">
        <v>3</v>
      </c>
    </row>
    <row r="164" spans="16:24">
      <c r="P164" s="5">
        <f t="shared" si="2"/>
        <v>15.7</v>
      </c>
      <c r="Q164" s="3">
        <v>9</v>
      </c>
      <c r="R164" s="3">
        <v>6</v>
      </c>
      <c r="S164" s="1">
        <f>Q164*$Q$2+R164*$R$2</f>
        <v>21.75</v>
      </c>
      <c r="T164" s="7">
        <f>S164*(1+$S$5)</f>
        <v>21.75</v>
      </c>
      <c r="U164" s="7">
        <f>(Q164*$Q$3+R164*$R$3)*(1+$S$5)</f>
        <v>24</v>
      </c>
      <c r="V164" s="4">
        <f>(Q164*$Q$4+R164*$R$4)*(1+$S$5)</f>
        <v>24</v>
      </c>
      <c r="W164" s="8">
        <f>(R164*$Q$5+S164*$R$5)*($S$5)+X164</f>
        <v>3</v>
      </c>
      <c r="X164" s="9">
        <v>3</v>
      </c>
    </row>
    <row r="165" spans="16:24">
      <c r="P165" s="5">
        <f t="shared" si="2"/>
        <v>15.8</v>
      </c>
      <c r="Q165" s="3">
        <v>9</v>
      </c>
      <c r="R165" s="3">
        <v>6</v>
      </c>
      <c r="S165" s="1">
        <f>Q165*$Q$2+R165*$R$2</f>
        <v>21.75</v>
      </c>
      <c r="T165" s="7">
        <f>S165*(1+$S$5)</f>
        <v>21.75</v>
      </c>
      <c r="U165" s="7">
        <f>(Q165*$Q$3+R165*$R$3)*(1+$S$5)</f>
        <v>24</v>
      </c>
      <c r="V165" s="4">
        <f>(Q165*$Q$4+R165*$R$4)*(1+$S$5)</f>
        <v>24</v>
      </c>
      <c r="W165" s="8">
        <f>(R165*$Q$5+S165*$R$5)*($S$5)+X165</f>
        <v>3</v>
      </c>
      <c r="X165" s="9">
        <v>3</v>
      </c>
    </row>
    <row r="166" spans="16:24">
      <c r="P166" s="5">
        <f t="shared" si="2"/>
        <v>15.9</v>
      </c>
      <c r="Q166" s="3">
        <v>9</v>
      </c>
      <c r="R166" s="3">
        <v>6</v>
      </c>
      <c r="S166" s="1">
        <f>Q166*$Q$2+R166*$R$2</f>
        <v>21.75</v>
      </c>
      <c r="T166" s="7">
        <f>S166*(1+$S$5)</f>
        <v>21.75</v>
      </c>
      <c r="U166" s="7">
        <f>(Q166*$Q$3+R166*$R$3)*(1+$S$5)</f>
        <v>24</v>
      </c>
      <c r="V166" s="4">
        <f>(Q166*$Q$4+R166*$R$4)*(1+$S$5)</f>
        <v>24</v>
      </c>
      <c r="W166" s="8">
        <f>(R166*$Q$5+S166*$R$5)*($S$5)+X166</f>
        <v>3</v>
      </c>
      <c r="X166" s="9">
        <v>3</v>
      </c>
    </row>
    <row r="167" spans="16:24">
      <c r="P167" s="5">
        <f t="shared" si="2"/>
        <v>16</v>
      </c>
      <c r="Q167" s="3">
        <v>9</v>
      </c>
      <c r="R167" s="3">
        <v>6</v>
      </c>
      <c r="S167" s="1">
        <f>Q167*$Q$2+R167*$R$2</f>
        <v>21.75</v>
      </c>
      <c r="T167" s="7">
        <f>S167*(1+$S$5)</f>
        <v>21.75</v>
      </c>
      <c r="U167" s="7">
        <f>(Q167*$Q$3+R167*$R$3)*(1+$S$5)</f>
        <v>24</v>
      </c>
      <c r="V167" s="4">
        <f>(Q167*$Q$4+R167*$R$4)*(1+$S$5)</f>
        <v>24</v>
      </c>
      <c r="W167" s="8">
        <f>(R167*$Q$5+S167*$R$5)*($S$5)+X167</f>
        <v>3</v>
      </c>
      <c r="X167" s="9">
        <v>3</v>
      </c>
    </row>
    <row r="168" spans="16:24">
      <c r="P168" s="5">
        <f t="shared" si="2"/>
        <v>16.1</v>
      </c>
      <c r="Q168" s="3">
        <v>9</v>
      </c>
      <c r="R168" s="3">
        <v>6</v>
      </c>
      <c r="S168" s="1">
        <f>Q168*$Q$2+R168*$R$2</f>
        <v>21.75</v>
      </c>
      <c r="T168" s="7">
        <f>S168*(1+$S$5)</f>
        <v>21.75</v>
      </c>
      <c r="U168" s="7">
        <f>(Q168*$Q$3+R168*$R$3)*(1+$S$5)</f>
        <v>24</v>
      </c>
      <c r="V168" s="4">
        <f>(Q168*$Q$4+R168*$R$4)*(1+$S$5)</f>
        <v>24</v>
      </c>
      <c r="W168" s="8">
        <f>(R168*$Q$5+S168*$R$5)*($S$5)+X168</f>
        <v>3</v>
      </c>
      <c r="X168" s="9">
        <v>3</v>
      </c>
    </row>
    <row r="169" spans="16:24">
      <c r="P169" s="5">
        <f t="shared" si="2"/>
        <v>16.2</v>
      </c>
      <c r="Q169" s="3">
        <v>9</v>
      </c>
      <c r="R169" s="3">
        <v>6</v>
      </c>
      <c r="S169" s="1">
        <f>Q169*$Q$2+R169*$R$2</f>
        <v>21.75</v>
      </c>
      <c r="T169" s="7">
        <f>S169*(1+$S$5)</f>
        <v>21.75</v>
      </c>
      <c r="U169" s="7">
        <f>(Q169*$Q$3+R169*$R$3)*(1+$S$5)</f>
        <v>24</v>
      </c>
      <c r="V169" s="4">
        <f>(Q169*$Q$4+R169*$R$4)*(1+$S$5)</f>
        <v>24</v>
      </c>
      <c r="W169" s="8">
        <f>(R169*$Q$5+S169*$R$5)*($S$5)+X169</f>
        <v>3</v>
      </c>
      <c r="X169" s="9">
        <v>3</v>
      </c>
    </row>
    <row r="170" spans="16:24">
      <c r="P170" s="5">
        <f t="shared" si="2"/>
        <v>16.3</v>
      </c>
      <c r="Q170" s="3">
        <v>9</v>
      </c>
      <c r="R170" s="3">
        <v>6</v>
      </c>
      <c r="S170" s="1">
        <f>Q170*$Q$2+R170*$R$2</f>
        <v>21.75</v>
      </c>
      <c r="T170" s="7">
        <f>S170*(1+$S$5)</f>
        <v>21.75</v>
      </c>
      <c r="U170" s="7">
        <f>(Q170*$Q$3+R170*$R$3)*(1+$S$5)</f>
        <v>24</v>
      </c>
      <c r="V170" s="4">
        <f>(Q170*$Q$4+R170*$R$4)*(1+$S$5)</f>
        <v>24</v>
      </c>
      <c r="W170" s="8">
        <f>(R170*$Q$5+S170*$R$5)*($S$5)+X170</f>
        <v>3</v>
      </c>
      <c r="X170" s="9">
        <v>3</v>
      </c>
    </row>
    <row r="171" spans="16:24">
      <c r="P171" s="5">
        <f t="shared" si="2"/>
        <v>16.4</v>
      </c>
      <c r="Q171" s="3">
        <v>9</v>
      </c>
      <c r="R171" s="3">
        <v>6</v>
      </c>
      <c r="S171" s="1">
        <f>Q171*$Q$2+R171*$R$2</f>
        <v>21.75</v>
      </c>
      <c r="T171" s="7">
        <f>S171*(1+$S$5)</f>
        <v>21.75</v>
      </c>
      <c r="U171" s="7">
        <f>(Q171*$Q$3+R171*$R$3)*(1+$S$5)</f>
        <v>24</v>
      </c>
      <c r="V171" s="4">
        <f>(Q171*$Q$4+R171*$R$4)*(1+$S$5)</f>
        <v>24</v>
      </c>
      <c r="W171" s="8">
        <f>(R171*$Q$5+S171*$R$5)*($S$5)+X171</f>
        <v>3</v>
      </c>
      <c r="X171" s="9">
        <v>3</v>
      </c>
    </row>
    <row r="172" spans="16:24">
      <c r="P172" s="5">
        <f t="shared" si="2"/>
        <v>16.5</v>
      </c>
      <c r="Q172" s="3">
        <v>9</v>
      </c>
      <c r="R172" s="3">
        <v>6</v>
      </c>
      <c r="S172" s="1">
        <f>Q172*$Q$2+R172*$R$2</f>
        <v>21.75</v>
      </c>
      <c r="T172" s="7">
        <f>S172*(1+$S$5)</f>
        <v>21.75</v>
      </c>
      <c r="U172" s="7">
        <f>(Q172*$Q$3+R172*$R$3)*(1+$S$5)</f>
        <v>24</v>
      </c>
      <c r="V172" s="4">
        <f>(Q172*$Q$4+R172*$R$4)*(1+$S$5)</f>
        <v>24</v>
      </c>
      <c r="W172" s="8">
        <f>(R172*$Q$5+S172*$R$5)*($S$5)+X172</f>
        <v>3</v>
      </c>
      <c r="X172" s="9">
        <v>3</v>
      </c>
    </row>
    <row r="173" spans="16:24">
      <c r="P173" s="5">
        <f t="shared" si="2"/>
        <v>16.6</v>
      </c>
      <c r="Q173" s="3">
        <v>9</v>
      </c>
      <c r="R173" s="3">
        <v>6</v>
      </c>
      <c r="S173" s="1">
        <f>Q173*$Q$2+R173*$R$2</f>
        <v>21.75</v>
      </c>
      <c r="T173" s="7">
        <f>S173*(1+$S$5)</f>
        <v>21.75</v>
      </c>
      <c r="U173" s="7">
        <f>(Q173*$Q$3+R173*$R$3)*(1+$S$5)</f>
        <v>24</v>
      </c>
      <c r="V173" s="4">
        <f>(Q173*$Q$4+R173*$R$4)*(1+$S$5)</f>
        <v>24</v>
      </c>
      <c r="W173" s="8">
        <f>(R173*$Q$5+S173*$R$5)*($S$5)+X173</f>
        <v>3</v>
      </c>
      <c r="X173" s="9">
        <v>3</v>
      </c>
    </row>
    <row r="174" spans="16:24">
      <c r="P174" s="5">
        <f t="shared" si="2"/>
        <v>16.7</v>
      </c>
      <c r="Q174" s="3">
        <v>9</v>
      </c>
      <c r="R174" s="3">
        <v>6</v>
      </c>
      <c r="S174" s="1">
        <f>Q174*$Q$2+R174*$R$2</f>
        <v>21.75</v>
      </c>
      <c r="T174" s="7">
        <f>S174*(1+$S$5)</f>
        <v>21.75</v>
      </c>
      <c r="U174" s="7">
        <f>(Q174*$Q$3+R174*$R$3)*(1+$S$5)</f>
        <v>24</v>
      </c>
      <c r="V174" s="4">
        <f>(Q174*$Q$4+R174*$R$4)*(1+$S$5)</f>
        <v>24</v>
      </c>
      <c r="W174" s="8">
        <f>(R174*$Q$5+S174*$R$5)*($S$5)+X174</f>
        <v>3</v>
      </c>
      <c r="X174" s="9">
        <v>3</v>
      </c>
    </row>
    <row r="175" spans="16:24">
      <c r="P175" s="5">
        <f t="shared" si="2"/>
        <v>16.8</v>
      </c>
      <c r="Q175" s="3">
        <v>9</v>
      </c>
      <c r="R175" s="3">
        <v>6</v>
      </c>
      <c r="S175" s="1">
        <f>Q175*$Q$2+R175*$R$2</f>
        <v>21.75</v>
      </c>
      <c r="T175" s="7">
        <f>S175*(1+$S$5)</f>
        <v>21.75</v>
      </c>
      <c r="U175" s="7">
        <f>(Q175*$Q$3+R175*$R$3)*(1+$S$5)</f>
        <v>24</v>
      </c>
      <c r="V175" s="4">
        <f>(Q175*$Q$4+R175*$R$4)*(1+$S$5)</f>
        <v>24</v>
      </c>
      <c r="W175" s="8">
        <f>(R175*$Q$5+S175*$R$5)*($S$5)+X175</f>
        <v>3</v>
      </c>
      <c r="X175" s="9">
        <v>3</v>
      </c>
    </row>
    <row r="176" spans="16:24">
      <c r="P176" s="5">
        <f t="shared" si="2"/>
        <v>16.9</v>
      </c>
      <c r="Q176" s="3">
        <v>9</v>
      </c>
      <c r="R176" s="3">
        <v>6</v>
      </c>
      <c r="S176" s="1">
        <f>Q176*$Q$2+R176*$R$2</f>
        <v>21.75</v>
      </c>
      <c r="T176" s="7">
        <f>S176*(1+$S$5)</f>
        <v>21.75</v>
      </c>
      <c r="U176" s="7">
        <f>(Q176*$Q$3+R176*$R$3)*(1+$S$5)</f>
        <v>24</v>
      </c>
      <c r="V176" s="4">
        <f>(Q176*$Q$4+R176*$R$4)*(1+$S$5)</f>
        <v>24</v>
      </c>
      <c r="W176" s="8">
        <f>(R176*$Q$5+S176*$R$5)*($S$5)+X176</f>
        <v>3</v>
      </c>
      <c r="X176" s="9">
        <v>3</v>
      </c>
    </row>
    <row r="177" spans="16:24">
      <c r="P177" s="5">
        <f t="shared" si="2"/>
        <v>17</v>
      </c>
      <c r="Q177" s="3">
        <v>9</v>
      </c>
      <c r="R177" s="3">
        <v>6</v>
      </c>
      <c r="S177" s="1">
        <f>Q177*$Q$2+R177*$R$2</f>
        <v>21.75</v>
      </c>
      <c r="T177" s="7">
        <f>S177*(1+$S$5)</f>
        <v>21.75</v>
      </c>
      <c r="U177" s="7">
        <f>(Q177*$Q$3+R177*$R$3)*(1+$S$5)</f>
        <v>24</v>
      </c>
      <c r="V177" s="4">
        <f>(Q177*$Q$4+R177*$R$4)*(1+$S$5)</f>
        <v>24</v>
      </c>
      <c r="W177" s="8">
        <f>(R177*$Q$5+S177*$R$5)*($S$5)+X177</f>
        <v>3</v>
      </c>
      <c r="X177" s="9">
        <v>3</v>
      </c>
    </row>
    <row r="178" spans="16:24">
      <c r="P178" s="5">
        <f t="shared" si="2"/>
        <v>17.1</v>
      </c>
      <c r="Q178" s="3">
        <v>9</v>
      </c>
      <c r="R178" s="3">
        <v>6</v>
      </c>
      <c r="S178" s="1">
        <f>Q178*$Q$2+R178*$R$2</f>
        <v>21.75</v>
      </c>
      <c r="T178" s="7">
        <f>S178*(1+$S$5)</f>
        <v>21.75</v>
      </c>
      <c r="U178" s="7">
        <f>(Q178*$Q$3+R178*$R$3)*(1+$S$5)</f>
        <v>24</v>
      </c>
      <c r="V178" s="4">
        <f>(Q178*$Q$4+R178*$R$4)*(1+$S$5)</f>
        <v>24</v>
      </c>
      <c r="W178" s="8">
        <f>(R178*$Q$5+S178*$R$5)*($S$5)+X178</f>
        <v>3</v>
      </c>
      <c r="X178" s="9">
        <v>3</v>
      </c>
    </row>
    <row r="179" spans="16:24">
      <c r="P179" s="5">
        <f t="shared" si="2"/>
        <v>17.2</v>
      </c>
      <c r="Q179" s="3">
        <v>9</v>
      </c>
      <c r="R179" s="3">
        <v>6</v>
      </c>
      <c r="S179" s="1">
        <f>Q179*$Q$2+R179*$R$2</f>
        <v>21.75</v>
      </c>
      <c r="T179" s="7">
        <f>S179*(1+$S$5)</f>
        <v>21.75</v>
      </c>
      <c r="U179" s="7">
        <f>(Q179*$Q$3+R179*$R$3)*(1+$S$5)</f>
        <v>24</v>
      </c>
      <c r="V179" s="4">
        <f>(Q179*$Q$4+R179*$R$4)*(1+$S$5)</f>
        <v>24</v>
      </c>
      <c r="W179" s="8">
        <f>(R179*$Q$5+S179*$R$5)*($S$5)+X179</f>
        <v>3</v>
      </c>
      <c r="X179" s="9">
        <v>3</v>
      </c>
    </row>
    <row r="180" spans="16:24">
      <c r="P180" s="5">
        <f t="shared" si="2"/>
        <v>17.3</v>
      </c>
      <c r="Q180" s="3">
        <v>9</v>
      </c>
      <c r="R180" s="3">
        <v>6</v>
      </c>
      <c r="S180" s="1">
        <f>Q180*$Q$2+R180*$R$2</f>
        <v>21.75</v>
      </c>
      <c r="T180" s="7">
        <f>S180*(1+$S$5)</f>
        <v>21.75</v>
      </c>
      <c r="U180" s="7">
        <f>(Q180*$Q$3+R180*$R$3)*(1+$S$5)</f>
        <v>24</v>
      </c>
      <c r="V180" s="4">
        <f>(Q180*$Q$4+R180*$R$4)*(1+$S$5)</f>
        <v>24</v>
      </c>
      <c r="W180" s="8">
        <f>(R180*$Q$5+S180*$R$5)*($S$5)+X180</f>
        <v>3</v>
      </c>
      <c r="X180" s="9">
        <v>3</v>
      </c>
    </row>
    <row r="181" spans="16:24">
      <c r="P181" s="5">
        <f t="shared" si="2"/>
        <v>17.4</v>
      </c>
      <c r="Q181" s="3">
        <v>9</v>
      </c>
      <c r="R181" s="3">
        <v>6</v>
      </c>
      <c r="S181" s="1">
        <f>Q181*$Q$2+R181*$R$2</f>
        <v>21.75</v>
      </c>
      <c r="T181" s="7">
        <f>S181*(1+$S$5)</f>
        <v>21.75</v>
      </c>
      <c r="U181" s="7">
        <f>(Q181*$Q$3+R181*$R$3)*(1+$S$5)</f>
        <v>24</v>
      </c>
      <c r="V181" s="4">
        <f>(Q181*$Q$4+R181*$R$4)*(1+$S$5)</f>
        <v>24</v>
      </c>
      <c r="W181" s="8">
        <f>(R181*$Q$5+S181*$R$5)*($S$5)+X181</f>
        <v>3</v>
      </c>
      <c r="X181" s="9">
        <v>3</v>
      </c>
    </row>
    <row r="182" spans="16:24">
      <c r="P182" s="5">
        <f t="shared" si="2"/>
        <v>17.5</v>
      </c>
      <c r="Q182" s="3">
        <v>9</v>
      </c>
      <c r="R182" s="3">
        <v>6</v>
      </c>
      <c r="S182" s="1">
        <f>Q182*$Q$2+R182*$R$2</f>
        <v>21.75</v>
      </c>
      <c r="T182" s="7">
        <f>S182*(1+$S$5)</f>
        <v>21.75</v>
      </c>
      <c r="U182" s="7">
        <f>(Q182*$Q$3+R182*$R$3)*(1+$S$5)</f>
        <v>24</v>
      </c>
      <c r="V182" s="4">
        <f>(Q182*$Q$4+R182*$R$4)*(1+$S$5)</f>
        <v>24</v>
      </c>
      <c r="W182" s="8">
        <f>(R182*$Q$5+S182*$R$5)*($S$5)+X182</f>
        <v>3</v>
      </c>
      <c r="X182" s="9">
        <v>3</v>
      </c>
    </row>
    <row r="183" spans="16:24">
      <c r="P183" s="5">
        <f t="shared" si="2"/>
        <v>17.6</v>
      </c>
      <c r="Q183" s="3">
        <v>9</v>
      </c>
      <c r="R183" s="3">
        <v>6</v>
      </c>
      <c r="S183" s="1">
        <f>Q183*$Q$2+R183*$R$2</f>
        <v>21.75</v>
      </c>
      <c r="T183" s="7">
        <f>S183*(1+$S$5)</f>
        <v>21.75</v>
      </c>
      <c r="U183" s="7">
        <f>(Q183*$Q$3+R183*$R$3)*(1+$S$5)</f>
        <v>24</v>
      </c>
      <c r="V183" s="4">
        <f>(Q183*$Q$4+R183*$R$4)*(1+$S$5)</f>
        <v>24</v>
      </c>
      <c r="W183" s="8">
        <f>(R183*$Q$5+S183*$R$5)*($S$5)+X183</f>
        <v>3</v>
      </c>
      <c r="X183" s="9">
        <v>3</v>
      </c>
    </row>
    <row r="184" spans="16:24">
      <c r="P184" s="5">
        <f t="shared" si="2"/>
        <v>17.7</v>
      </c>
      <c r="Q184" s="3">
        <v>9</v>
      </c>
      <c r="R184" s="3">
        <v>6</v>
      </c>
      <c r="S184" s="1">
        <f>Q184*$Q$2+R184*$R$2</f>
        <v>21.75</v>
      </c>
      <c r="T184" s="7">
        <f>S184*(1+$S$5)</f>
        <v>21.75</v>
      </c>
      <c r="U184" s="7">
        <f>(Q184*$Q$3+R184*$R$3)*(1+$S$5)</f>
        <v>24</v>
      </c>
      <c r="V184" s="4">
        <f>(Q184*$Q$4+R184*$R$4)*(1+$S$5)</f>
        <v>24</v>
      </c>
      <c r="W184" s="8">
        <f>(R184*$Q$5+S184*$R$5)*($S$5)+X184</f>
        <v>3</v>
      </c>
      <c r="X184" s="9">
        <v>3</v>
      </c>
    </row>
    <row r="185" spans="16:24">
      <c r="P185" s="5">
        <f t="shared" si="2"/>
        <v>17.8</v>
      </c>
      <c r="Q185" s="3">
        <v>9</v>
      </c>
      <c r="R185" s="3">
        <v>6</v>
      </c>
      <c r="S185" s="1">
        <f>Q185*$Q$2+R185*$R$2</f>
        <v>21.75</v>
      </c>
      <c r="T185" s="7">
        <f>S185*(1+$S$5)</f>
        <v>21.75</v>
      </c>
      <c r="U185" s="7">
        <f>(Q185*$Q$3+R185*$R$3)*(1+$S$5)</f>
        <v>24</v>
      </c>
      <c r="V185" s="4">
        <f>(Q185*$Q$4+R185*$R$4)*(1+$S$5)</f>
        <v>24</v>
      </c>
      <c r="W185" s="8">
        <f>(R185*$Q$5+S185*$R$5)*($S$5)+X185</f>
        <v>3</v>
      </c>
      <c r="X185" s="9">
        <v>3</v>
      </c>
    </row>
    <row r="186" spans="16:24">
      <c r="P186" s="5">
        <f t="shared" si="2"/>
        <v>17.9</v>
      </c>
      <c r="Q186" s="3">
        <v>9</v>
      </c>
      <c r="R186" s="3">
        <v>6</v>
      </c>
      <c r="S186" s="1">
        <f>Q186*$Q$2+R186*$R$2</f>
        <v>21.75</v>
      </c>
      <c r="T186" s="7">
        <f>S186*(1+$S$5)</f>
        <v>21.75</v>
      </c>
      <c r="U186" s="7">
        <f>(Q186*$Q$3+R186*$R$3)*(1+$S$5)</f>
        <v>24</v>
      </c>
      <c r="V186" s="4">
        <f>(Q186*$Q$4+R186*$R$4)*(1+$S$5)</f>
        <v>24</v>
      </c>
      <c r="W186" s="8">
        <f>(R186*$Q$5+S186*$R$5)*($S$5)+X186</f>
        <v>3</v>
      </c>
      <c r="X186" s="9">
        <v>3</v>
      </c>
    </row>
    <row r="187" spans="16:24">
      <c r="P187" s="5">
        <f t="shared" si="2"/>
        <v>18</v>
      </c>
      <c r="Q187" s="3">
        <v>9</v>
      </c>
      <c r="R187" s="3">
        <v>7</v>
      </c>
      <c r="S187" s="1">
        <f>Q187*$Q$2+R187*$R$2</f>
        <v>22.75</v>
      </c>
      <c r="T187" s="7">
        <f>S187*(1+$S$5)</f>
        <v>22.75</v>
      </c>
      <c r="U187" s="7">
        <f>(Q187*$Q$3+R187*$R$3)*(1+$S$5)</f>
        <v>25</v>
      </c>
      <c r="V187" s="4">
        <f>(Q187*$Q$4+R187*$R$4)*(1+$S$5)</f>
        <v>25</v>
      </c>
      <c r="W187" s="8">
        <f>(R187*$Q$5+S187*$R$5)*($S$5)+X187</f>
        <v>3</v>
      </c>
      <c r="X187" s="9">
        <v>3</v>
      </c>
    </row>
    <row r="188" spans="16:24">
      <c r="P188" s="5">
        <f t="shared" si="2"/>
        <v>18.1</v>
      </c>
      <c r="Q188" s="3">
        <v>9</v>
      </c>
      <c r="R188" s="3">
        <v>7</v>
      </c>
      <c r="S188" s="1">
        <f>Q188*$Q$2+R188*$R$2</f>
        <v>22.75</v>
      </c>
      <c r="T188" s="7">
        <f>S188*(1+$S$5)</f>
        <v>22.75</v>
      </c>
      <c r="U188" s="7">
        <f>(Q188*$Q$3+R188*$R$3)*(1+$S$5)</f>
        <v>25</v>
      </c>
      <c r="V188" s="4">
        <f>(Q188*$Q$4+R188*$R$4)*(1+$S$5)</f>
        <v>25</v>
      </c>
      <c r="W188" s="8">
        <f>(R188*$Q$5+S188*$R$5)*($S$5)+X188</f>
        <v>3</v>
      </c>
      <c r="X188" s="9">
        <v>3</v>
      </c>
    </row>
    <row r="189" spans="16:24">
      <c r="P189" s="5">
        <f t="shared" si="2"/>
        <v>18.2</v>
      </c>
      <c r="Q189" s="3">
        <v>9</v>
      </c>
      <c r="R189" s="3">
        <v>7</v>
      </c>
      <c r="S189" s="1">
        <f>Q189*$Q$2+R189*$R$2</f>
        <v>22.75</v>
      </c>
      <c r="T189" s="7">
        <f>S189*(1+$S$5)</f>
        <v>22.75</v>
      </c>
      <c r="U189" s="7">
        <f>(Q189*$Q$3+R189*$R$3)*(1+$S$5)</f>
        <v>25</v>
      </c>
      <c r="V189" s="4">
        <f>(Q189*$Q$4+R189*$R$4)*(1+$S$5)</f>
        <v>25</v>
      </c>
      <c r="W189" s="8">
        <f>(R189*$Q$5+S189*$R$5)*($S$5)+X189</f>
        <v>3</v>
      </c>
      <c r="X189" s="9">
        <v>3</v>
      </c>
    </row>
    <row r="190" spans="16:24">
      <c r="P190" s="5">
        <f t="shared" si="2"/>
        <v>18.3</v>
      </c>
      <c r="Q190" s="3">
        <v>9</v>
      </c>
      <c r="R190" s="3">
        <v>7</v>
      </c>
      <c r="S190" s="1">
        <f>Q190*$Q$2+R190*$R$2</f>
        <v>22.75</v>
      </c>
      <c r="T190" s="7">
        <f>S190*(1+$S$5)</f>
        <v>22.75</v>
      </c>
      <c r="U190" s="7">
        <f>(Q190*$Q$3+R190*$R$3)*(1+$S$5)</f>
        <v>25</v>
      </c>
      <c r="V190" s="4">
        <f>(Q190*$Q$4+R190*$R$4)*(1+$S$5)</f>
        <v>25</v>
      </c>
      <c r="W190" s="8">
        <f>(R190*$Q$5+S190*$R$5)*($S$5)+X190</f>
        <v>3</v>
      </c>
      <c r="X190" s="9">
        <v>3</v>
      </c>
    </row>
    <row r="191" spans="16:24">
      <c r="P191" s="5">
        <f t="shared" si="2"/>
        <v>18.4</v>
      </c>
      <c r="Q191" s="3">
        <v>9</v>
      </c>
      <c r="R191" s="3">
        <v>7</v>
      </c>
      <c r="S191" s="1">
        <f>Q191*$Q$2+R191*$R$2</f>
        <v>22.75</v>
      </c>
      <c r="T191" s="7">
        <f>S191*(1+$S$5)</f>
        <v>22.75</v>
      </c>
      <c r="U191" s="7">
        <f>(Q191*$Q$3+R191*$R$3)*(1+$S$5)</f>
        <v>25</v>
      </c>
      <c r="V191" s="4">
        <f>(Q191*$Q$4+R191*$R$4)*(1+$S$5)</f>
        <v>25</v>
      </c>
      <c r="W191" s="8">
        <f>(R191*$Q$5+S191*$R$5)*($S$5)+X191</f>
        <v>3</v>
      </c>
      <c r="X191" s="9">
        <v>3</v>
      </c>
    </row>
    <row r="192" spans="16:24">
      <c r="P192" s="5">
        <f t="shared" si="2"/>
        <v>18.5</v>
      </c>
      <c r="Q192" s="3">
        <v>9</v>
      </c>
      <c r="R192" s="3">
        <v>7</v>
      </c>
      <c r="S192" s="1">
        <f>Q192*$Q$2+R192*$R$2</f>
        <v>22.75</v>
      </c>
      <c r="T192" s="7">
        <f>S192*(1+$S$5)</f>
        <v>22.75</v>
      </c>
      <c r="U192" s="7">
        <f>(Q192*$Q$3+R192*$R$3)*(1+$S$5)</f>
        <v>25</v>
      </c>
      <c r="V192" s="4">
        <f>(Q192*$Q$4+R192*$R$4)*(1+$S$5)</f>
        <v>25</v>
      </c>
      <c r="W192" s="8">
        <f>(R192*$Q$5+S192*$R$5)*($S$5)+X192</f>
        <v>3</v>
      </c>
      <c r="X192" s="9">
        <v>3</v>
      </c>
    </row>
    <row r="193" spans="16:24">
      <c r="P193" s="5">
        <f t="shared" si="2"/>
        <v>18.6</v>
      </c>
      <c r="Q193" s="3">
        <v>9</v>
      </c>
      <c r="R193" s="3">
        <v>7</v>
      </c>
      <c r="S193" s="1">
        <f>Q193*$Q$2+R193*$R$2</f>
        <v>22.75</v>
      </c>
      <c r="T193" s="7">
        <f>S193*(1+$S$5)</f>
        <v>22.75</v>
      </c>
      <c r="U193" s="7">
        <f>(Q193*$Q$3+R193*$R$3)*(1+$S$5)</f>
        <v>25</v>
      </c>
      <c r="V193" s="4">
        <f>(Q193*$Q$4+R193*$R$4)*(1+$S$5)</f>
        <v>25</v>
      </c>
      <c r="W193" s="8">
        <f>(R193*$Q$5+S193*$R$5)*($S$5)+X193</f>
        <v>3</v>
      </c>
      <c r="X193" s="9">
        <v>3</v>
      </c>
    </row>
    <row r="194" spans="16:24">
      <c r="P194" s="5">
        <f t="shared" si="2"/>
        <v>18.7</v>
      </c>
      <c r="Q194" s="3">
        <v>9</v>
      </c>
      <c r="R194" s="3">
        <v>7</v>
      </c>
      <c r="S194" s="1">
        <f>Q194*$Q$2+R194*$R$2</f>
        <v>22.75</v>
      </c>
      <c r="T194" s="7">
        <f>S194*(1+$S$5)</f>
        <v>22.75</v>
      </c>
      <c r="U194" s="7">
        <f>(Q194*$Q$3+R194*$R$3)*(1+$S$5)</f>
        <v>25</v>
      </c>
      <c r="V194" s="4">
        <f>(Q194*$Q$4+R194*$R$4)*(1+$S$5)</f>
        <v>25</v>
      </c>
      <c r="W194" s="8">
        <f>(R194*$Q$5+S194*$R$5)*($S$5)+X194</f>
        <v>3</v>
      </c>
      <c r="X194" s="9">
        <v>3</v>
      </c>
    </row>
    <row r="195" spans="16:24">
      <c r="P195" s="5">
        <f t="shared" si="2"/>
        <v>18.8</v>
      </c>
      <c r="Q195" s="3">
        <v>9</v>
      </c>
      <c r="R195" s="3">
        <v>7</v>
      </c>
      <c r="S195" s="1">
        <f>Q195*$Q$2+R195*$R$2</f>
        <v>22.75</v>
      </c>
      <c r="T195" s="7">
        <f>S195*(1+$S$5)</f>
        <v>22.75</v>
      </c>
      <c r="U195" s="7">
        <f>(Q195*$Q$3+R195*$R$3)*(1+$S$5)</f>
        <v>25</v>
      </c>
      <c r="V195" s="4">
        <f>(Q195*$Q$4+R195*$R$4)*(1+$S$5)</f>
        <v>25</v>
      </c>
      <c r="W195" s="8">
        <f>(R195*$Q$5+S195*$R$5)*($S$5)+X195</f>
        <v>3</v>
      </c>
      <c r="X195" s="9">
        <v>3</v>
      </c>
    </row>
    <row r="196" spans="16:24">
      <c r="P196" s="5">
        <f t="shared" si="2"/>
        <v>18.9</v>
      </c>
      <c r="Q196" s="3">
        <v>9</v>
      </c>
      <c r="R196" s="3">
        <v>7</v>
      </c>
      <c r="S196" s="1">
        <f>Q196*$Q$2+R196*$R$2</f>
        <v>22.75</v>
      </c>
      <c r="T196" s="7">
        <f>S196*(1+$S$5)</f>
        <v>22.75</v>
      </c>
      <c r="U196" s="7">
        <f>(Q196*$Q$3+R196*$R$3)*(1+$S$5)</f>
        <v>25</v>
      </c>
      <c r="V196" s="4">
        <f>(Q196*$Q$4+R196*$R$4)*(1+$S$5)</f>
        <v>25</v>
      </c>
      <c r="W196" s="8">
        <f>(R196*$Q$5+S196*$R$5)*($S$5)+X196</f>
        <v>3</v>
      </c>
      <c r="X196" s="9">
        <v>3</v>
      </c>
    </row>
    <row r="197" spans="16:24">
      <c r="P197" s="5">
        <f t="shared" si="2"/>
        <v>19</v>
      </c>
      <c r="Q197" s="3">
        <v>9</v>
      </c>
      <c r="R197" s="3">
        <v>7</v>
      </c>
      <c r="S197" s="1">
        <f>Q197*$Q$2+R197*$R$2</f>
        <v>22.75</v>
      </c>
      <c r="T197" s="7">
        <f>S197*(1+$S$5)</f>
        <v>22.75</v>
      </c>
      <c r="U197" s="7">
        <f>(Q197*$Q$3+R197*$R$3)*(1+$S$5)</f>
        <v>25</v>
      </c>
      <c r="V197" s="4">
        <f>(Q197*$Q$4+R197*$R$4)*(1+$S$5)</f>
        <v>25</v>
      </c>
      <c r="W197" s="8">
        <f>(R197*$Q$5+S197*$R$5)*($S$5)+X197</f>
        <v>3</v>
      </c>
      <c r="X197" s="9">
        <v>3</v>
      </c>
    </row>
    <row r="198" spans="16:24">
      <c r="P198" s="5">
        <f t="shared" si="2"/>
        <v>19.1</v>
      </c>
      <c r="Q198" s="3">
        <v>9</v>
      </c>
      <c r="R198" s="3">
        <v>7</v>
      </c>
      <c r="S198" s="1">
        <f>Q198*$Q$2+R198*$R$2</f>
        <v>22.75</v>
      </c>
      <c r="T198" s="7">
        <f>S198*(1+$S$5)</f>
        <v>22.75</v>
      </c>
      <c r="U198" s="7">
        <f>(Q198*$Q$3+R198*$R$3)*(1+$S$5)</f>
        <v>25</v>
      </c>
      <c r="V198" s="4">
        <f>(Q198*$Q$4+R198*$R$4)*(1+$S$5)</f>
        <v>25</v>
      </c>
      <c r="W198" s="8">
        <f>(R198*$Q$5+S198*$R$5)*($S$5)+X198</f>
        <v>3</v>
      </c>
      <c r="X198" s="9">
        <v>3</v>
      </c>
    </row>
    <row r="199" spans="16:24">
      <c r="P199" s="5">
        <f t="shared" si="2"/>
        <v>19.2</v>
      </c>
      <c r="Q199" s="3">
        <v>9</v>
      </c>
      <c r="R199" s="3">
        <v>7</v>
      </c>
      <c r="S199" s="1">
        <f>Q199*$Q$2+R199*$R$2</f>
        <v>22.75</v>
      </c>
      <c r="T199" s="7">
        <f>S199*(1+$S$5)</f>
        <v>22.75</v>
      </c>
      <c r="U199" s="7">
        <f>(Q199*$Q$3+R199*$R$3)*(1+$S$5)</f>
        <v>25</v>
      </c>
      <c r="V199" s="4">
        <f>(Q199*$Q$4+R199*$R$4)*(1+$S$5)</f>
        <v>25</v>
      </c>
      <c r="W199" s="8">
        <f>(R199*$Q$5+S199*$R$5)*($S$5)+X199</f>
        <v>3</v>
      </c>
      <c r="X199" s="9">
        <v>3</v>
      </c>
    </row>
    <row r="200" spans="16:24">
      <c r="P200" s="5">
        <f t="shared" ref="P200:P263" si="3">0.1+P199</f>
        <v>19.3</v>
      </c>
      <c r="Q200" s="3">
        <v>9</v>
      </c>
      <c r="R200" s="3">
        <v>7</v>
      </c>
      <c r="S200" s="1">
        <f>Q200*$Q$2+R200*$R$2</f>
        <v>22.75</v>
      </c>
      <c r="T200" s="7">
        <f>S200*(1+$S$5)</f>
        <v>22.75</v>
      </c>
      <c r="U200" s="7">
        <f>(Q200*$Q$3+R200*$R$3)*(1+$S$5)</f>
        <v>25</v>
      </c>
      <c r="V200" s="4">
        <f>(Q200*$Q$4+R200*$R$4)*(1+$S$5)</f>
        <v>25</v>
      </c>
      <c r="W200" s="8">
        <f>(R200*$Q$5+S200*$R$5)*($S$5)+X200</f>
        <v>3</v>
      </c>
      <c r="X200" s="9">
        <v>3</v>
      </c>
    </row>
    <row r="201" spans="16:24">
      <c r="P201" s="5">
        <f t="shared" si="3"/>
        <v>19.4</v>
      </c>
      <c r="Q201" s="3">
        <v>9</v>
      </c>
      <c r="R201" s="3">
        <v>7</v>
      </c>
      <c r="S201" s="1">
        <f>Q201*$Q$2+R201*$R$2</f>
        <v>22.75</v>
      </c>
      <c r="T201" s="7">
        <f>S201*(1+$S$5)</f>
        <v>22.75</v>
      </c>
      <c r="U201" s="7">
        <f>(Q201*$Q$3+R201*$R$3)*(1+$S$5)</f>
        <v>25</v>
      </c>
      <c r="V201" s="4">
        <f>(Q201*$Q$4+R201*$R$4)*(1+$S$5)</f>
        <v>25</v>
      </c>
      <c r="W201" s="8">
        <f>(R201*$Q$5+S201*$R$5)*($S$5)+X201</f>
        <v>3</v>
      </c>
      <c r="X201" s="9">
        <v>3</v>
      </c>
    </row>
    <row r="202" spans="16:24">
      <c r="P202" s="5">
        <f t="shared" si="3"/>
        <v>19.5</v>
      </c>
      <c r="Q202" s="3">
        <v>9</v>
      </c>
      <c r="R202" s="3">
        <v>7</v>
      </c>
      <c r="S202" s="1">
        <f>Q202*$Q$2+R202*$R$2</f>
        <v>22.75</v>
      </c>
      <c r="T202" s="7">
        <f>S202*(1+$S$5)</f>
        <v>22.75</v>
      </c>
      <c r="U202" s="7">
        <f>(Q202*$Q$3+R202*$R$3)*(1+$S$5)</f>
        <v>25</v>
      </c>
      <c r="V202" s="4">
        <f>(Q202*$Q$4+R202*$R$4)*(1+$S$5)</f>
        <v>25</v>
      </c>
      <c r="W202" s="8">
        <f>(R202*$Q$5+S202*$R$5)*($S$5)+X202</f>
        <v>3</v>
      </c>
      <c r="X202" s="9">
        <v>3</v>
      </c>
    </row>
    <row r="203" spans="16:24">
      <c r="P203" s="5">
        <f t="shared" si="3"/>
        <v>19.6</v>
      </c>
      <c r="Q203" s="3">
        <v>9</v>
      </c>
      <c r="R203" s="3">
        <v>7</v>
      </c>
      <c r="S203" s="1">
        <f>Q203*$Q$2+R203*$R$2</f>
        <v>22.75</v>
      </c>
      <c r="T203" s="7">
        <f>S203*(1+$S$5)</f>
        <v>22.75</v>
      </c>
      <c r="U203" s="7">
        <f>(Q203*$Q$3+R203*$R$3)*(1+$S$5)</f>
        <v>25</v>
      </c>
      <c r="V203" s="4">
        <f>(Q203*$Q$4+R203*$R$4)*(1+$S$5)</f>
        <v>25</v>
      </c>
      <c r="W203" s="8">
        <f>(R203*$Q$5+S203*$R$5)*($S$5)+X203</f>
        <v>3</v>
      </c>
      <c r="X203" s="9">
        <v>3</v>
      </c>
    </row>
    <row r="204" spans="16:24">
      <c r="P204" s="5">
        <f t="shared" si="3"/>
        <v>19.7</v>
      </c>
      <c r="Q204" s="3">
        <v>9</v>
      </c>
      <c r="R204" s="3">
        <v>7</v>
      </c>
      <c r="S204" s="1">
        <f>Q204*$Q$2+R204*$R$2</f>
        <v>22.75</v>
      </c>
      <c r="T204" s="7">
        <f>S204*(1+$S$5)</f>
        <v>22.75</v>
      </c>
      <c r="U204" s="7">
        <f>(Q204*$Q$3+R204*$R$3)*(1+$S$5)</f>
        <v>25</v>
      </c>
      <c r="V204" s="4">
        <f>(Q204*$Q$4+R204*$R$4)*(1+$S$5)</f>
        <v>25</v>
      </c>
      <c r="W204" s="8">
        <f>(R204*$Q$5+S204*$R$5)*($S$5)+X204</f>
        <v>3</v>
      </c>
      <c r="X204" s="9">
        <v>3</v>
      </c>
    </row>
    <row r="205" spans="16:24">
      <c r="P205" s="5">
        <f t="shared" si="3"/>
        <v>19.8</v>
      </c>
      <c r="Q205" s="3">
        <v>9</v>
      </c>
      <c r="R205" s="3">
        <v>7</v>
      </c>
      <c r="S205" s="1">
        <f>Q205*$Q$2+R205*$R$2</f>
        <v>22.75</v>
      </c>
      <c r="T205" s="7">
        <f>S205*(1+$S$5)</f>
        <v>22.75</v>
      </c>
      <c r="U205" s="7">
        <f>(Q205*$Q$3+R205*$R$3)*(1+$S$5)</f>
        <v>25</v>
      </c>
      <c r="V205" s="4">
        <f>(Q205*$Q$4+R205*$R$4)*(1+$S$5)</f>
        <v>25</v>
      </c>
      <c r="W205" s="8">
        <f>(R205*$Q$5+S205*$R$5)*($S$5)+X205</f>
        <v>3</v>
      </c>
      <c r="X205" s="9">
        <v>3</v>
      </c>
    </row>
    <row r="206" spans="16:24">
      <c r="P206" s="5">
        <f t="shared" si="3"/>
        <v>19.9</v>
      </c>
      <c r="Q206" s="3">
        <v>9</v>
      </c>
      <c r="R206" s="3">
        <v>7</v>
      </c>
      <c r="S206" s="1">
        <f>Q206*$Q$2+R206*$R$2</f>
        <v>22.75</v>
      </c>
      <c r="T206" s="7">
        <f>S206*(1+$S$5)</f>
        <v>22.75</v>
      </c>
      <c r="U206" s="7">
        <f>(Q206*$Q$3+R206*$R$3)*(1+$S$5)</f>
        <v>25</v>
      </c>
      <c r="V206" s="4">
        <f>(Q206*$Q$4+R206*$R$4)*(1+$S$5)</f>
        <v>25</v>
      </c>
      <c r="W206" s="8">
        <f>(R206*$Q$5+S206*$R$5)*($S$5)+X206</f>
        <v>3</v>
      </c>
      <c r="X206" s="9">
        <v>3</v>
      </c>
    </row>
    <row r="207" spans="16:24">
      <c r="P207" s="5">
        <f t="shared" si="3"/>
        <v>20</v>
      </c>
      <c r="Q207" s="3">
        <v>9</v>
      </c>
      <c r="R207" s="3">
        <v>7</v>
      </c>
      <c r="S207" s="1">
        <f>Q207*$Q$2+R207*$R$2</f>
        <v>22.75</v>
      </c>
      <c r="T207" s="7">
        <f>S207*(1+$S$5)</f>
        <v>22.75</v>
      </c>
      <c r="U207" s="7">
        <f>(Q207*$Q$3+R207*$R$3)*(1+$S$5)</f>
        <v>25</v>
      </c>
      <c r="V207" s="4">
        <f>(Q207*$Q$4+R207*$R$4)*(1+$S$5)</f>
        <v>25</v>
      </c>
      <c r="W207" s="8">
        <f>(R207*$Q$5+S207*$R$5)*($S$5)+X207</f>
        <v>3</v>
      </c>
      <c r="X207" s="9">
        <v>3</v>
      </c>
    </row>
    <row r="208" spans="16:24">
      <c r="P208" s="5">
        <f t="shared" si="3"/>
        <v>20.1</v>
      </c>
      <c r="Q208" s="3">
        <v>9</v>
      </c>
      <c r="R208" s="3">
        <v>7</v>
      </c>
      <c r="S208" s="1">
        <f>Q208*$Q$2+R208*$R$2</f>
        <v>22.75</v>
      </c>
      <c r="T208" s="7">
        <f>S208*(1+$S$5)</f>
        <v>22.75</v>
      </c>
      <c r="U208" s="7">
        <f>(Q208*$Q$3+R208*$R$3)*(1+$S$5)</f>
        <v>25</v>
      </c>
      <c r="V208" s="4">
        <f>(Q208*$Q$4+R208*$R$4)*(1+$S$5)</f>
        <v>25</v>
      </c>
      <c r="W208" s="8">
        <f>(R208*$Q$5+S208*$R$5)*($S$5)+X208</f>
        <v>3</v>
      </c>
      <c r="X208" s="9">
        <v>3</v>
      </c>
    </row>
    <row r="209" spans="16:24">
      <c r="P209" s="5">
        <f t="shared" si="3"/>
        <v>20.2</v>
      </c>
      <c r="Q209" s="3">
        <v>9</v>
      </c>
      <c r="R209" s="3">
        <v>7</v>
      </c>
      <c r="S209" s="1">
        <f>Q209*$Q$2+R209*$R$2</f>
        <v>22.75</v>
      </c>
      <c r="T209" s="7">
        <f>S209*(1+$S$5)</f>
        <v>22.75</v>
      </c>
      <c r="U209" s="7">
        <f>(Q209*$Q$3+R209*$R$3)*(1+$S$5)</f>
        <v>25</v>
      </c>
      <c r="V209" s="4">
        <f>(Q209*$Q$4+R209*$R$4)*(1+$S$5)</f>
        <v>25</v>
      </c>
      <c r="W209" s="8">
        <f>(R209*$Q$5+S209*$R$5)*($S$5)+X209</f>
        <v>3</v>
      </c>
      <c r="X209" s="9">
        <v>3</v>
      </c>
    </row>
    <row r="210" spans="16:24">
      <c r="P210" s="5">
        <f t="shared" si="3"/>
        <v>20.3</v>
      </c>
      <c r="Q210" s="3">
        <v>9</v>
      </c>
      <c r="R210" s="3">
        <v>7</v>
      </c>
      <c r="S210" s="1">
        <f>Q210*$Q$2+R210*$R$2</f>
        <v>22.75</v>
      </c>
      <c r="T210" s="7">
        <f>S210*(1+$S$5)</f>
        <v>22.75</v>
      </c>
      <c r="U210" s="7">
        <f>(Q210*$Q$3+R210*$R$3)*(1+$S$5)</f>
        <v>25</v>
      </c>
      <c r="V210" s="4">
        <f>(Q210*$Q$4+R210*$R$4)*(1+$S$5)</f>
        <v>25</v>
      </c>
      <c r="W210" s="8">
        <f>(R210*$Q$5+S210*$R$5)*($S$5)+X210</f>
        <v>3</v>
      </c>
      <c r="X210" s="9">
        <v>3</v>
      </c>
    </row>
    <row r="211" spans="16:24">
      <c r="P211" s="5">
        <f t="shared" si="3"/>
        <v>20.4</v>
      </c>
      <c r="Q211" s="3">
        <v>9</v>
      </c>
      <c r="R211" s="3">
        <v>7</v>
      </c>
      <c r="S211" s="1">
        <f>Q211*$Q$2+R211*$R$2</f>
        <v>22.75</v>
      </c>
      <c r="T211" s="7">
        <f>S211*(1+$S$5)</f>
        <v>22.75</v>
      </c>
      <c r="U211" s="7">
        <f>(Q211*$Q$3+R211*$R$3)*(1+$S$5)</f>
        <v>25</v>
      </c>
      <c r="V211" s="4">
        <f>(Q211*$Q$4+R211*$R$4)*(1+$S$5)</f>
        <v>25</v>
      </c>
      <c r="W211" s="8">
        <f>(R211*$Q$5+S211*$R$5)*($S$5)+X211</f>
        <v>3</v>
      </c>
      <c r="X211" s="9">
        <v>3</v>
      </c>
    </row>
    <row r="212" spans="16:24">
      <c r="P212" s="5">
        <f t="shared" si="3"/>
        <v>20.5</v>
      </c>
      <c r="Q212" s="3">
        <v>9</v>
      </c>
      <c r="R212" s="3">
        <v>7</v>
      </c>
      <c r="S212" s="1">
        <f>Q212*$Q$2+R212*$R$2</f>
        <v>22.75</v>
      </c>
      <c r="T212" s="7">
        <f>S212*(1+$S$5)</f>
        <v>22.75</v>
      </c>
      <c r="U212" s="7">
        <f>(Q212*$Q$3+R212*$R$3)*(1+$S$5)</f>
        <v>25</v>
      </c>
      <c r="V212" s="4">
        <f>(Q212*$Q$4+R212*$R$4)*(1+$S$5)</f>
        <v>25</v>
      </c>
      <c r="W212" s="8">
        <f>(R212*$Q$5+S212*$R$5)*($S$5)+X212</f>
        <v>3</v>
      </c>
      <c r="X212" s="9">
        <v>3</v>
      </c>
    </row>
    <row r="213" spans="16:24">
      <c r="P213" s="5">
        <f t="shared" si="3"/>
        <v>20.6</v>
      </c>
      <c r="Q213" s="3">
        <v>9</v>
      </c>
      <c r="R213" s="3">
        <v>7</v>
      </c>
      <c r="S213" s="1">
        <f>Q213*$Q$2+R213*$R$2</f>
        <v>22.75</v>
      </c>
      <c r="T213" s="7">
        <f>S213*(1+$S$5)</f>
        <v>22.75</v>
      </c>
      <c r="U213" s="7">
        <f>(Q213*$Q$3+R213*$R$3)*(1+$S$5)</f>
        <v>25</v>
      </c>
      <c r="V213" s="4">
        <f>(Q213*$Q$4+R213*$R$4)*(1+$S$5)</f>
        <v>25</v>
      </c>
      <c r="W213" s="8">
        <f>(R213*$Q$5+S213*$R$5)*($S$5)+X213</f>
        <v>3</v>
      </c>
      <c r="X213" s="9">
        <v>3</v>
      </c>
    </row>
    <row r="214" spans="16:24">
      <c r="P214" s="5">
        <f t="shared" si="3"/>
        <v>20.7</v>
      </c>
      <c r="Q214" s="3">
        <v>9</v>
      </c>
      <c r="R214" s="3">
        <v>7</v>
      </c>
      <c r="S214" s="1">
        <f>Q214*$Q$2+R214*$R$2</f>
        <v>22.75</v>
      </c>
      <c r="T214" s="7">
        <f>S214*(1+$S$5)</f>
        <v>22.75</v>
      </c>
      <c r="U214" s="7">
        <f>(Q214*$Q$3+R214*$R$3)*(1+$S$5)</f>
        <v>25</v>
      </c>
      <c r="V214" s="4">
        <f>(Q214*$Q$4+R214*$R$4)*(1+$S$5)</f>
        <v>25</v>
      </c>
      <c r="W214" s="8">
        <f>(R214*$Q$5+S214*$R$5)*($S$5)+X214</f>
        <v>3</v>
      </c>
      <c r="X214" s="9">
        <v>3</v>
      </c>
    </row>
    <row r="215" spans="16:24">
      <c r="P215" s="5">
        <f t="shared" si="3"/>
        <v>20.8</v>
      </c>
      <c r="Q215" s="3">
        <v>9</v>
      </c>
      <c r="R215" s="3">
        <v>7</v>
      </c>
      <c r="S215" s="1">
        <f>Q215*$Q$2+R215*$R$2</f>
        <v>22.75</v>
      </c>
      <c r="T215" s="7">
        <f>S215*(1+$S$5)</f>
        <v>22.75</v>
      </c>
      <c r="U215" s="7">
        <f>(Q215*$Q$3+R215*$R$3)*(1+$S$5)</f>
        <v>25</v>
      </c>
      <c r="V215" s="4">
        <f>(Q215*$Q$4+R215*$R$4)*(1+$S$5)</f>
        <v>25</v>
      </c>
      <c r="W215" s="8">
        <f>(R215*$Q$5+S215*$R$5)*($S$5)+X215</f>
        <v>3</v>
      </c>
      <c r="X215" s="9">
        <v>3</v>
      </c>
    </row>
    <row r="216" spans="16:24">
      <c r="P216" s="5">
        <f t="shared" si="3"/>
        <v>20.9</v>
      </c>
      <c r="Q216" s="3">
        <v>9</v>
      </c>
      <c r="R216" s="3">
        <v>7</v>
      </c>
      <c r="S216" s="1">
        <f>Q216*$Q$2+R216*$R$2</f>
        <v>22.75</v>
      </c>
      <c r="T216" s="7">
        <f>S216*(1+$S$5)</f>
        <v>22.75</v>
      </c>
      <c r="U216" s="7">
        <f>(Q216*$Q$3+R216*$R$3)*(1+$S$5)</f>
        <v>25</v>
      </c>
      <c r="V216" s="4">
        <f>(Q216*$Q$4+R216*$R$4)*(1+$S$5)</f>
        <v>25</v>
      </c>
      <c r="W216" s="8">
        <f>(R216*$Q$5+S216*$R$5)*($S$5)+X216</f>
        <v>3</v>
      </c>
      <c r="X216" s="9">
        <v>3</v>
      </c>
    </row>
    <row r="217" spans="16:24">
      <c r="P217" s="5">
        <f t="shared" si="3"/>
        <v>21</v>
      </c>
      <c r="Q217" s="3">
        <v>9</v>
      </c>
      <c r="R217" s="3">
        <v>8</v>
      </c>
      <c r="S217" s="1">
        <f>Q217*$Q$2+R217*$R$2</f>
        <v>23.75</v>
      </c>
      <c r="T217" s="7">
        <f>S217*(1+$S$5)</f>
        <v>23.75</v>
      </c>
      <c r="U217" s="7">
        <f>(Q217*$Q$3+R217*$R$3)*(1+$S$5)</f>
        <v>26</v>
      </c>
      <c r="V217" s="4">
        <f>(Q217*$Q$4+R217*$R$4)*(1+$S$5)</f>
        <v>26</v>
      </c>
      <c r="W217" s="8">
        <f>(R217*$Q$5+S217*$R$5)*($S$5)+X217</f>
        <v>3</v>
      </c>
      <c r="X217" s="9">
        <v>3</v>
      </c>
    </row>
    <row r="218" spans="16:24">
      <c r="P218" s="5">
        <f t="shared" si="3"/>
        <v>21.1</v>
      </c>
      <c r="Q218" s="3">
        <v>9</v>
      </c>
      <c r="R218" s="3">
        <v>8</v>
      </c>
      <c r="S218" s="1">
        <f>Q218*$Q$2+R218*$R$2</f>
        <v>23.75</v>
      </c>
      <c r="T218" s="7">
        <f>S218*(1+$S$5)</f>
        <v>23.75</v>
      </c>
      <c r="U218" s="7">
        <f>(Q218*$Q$3+R218*$R$3)*(1+$S$5)</f>
        <v>26</v>
      </c>
      <c r="V218" s="4">
        <f>(Q218*$Q$4+R218*$R$4)*(1+$S$5)</f>
        <v>26</v>
      </c>
      <c r="W218" s="8">
        <f>(R218*$Q$5+S218*$R$5)*($S$5)+X218</f>
        <v>3</v>
      </c>
      <c r="X218" s="9">
        <v>3</v>
      </c>
    </row>
    <row r="219" spans="16:24">
      <c r="P219" s="5">
        <f t="shared" si="3"/>
        <v>21.2</v>
      </c>
      <c r="Q219" s="3">
        <v>9</v>
      </c>
      <c r="R219" s="3">
        <v>8</v>
      </c>
      <c r="S219" s="1">
        <f>Q219*$Q$2+R219*$R$2</f>
        <v>23.75</v>
      </c>
      <c r="T219" s="7">
        <f>S219*(1+$S$5)</f>
        <v>23.75</v>
      </c>
      <c r="U219" s="7">
        <f>(Q219*$Q$3+R219*$R$3)*(1+$S$5)</f>
        <v>26</v>
      </c>
      <c r="V219" s="4">
        <f>(Q219*$Q$4+R219*$R$4)*(1+$S$5)</f>
        <v>26</v>
      </c>
      <c r="W219" s="8">
        <f>(R219*$Q$5+S219*$R$5)*($S$5)+X219</f>
        <v>3</v>
      </c>
      <c r="X219" s="9">
        <v>3</v>
      </c>
    </row>
    <row r="220" spans="16:24">
      <c r="P220" s="5">
        <f t="shared" si="3"/>
        <v>21.3</v>
      </c>
      <c r="Q220" s="3">
        <v>9</v>
      </c>
      <c r="R220" s="3">
        <v>8</v>
      </c>
      <c r="S220" s="1">
        <f>Q220*$Q$2+R220*$R$2</f>
        <v>23.75</v>
      </c>
      <c r="T220" s="7">
        <f>S220*(1+$S$5)</f>
        <v>23.75</v>
      </c>
      <c r="U220" s="7">
        <f>(Q220*$Q$3+R220*$R$3)*(1+$S$5)</f>
        <v>26</v>
      </c>
      <c r="V220" s="4">
        <f>(Q220*$Q$4+R220*$R$4)*(1+$S$5)</f>
        <v>26</v>
      </c>
      <c r="W220" s="8">
        <f>(R220*$Q$5+S220*$R$5)*($S$5)+X220</f>
        <v>3</v>
      </c>
      <c r="X220" s="9">
        <v>3</v>
      </c>
    </row>
    <row r="221" spans="16:24">
      <c r="P221" s="5">
        <f t="shared" si="3"/>
        <v>21.4</v>
      </c>
      <c r="Q221" s="3">
        <v>9</v>
      </c>
      <c r="R221" s="3">
        <v>8</v>
      </c>
      <c r="S221" s="1">
        <f>Q221*$Q$2+R221*$R$2</f>
        <v>23.75</v>
      </c>
      <c r="T221" s="7">
        <f>S221*(1+$S$5)</f>
        <v>23.75</v>
      </c>
      <c r="U221" s="7">
        <f>(Q221*$Q$3+R221*$R$3)*(1+$S$5)</f>
        <v>26</v>
      </c>
      <c r="V221" s="4">
        <f>(Q221*$Q$4+R221*$R$4)*(1+$S$5)</f>
        <v>26</v>
      </c>
      <c r="W221" s="8">
        <f>(R221*$Q$5+S221*$R$5)*($S$5)+X221</f>
        <v>3</v>
      </c>
      <c r="X221" s="9">
        <v>3</v>
      </c>
    </row>
    <row r="222" spans="16:24">
      <c r="P222" s="5">
        <f t="shared" si="3"/>
        <v>21.5</v>
      </c>
      <c r="Q222" s="3">
        <v>9</v>
      </c>
      <c r="R222" s="3">
        <v>8</v>
      </c>
      <c r="S222" s="1">
        <f>Q222*$Q$2+R222*$R$2</f>
        <v>23.75</v>
      </c>
      <c r="T222" s="7">
        <f>S222*(1+$S$5)</f>
        <v>23.75</v>
      </c>
      <c r="U222" s="7">
        <f>(Q222*$Q$3+R222*$R$3)*(1+$S$5)</f>
        <v>26</v>
      </c>
      <c r="V222" s="4">
        <f>(Q222*$Q$4+R222*$R$4)*(1+$S$5)</f>
        <v>26</v>
      </c>
      <c r="W222" s="8">
        <f>(R222*$Q$5+S222*$R$5)*($S$5)+X222</f>
        <v>3</v>
      </c>
      <c r="X222" s="9">
        <v>3</v>
      </c>
    </row>
    <row r="223" spans="16:24">
      <c r="P223" s="5">
        <f t="shared" si="3"/>
        <v>21.6</v>
      </c>
      <c r="Q223" s="3">
        <v>9</v>
      </c>
      <c r="R223" s="3">
        <v>8</v>
      </c>
      <c r="S223" s="1">
        <f>Q223*$Q$2+R223*$R$2</f>
        <v>23.75</v>
      </c>
      <c r="T223" s="7">
        <f>S223*(1+$S$5)</f>
        <v>23.75</v>
      </c>
      <c r="U223" s="7">
        <f>(Q223*$Q$3+R223*$R$3)*(1+$S$5)</f>
        <v>26</v>
      </c>
      <c r="V223" s="4">
        <f>(Q223*$Q$4+R223*$R$4)*(1+$S$5)</f>
        <v>26</v>
      </c>
      <c r="W223" s="8">
        <f>(R223*$Q$5+S223*$R$5)*($S$5)+X223</f>
        <v>3</v>
      </c>
      <c r="X223" s="9">
        <v>3</v>
      </c>
    </row>
    <row r="224" spans="16:24">
      <c r="P224" s="5">
        <f t="shared" si="3"/>
        <v>21.7</v>
      </c>
      <c r="Q224" s="3">
        <v>9</v>
      </c>
      <c r="R224" s="3">
        <v>8</v>
      </c>
      <c r="S224" s="1">
        <f>Q224*$Q$2+R224*$R$2</f>
        <v>23.75</v>
      </c>
      <c r="T224" s="7">
        <f>S224*(1+$S$5)</f>
        <v>23.75</v>
      </c>
      <c r="U224" s="7">
        <f>(Q224*$Q$3+R224*$R$3)*(1+$S$5)</f>
        <v>26</v>
      </c>
      <c r="V224" s="4">
        <f>(Q224*$Q$4+R224*$R$4)*(1+$S$5)</f>
        <v>26</v>
      </c>
      <c r="W224" s="8">
        <f>(R224*$Q$5+S224*$R$5)*($S$5)+X224</f>
        <v>3</v>
      </c>
      <c r="X224" s="9">
        <v>3</v>
      </c>
    </row>
    <row r="225" spans="16:24">
      <c r="P225" s="5">
        <f t="shared" si="3"/>
        <v>21.8</v>
      </c>
      <c r="Q225" s="3">
        <v>9</v>
      </c>
      <c r="R225" s="3">
        <v>8</v>
      </c>
      <c r="S225" s="1">
        <f>Q225*$Q$2+R225*$R$2</f>
        <v>23.75</v>
      </c>
      <c r="T225" s="7">
        <f>S225*(1+$S$5)</f>
        <v>23.75</v>
      </c>
      <c r="U225" s="7">
        <f>(Q225*$Q$3+R225*$R$3)*(1+$S$5)</f>
        <v>26</v>
      </c>
      <c r="V225" s="4">
        <f>(Q225*$Q$4+R225*$R$4)*(1+$S$5)</f>
        <v>26</v>
      </c>
      <c r="W225" s="8">
        <f>(R225*$Q$5+S225*$R$5)*($S$5)+X225</f>
        <v>3</v>
      </c>
      <c r="X225" s="9">
        <v>3</v>
      </c>
    </row>
    <row r="226" spans="16:24">
      <c r="P226" s="5">
        <f t="shared" si="3"/>
        <v>21.9</v>
      </c>
      <c r="Q226" s="3">
        <v>9</v>
      </c>
      <c r="R226" s="3">
        <v>8</v>
      </c>
      <c r="S226" s="1">
        <f>Q226*$Q$2+R226*$R$2</f>
        <v>23.75</v>
      </c>
      <c r="T226" s="7">
        <f>S226*(1+$S$5)</f>
        <v>23.75</v>
      </c>
      <c r="U226" s="7">
        <f>(Q226*$Q$3+R226*$R$3)*(1+$S$5)</f>
        <v>26</v>
      </c>
      <c r="V226" s="4">
        <f>(Q226*$Q$4+R226*$R$4)*(1+$S$5)</f>
        <v>26</v>
      </c>
      <c r="W226" s="8">
        <f>(R226*$Q$5+S226*$R$5)*($S$5)+X226</f>
        <v>3</v>
      </c>
      <c r="X226" s="9">
        <v>3</v>
      </c>
    </row>
    <row r="227" spans="16:24">
      <c r="P227" s="5">
        <f t="shared" si="3"/>
        <v>22</v>
      </c>
      <c r="Q227" s="3">
        <v>9</v>
      </c>
      <c r="R227" s="3">
        <v>8</v>
      </c>
      <c r="S227" s="1">
        <f>Q227*$Q$2+R227*$R$2</f>
        <v>23.75</v>
      </c>
      <c r="T227" s="7">
        <f>S227*(1+$S$5)</f>
        <v>23.75</v>
      </c>
      <c r="U227" s="7">
        <f>(Q227*$Q$3+R227*$R$3)*(1+$S$5)</f>
        <v>26</v>
      </c>
      <c r="V227" s="4">
        <f>(Q227*$Q$4+R227*$R$4)*(1+$S$5)</f>
        <v>26</v>
      </c>
      <c r="W227" s="8">
        <f>(R227*$Q$5+S227*$R$5)*($S$5)+X227</f>
        <v>3</v>
      </c>
      <c r="X227" s="9">
        <v>3</v>
      </c>
    </row>
    <row r="228" spans="16:24">
      <c r="P228" s="5">
        <f t="shared" si="3"/>
        <v>22.1</v>
      </c>
      <c r="Q228" s="3">
        <v>9</v>
      </c>
      <c r="R228" s="3">
        <v>8</v>
      </c>
      <c r="S228" s="1">
        <f>Q228*$Q$2+R228*$R$2</f>
        <v>23.75</v>
      </c>
      <c r="T228" s="7">
        <f>S228*(1+$S$5)</f>
        <v>23.75</v>
      </c>
      <c r="U228" s="7">
        <f>(Q228*$Q$3+R228*$R$3)*(1+$S$5)</f>
        <v>26</v>
      </c>
      <c r="V228" s="4">
        <f>(Q228*$Q$4+R228*$R$4)*(1+$S$5)</f>
        <v>26</v>
      </c>
      <c r="W228" s="8">
        <f>(R228*$Q$5+S228*$R$5)*($S$5)+X228</f>
        <v>3</v>
      </c>
      <c r="X228" s="9">
        <v>3</v>
      </c>
    </row>
    <row r="229" spans="16:24">
      <c r="P229" s="5">
        <f t="shared" si="3"/>
        <v>22.2</v>
      </c>
      <c r="Q229" s="3">
        <v>9</v>
      </c>
      <c r="R229" s="3">
        <v>8</v>
      </c>
      <c r="S229" s="1">
        <f>Q229*$Q$2+R229*$R$2</f>
        <v>23.75</v>
      </c>
      <c r="T229" s="7">
        <f>S229*(1+$S$5)</f>
        <v>23.75</v>
      </c>
      <c r="U229" s="7">
        <f>(Q229*$Q$3+R229*$R$3)*(1+$S$5)</f>
        <v>26</v>
      </c>
      <c r="V229" s="4">
        <f>(Q229*$Q$4+R229*$R$4)*(1+$S$5)</f>
        <v>26</v>
      </c>
      <c r="W229" s="8">
        <f>(R229*$Q$5+S229*$R$5)*($S$5)+X229</f>
        <v>3</v>
      </c>
      <c r="X229" s="9">
        <v>3</v>
      </c>
    </row>
    <row r="230" spans="16:24">
      <c r="P230" s="5">
        <f t="shared" si="3"/>
        <v>22.3</v>
      </c>
      <c r="Q230" s="3">
        <v>9</v>
      </c>
      <c r="R230" s="3">
        <v>8</v>
      </c>
      <c r="S230" s="1">
        <f>Q230*$Q$2+R230*$R$2</f>
        <v>23.75</v>
      </c>
      <c r="T230" s="7">
        <f>S230*(1+$S$5)</f>
        <v>23.75</v>
      </c>
      <c r="U230" s="7">
        <f>(Q230*$Q$3+R230*$R$3)*(1+$S$5)</f>
        <v>26</v>
      </c>
      <c r="V230" s="4">
        <f>(Q230*$Q$4+R230*$R$4)*(1+$S$5)</f>
        <v>26</v>
      </c>
      <c r="W230" s="8">
        <f>(R230*$Q$5+S230*$R$5)*($S$5)+X230</f>
        <v>3</v>
      </c>
      <c r="X230" s="9">
        <v>3</v>
      </c>
    </row>
    <row r="231" spans="16:24">
      <c r="P231" s="5">
        <f t="shared" si="3"/>
        <v>22.4</v>
      </c>
      <c r="Q231" s="3">
        <v>9</v>
      </c>
      <c r="R231" s="3">
        <v>8</v>
      </c>
      <c r="S231" s="1">
        <f>Q231*$Q$2+R231*$R$2</f>
        <v>23.75</v>
      </c>
      <c r="T231" s="7">
        <f>S231*(1+$S$5)</f>
        <v>23.75</v>
      </c>
      <c r="U231" s="7">
        <f>(Q231*$Q$3+R231*$R$3)*(1+$S$5)</f>
        <v>26</v>
      </c>
      <c r="V231" s="4">
        <f>(Q231*$Q$4+R231*$R$4)*(1+$S$5)</f>
        <v>26</v>
      </c>
      <c r="W231" s="8">
        <f>(R231*$Q$5+S231*$R$5)*($S$5)+X231</f>
        <v>3</v>
      </c>
      <c r="X231" s="9">
        <v>3</v>
      </c>
    </row>
    <row r="232" spans="16:24">
      <c r="P232" s="5">
        <f t="shared" si="3"/>
        <v>22.5</v>
      </c>
      <c r="Q232" s="3">
        <v>9</v>
      </c>
      <c r="R232" s="3">
        <v>8</v>
      </c>
      <c r="S232" s="1">
        <f>Q232*$Q$2+R232*$R$2</f>
        <v>23.75</v>
      </c>
      <c r="T232" s="7">
        <f>S232*(1+$S$5)</f>
        <v>23.75</v>
      </c>
      <c r="U232" s="7">
        <f>(Q232*$Q$3+R232*$R$3)*(1+$S$5)</f>
        <v>26</v>
      </c>
      <c r="V232" s="4">
        <f>(Q232*$Q$4+R232*$R$4)*(1+$S$5)</f>
        <v>26</v>
      </c>
      <c r="W232" s="8">
        <f>(R232*$Q$5+S232*$R$5)*($S$5)+X232</f>
        <v>3</v>
      </c>
      <c r="X232" s="9">
        <v>3</v>
      </c>
    </row>
    <row r="233" spans="16:24">
      <c r="P233" s="5">
        <f t="shared" si="3"/>
        <v>22.6000000000001</v>
      </c>
      <c r="Q233" s="3">
        <v>9</v>
      </c>
      <c r="R233" s="3">
        <v>8</v>
      </c>
      <c r="S233" s="1">
        <f>Q233*$Q$2+R233*$R$2</f>
        <v>23.75</v>
      </c>
      <c r="T233" s="7">
        <f>S233*(1+$S$5)</f>
        <v>23.75</v>
      </c>
      <c r="U233" s="7">
        <f>(Q233*$Q$3+R233*$R$3)*(1+$S$5)</f>
        <v>26</v>
      </c>
      <c r="V233" s="4">
        <f>(Q233*$Q$4+R233*$R$4)*(1+$S$5)</f>
        <v>26</v>
      </c>
      <c r="W233" s="8">
        <f>(R233*$Q$5+S233*$R$5)*($S$5)+X233</f>
        <v>3</v>
      </c>
      <c r="X233" s="9">
        <v>3</v>
      </c>
    </row>
    <row r="234" spans="16:24">
      <c r="P234" s="5">
        <f t="shared" si="3"/>
        <v>22.7000000000001</v>
      </c>
      <c r="Q234" s="3">
        <v>9</v>
      </c>
      <c r="R234" s="3">
        <v>8</v>
      </c>
      <c r="S234" s="1">
        <f>Q234*$Q$2+R234*$R$2</f>
        <v>23.75</v>
      </c>
      <c r="T234" s="7">
        <f>S234*(1+$S$5)</f>
        <v>23.75</v>
      </c>
      <c r="U234" s="7">
        <f>(Q234*$Q$3+R234*$R$3)*(1+$S$5)</f>
        <v>26</v>
      </c>
      <c r="V234" s="4">
        <f>(Q234*$Q$4+R234*$R$4)*(1+$S$5)</f>
        <v>26</v>
      </c>
      <c r="W234" s="8">
        <f>(R234*$Q$5+S234*$R$5)*($S$5)+X234</f>
        <v>3</v>
      </c>
      <c r="X234" s="9">
        <v>3</v>
      </c>
    </row>
    <row r="235" spans="16:24">
      <c r="P235" s="5">
        <f t="shared" si="3"/>
        <v>22.8000000000001</v>
      </c>
      <c r="Q235" s="3">
        <v>9</v>
      </c>
      <c r="R235" s="3">
        <v>8</v>
      </c>
      <c r="S235" s="1">
        <f>Q235*$Q$2+R235*$R$2</f>
        <v>23.75</v>
      </c>
      <c r="T235" s="7">
        <f>S235*(1+$S$5)</f>
        <v>23.75</v>
      </c>
      <c r="U235" s="7">
        <f>(Q235*$Q$3+R235*$R$3)*(1+$S$5)</f>
        <v>26</v>
      </c>
      <c r="V235" s="4">
        <f>(Q235*$Q$4+R235*$R$4)*(1+$S$5)</f>
        <v>26</v>
      </c>
      <c r="W235" s="8">
        <f>(R235*$Q$5+S235*$R$5)*($S$5)+X235</f>
        <v>3</v>
      </c>
      <c r="X235" s="9">
        <v>3</v>
      </c>
    </row>
    <row r="236" spans="16:24">
      <c r="P236" s="5">
        <f t="shared" si="3"/>
        <v>22.9000000000001</v>
      </c>
      <c r="Q236" s="3">
        <v>9</v>
      </c>
      <c r="R236" s="3">
        <v>8</v>
      </c>
      <c r="S236" s="1">
        <f>Q236*$Q$2+R236*$R$2</f>
        <v>23.75</v>
      </c>
      <c r="T236" s="7">
        <f>S236*(1+$S$5)</f>
        <v>23.75</v>
      </c>
      <c r="U236" s="7">
        <f>(Q236*$Q$3+R236*$R$3)*(1+$S$5)</f>
        <v>26</v>
      </c>
      <c r="V236" s="4">
        <f>(Q236*$Q$4+R236*$R$4)*(1+$S$5)</f>
        <v>26</v>
      </c>
      <c r="W236" s="8">
        <f>(R236*$Q$5+S236*$R$5)*($S$5)+X236</f>
        <v>3</v>
      </c>
      <c r="X236" s="9">
        <v>3</v>
      </c>
    </row>
    <row r="237" spans="16:24">
      <c r="P237" s="5">
        <f t="shared" si="3"/>
        <v>23.0000000000001</v>
      </c>
      <c r="Q237" s="3">
        <v>9</v>
      </c>
      <c r="R237" s="3">
        <v>8</v>
      </c>
      <c r="S237" s="1">
        <f>Q237*$Q$2+R237*$R$2</f>
        <v>23.75</v>
      </c>
      <c r="T237" s="7">
        <f>S237*(1+$S$5)</f>
        <v>23.75</v>
      </c>
      <c r="U237" s="7">
        <f>(Q237*$Q$3+R237*$R$3)*(1+$S$5)</f>
        <v>26</v>
      </c>
      <c r="V237" s="4">
        <f>(Q237*$Q$4+R237*$R$4)*(1+$S$5)</f>
        <v>26</v>
      </c>
      <c r="W237" s="8">
        <f>(R237*$Q$5+S237*$R$5)*($S$5)+X237</f>
        <v>3</v>
      </c>
      <c r="X237" s="9">
        <v>3</v>
      </c>
    </row>
    <row r="238" spans="16:24">
      <c r="P238" s="5">
        <f t="shared" si="3"/>
        <v>23.1000000000001</v>
      </c>
      <c r="Q238" s="3">
        <v>9</v>
      </c>
      <c r="R238" s="3">
        <v>8</v>
      </c>
      <c r="S238" s="1">
        <f>Q238*$Q$2+R238*$R$2</f>
        <v>23.75</v>
      </c>
      <c r="T238" s="7">
        <f>S238*(1+$S$5)</f>
        <v>23.75</v>
      </c>
      <c r="U238" s="7">
        <f>(Q238*$Q$3+R238*$R$3)*(1+$S$5)</f>
        <v>26</v>
      </c>
      <c r="V238" s="4">
        <f>(Q238*$Q$4+R238*$R$4)*(1+$S$5)</f>
        <v>26</v>
      </c>
      <c r="W238" s="8">
        <f>(R238*$Q$5+S238*$R$5)*($S$5)+X238</f>
        <v>3</v>
      </c>
      <c r="X238" s="9">
        <v>3</v>
      </c>
    </row>
    <row r="239" spans="16:24">
      <c r="P239" s="5">
        <f t="shared" si="3"/>
        <v>23.2000000000001</v>
      </c>
      <c r="Q239" s="3">
        <v>9</v>
      </c>
      <c r="R239" s="3">
        <v>8</v>
      </c>
      <c r="S239" s="1">
        <f>Q239*$Q$2+R239*$R$2</f>
        <v>23.75</v>
      </c>
      <c r="T239" s="7">
        <f>S239*(1+$S$5)</f>
        <v>23.75</v>
      </c>
      <c r="U239" s="7">
        <f>(Q239*$Q$3+R239*$R$3)*(1+$S$5)</f>
        <v>26</v>
      </c>
      <c r="V239" s="4">
        <f>(Q239*$Q$4+R239*$R$4)*(1+$S$5)</f>
        <v>26</v>
      </c>
      <c r="W239" s="8">
        <f>(R239*$Q$5+S239*$R$5)*($S$5)+X239</f>
        <v>3</v>
      </c>
      <c r="X239" s="9">
        <v>3</v>
      </c>
    </row>
    <row r="240" spans="16:24">
      <c r="P240" s="5">
        <f t="shared" si="3"/>
        <v>23.3000000000001</v>
      </c>
      <c r="Q240" s="3">
        <v>9</v>
      </c>
      <c r="R240" s="3">
        <v>8</v>
      </c>
      <c r="S240" s="1">
        <f>Q240*$Q$2+R240*$R$2</f>
        <v>23.75</v>
      </c>
      <c r="T240" s="7">
        <f>S240*(1+$S$5)</f>
        <v>23.75</v>
      </c>
      <c r="U240" s="7">
        <f>(Q240*$Q$3+R240*$R$3)*(1+$S$5)</f>
        <v>26</v>
      </c>
      <c r="V240" s="4">
        <f>(Q240*$Q$4+R240*$R$4)*(1+$S$5)</f>
        <v>26</v>
      </c>
      <c r="W240" s="8">
        <f>(R240*$Q$5+S240*$R$5)*($S$5)+X240</f>
        <v>3</v>
      </c>
      <c r="X240" s="9">
        <v>3</v>
      </c>
    </row>
    <row r="241" spans="16:24">
      <c r="P241" s="5">
        <f t="shared" si="3"/>
        <v>23.4000000000001</v>
      </c>
      <c r="Q241" s="3">
        <v>9</v>
      </c>
      <c r="R241" s="3">
        <v>8</v>
      </c>
      <c r="S241" s="1">
        <f>Q241*$Q$2+R241*$R$2</f>
        <v>23.75</v>
      </c>
      <c r="T241" s="7">
        <f>S241*(1+$S$5)</f>
        <v>23.75</v>
      </c>
      <c r="U241" s="7">
        <f>(Q241*$Q$3+R241*$R$3)*(1+$S$5)</f>
        <v>26</v>
      </c>
      <c r="V241" s="4">
        <f>(Q241*$Q$4+R241*$R$4)*(1+$S$5)</f>
        <v>26</v>
      </c>
      <c r="W241" s="8">
        <f>(R241*$Q$5+S241*$R$5)*($S$5)+X241</f>
        <v>3</v>
      </c>
      <c r="X241" s="9">
        <v>3</v>
      </c>
    </row>
    <row r="242" spans="16:24">
      <c r="P242" s="5">
        <f t="shared" si="3"/>
        <v>23.5000000000001</v>
      </c>
      <c r="Q242" s="3">
        <v>9</v>
      </c>
      <c r="R242" s="3">
        <v>8</v>
      </c>
      <c r="S242" s="1">
        <f>Q242*$Q$2+R242*$R$2</f>
        <v>23.75</v>
      </c>
      <c r="T242" s="7">
        <f>S242*(1+$S$5)</f>
        <v>23.75</v>
      </c>
      <c r="U242" s="7">
        <f>(Q242*$Q$3+R242*$R$3)*(1+$S$5)</f>
        <v>26</v>
      </c>
      <c r="V242" s="4">
        <f>(Q242*$Q$4+R242*$R$4)*(1+$S$5)</f>
        <v>26</v>
      </c>
      <c r="W242" s="8">
        <f>(R242*$Q$5+S242*$R$5)*($S$5)+X242</f>
        <v>3</v>
      </c>
      <c r="X242" s="9">
        <v>3</v>
      </c>
    </row>
    <row r="243" spans="16:24">
      <c r="P243" s="5">
        <f t="shared" si="3"/>
        <v>23.6000000000001</v>
      </c>
      <c r="Q243" s="3">
        <v>9</v>
      </c>
      <c r="R243" s="3">
        <v>8</v>
      </c>
      <c r="S243" s="1">
        <f>Q243*$Q$2+R243*$R$2</f>
        <v>23.75</v>
      </c>
      <c r="T243" s="7">
        <f>S243*(1+$S$5)</f>
        <v>23.75</v>
      </c>
      <c r="U243" s="7">
        <f>(Q243*$Q$3+R243*$R$3)*(1+$S$5)</f>
        <v>26</v>
      </c>
      <c r="V243" s="4">
        <f>(Q243*$Q$4+R243*$R$4)*(1+$S$5)</f>
        <v>26</v>
      </c>
      <c r="W243" s="8">
        <f>(R243*$Q$5+S243*$R$5)*($S$5)+X243</f>
        <v>3</v>
      </c>
      <c r="X243" s="9">
        <v>3</v>
      </c>
    </row>
    <row r="244" spans="16:24">
      <c r="P244" s="5">
        <f t="shared" si="3"/>
        <v>23.7000000000001</v>
      </c>
      <c r="Q244" s="3">
        <v>9</v>
      </c>
      <c r="R244" s="3">
        <v>8</v>
      </c>
      <c r="S244" s="1">
        <f>Q244*$Q$2+R244*$R$2</f>
        <v>23.75</v>
      </c>
      <c r="T244" s="7">
        <f>S244*(1+$S$5)</f>
        <v>23.75</v>
      </c>
      <c r="U244" s="7">
        <f>(Q244*$Q$3+R244*$R$3)*(1+$S$5)</f>
        <v>26</v>
      </c>
      <c r="V244" s="4">
        <f>(Q244*$Q$4+R244*$R$4)*(1+$S$5)</f>
        <v>26</v>
      </c>
      <c r="W244" s="8">
        <f>(R244*$Q$5+S244*$R$5)*($S$5)+X244</f>
        <v>3</v>
      </c>
      <c r="X244" s="9">
        <v>3</v>
      </c>
    </row>
    <row r="245" spans="16:24">
      <c r="P245" s="5">
        <f t="shared" si="3"/>
        <v>23.8000000000001</v>
      </c>
      <c r="Q245" s="3">
        <v>9</v>
      </c>
      <c r="R245" s="3">
        <v>8</v>
      </c>
      <c r="S245" s="1">
        <f>Q245*$Q$2+R245*$R$2</f>
        <v>23.75</v>
      </c>
      <c r="T245" s="7">
        <f>S245*(1+$S$5)</f>
        <v>23.75</v>
      </c>
      <c r="U245" s="7">
        <f>(Q245*$Q$3+R245*$R$3)*(1+$S$5)</f>
        <v>26</v>
      </c>
      <c r="V245" s="4">
        <f>(Q245*$Q$4+R245*$R$4)*(1+$S$5)</f>
        <v>26</v>
      </c>
      <c r="W245" s="8">
        <f>(R245*$Q$5+S245*$R$5)*($S$5)+X245</f>
        <v>3</v>
      </c>
      <c r="X245" s="9">
        <v>3</v>
      </c>
    </row>
    <row r="246" spans="16:24">
      <c r="P246" s="5">
        <f t="shared" si="3"/>
        <v>23.9000000000001</v>
      </c>
      <c r="Q246" s="3">
        <v>9</v>
      </c>
      <c r="R246" s="3">
        <v>8</v>
      </c>
      <c r="S246" s="1">
        <f>Q246*$Q$2+R246*$R$2</f>
        <v>23.75</v>
      </c>
      <c r="T246" s="7">
        <f>S246*(1+$S$5)</f>
        <v>23.75</v>
      </c>
      <c r="U246" s="7">
        <f>(Q246*$Q$3+R246*$R$3)*(1+$S$5)</f>
        <v>26</v>
      </c>
      <c r="V246" s="4">
        <f>(Q246*$Q$4+R246*$R$4)*(1+$S$5)</f>
        <v>26</v>
      </c>
      <c r="W246" s="8">
        <f>(R246*$Q$5+S246*$R$5)*($S$5)+X246</f>
        <v>3</v>
      </c>
      <c r="X246" s="9">
        <v>3</v>
      </c>
    </row>
    <row r="247" spans="16:24">
      <c r="P247" s="5">
        <f t="shared" si="3"/>
        <v>24.0000000000001</v>
      </c>
      <c r="Q247" s="3">
        <v>9</v>
      </c>
      <c r="R247" s="3">
        <v>10</v>
      </c>
      <c r="S247" s="1">
        <f>Q247*$Q$2+R247*$R$2</f>
        <v>25.75</v>
      </c>
      <c r="T247" s="7">
        <f>S247*(1+$S$5)</f>
        <v>25.75</v>
      </c>
      <c r="U247" s="7">
        <f>(Q247*$Q$3+R247*$R$3)*(1+$S$5)</f>
        <v>28</v>
      </c>
      <c r="V247" s="4">
        <f>(Q247*$Q$4+R247*$R$4)*(1+$S$5)</f>
        <v>28</v>
      </c>
      <c r="W247" s="8">
        <f>(R247*$Q$5+S247*$R$5)*($S$5)+X247</f>
        <v>3</v>
      </c>
      <c r="X247" s="9">
        <v>3</v>
      </c>
    </row>
    <row r="248" spans="16:24">
      <c r="P248" s="5">
        <f t="shared" si="3"/>
        <v>24.1000000000001</v>
      </c>
      <c r="Q248" s="3">
        <v>9</v>
      </c>
      <c r="R248" s="3">
        <v>10</v>
      </c>
      <c r="S248" s="1">
        <f>Q248*$Q$2+R248*$R$2</f>
        <v>25.75</v>
      </c>
      <c r="T248" s="7">
        <f>S248*(1+$S$5)</f>
        <v>25.75</v>
      </c>
      <c r="U248" s="7">
        <f>(Q248*$Q$3+R248*$R$3)*(1+$S$5)</f>
        <v>28</v>
      </c>
      <c r="V248" s="4">
        <f>(Q248*$Q$4+R248*$R$4)*(1+$S$5)</f>
        <v>28</v>
      </c>
      <c r="W248" s="8">
        <f>(R248*$Q$5+S248*$R$5)*($S$5)+X248</f>
        <v>3</v>
      </c>
      <c r="X248" s="9">
        <v>3</v>
      </c>
    </row>
    <row r="249" spans="16:24">
      <c r="P249" s="5">
        <f t="shared" si="3"/>
        <v>24.2000000000001</v>
      </c>
      <c r="Q249" s="3">
        <v>9</v>
      </c>
      <c r="R249" s="3">
        <v>10</v>
      </c>
      <c r="S249" s="1">
        <f>Q249*$Q$2+R249*$R$2</f>
        <v>25.75</v>
      </c>
      <c r="T249" s="7">
        <f>S249*(1+$S$5)</f>
        <v>25.75</v>
      </c>
      <c r="U249" s="7">
        <f>(Q249*$Q$3+R249*$R$3)*(1+$S$5)</f>
        <v>28</v>
      </c>
      <c r="V249" s="4">
        <f>(Q249*$Q$4+R249*$R$4)*(1+$S$5)</f>
        <v>28</v>
      </c>
      <c r="W249" s="8">
        <f>(R249*$Q$5+S249*$R$5)*($S$5)+X249</f>
        <v>3</v>
      </c>
      <c r="X249" s="9">
        <v>3</v>
      </c>
    </row>
    <row r="250" spans="16:24">
      <c r="P250" s="5">
        <f t="shared" si="3"/>
        <v>24.3000000000001</v>
      </c>
      <c r="Q250" s="3">
        <v>9</v>
      </c>
      <c r="R250" s="3">
        <v>10</v>
      </c>
      <c r="S250" s="1">
        <f>Q250*$Q$2+R250*$R$2</f>
        <v>25.75</v>
      </c>
      <c r="T250" s="7">
        <f>S250*(1+$S$5)</f>
        <v>25.75</v>
      </c>
      <c r="U250" s="7">
        <f>(Q250*$Q$3+R250*$R$3)*(1+$S$5)</f>
        <v>28</v>
      </c>
      <c r="V250" s="4">
        <f>(Q250*$Q$4+R250*$R$4)*(1+$S$5)</f>
        <v>28</v>
      </c>
      <c r="W250" s="8">
        <f>(R250*$Q$5+S250*$R$5)*($S$5)+X250</f>
        <v>3</v>
      </c>
      <c r="X250" s="9">
        <v>3</v>
      </c>
    </row>
    <row r="251" spans="16:24">
      <c r="P251" s="5">
        <f t="shared" si="3"/>
        <v>24.4000000000001</v>
      </c>
      <c r="Q251" s="3">
        <v>9</v>
      </c>
      <c r="R251" s="3">
        <v>10</v>
      </c>
      <c r="S251" s="1">
        <f>Q251*$Q$2+R251*$R$2</f>
        <v>25.75</v>
      </c>
      <c r="T251" s="7">
        <f>S251*(1+$S$5)</f>
        <v>25.75</v>
      </c>
      <c r="U251" s="7">
        <f>(Q251*$Q$3+R251*$R$3)*(1+$S$5)</f>
        <v>28</v>
      </c>
      <c r="V251" s="4">
        <f>(Q251*$Q$4+R251*$R$4)*(1+$S$5)</f>
        <v>28</v>
      </c>
      <c r="W251" s="8">
        <f>(R251*$Q$5+S251*$R$5)*($S$5)+X251</f>
        <v>3</v>
      </c>
      <c r="X251" s="9">
        <v>3</v>
      </c>
    </row>
    <row r="252" spans="16:24">
      <c r="P252" s="5">
        <f t="shared" si="3"/>
        <v>24.5000000000001</v>
      </c>
      <c r="Q252" s="3">
        <v>9</v>
      </c>
      <c r="R252" s="3">
        <v>10</v>
      </c>
      <c r="S252" s="1">
        <f>Q252*$Q$2+R252*$R$2</f>
        <v>25.75</v>
      </c>
      <c r="T252" s="7">
        <f>S252*(1+$S$5)</f>
        <v>25.75</v>
      </c>
      <c r="U252" s="7">
        <f>(Q252*$Q$3+R252*$R$3)*(1+$S$5)</f>
        <v>28</v>
      </c>
      <c r="V252" s="4">
        <f>(Q252*$Q$4+R252*$R$4)*(1+$S$5)</f>
        <v>28</v>
      </c>
      <c r="W252" s="8">
        <f>(R252*$Q$5+S252*$R$5)*($S$5)+X252</f>
        <v>3</v>
      </c>
      <c r="X252" s="9">
        <v>3</v>
      </c>
    </row>
    <row r="253" spans="16:24">
      <c r="P253" s="5">
        <f t="shared" si="3"/>
        <v>24.6000000000001</v>
      </c>
      <c r="Q253" s="3">
        <v>9</v>
      </c>
      <c r="R253" s="3">
        <v>10</v>
      </c>
      <c r="S253" s="1">
        <f>Q253*$Q$2+R253*$R$2</f>
        <v>25.75</v>
      </c>
      <c r="T253" s="7">
        <f>S253*(1+$S$5)</f>
        <v>25.75</v>
      </c>
      <c r="U253" s="7">
        <f>(Q253*$Q$3+R253*$R$3)*(1+$S$5)</f>
        <v>28</v>
      </c>
      <c r="V253" s="4">
        <f>(Q253*$Q$4+R253*$R$4)*(1+$S$5)</f>
        <v>28</v>
      </c>
      <c r="W253" s="8">
        <f>(R253*$Q$5+S253*$R$5)*($S$5)+X253</f>
        <v>3</v>
      </c>
      <c r="X253" s="9">
        <v>3</v>
      </c>
    </row>
    <row r="254" spans="16:24">
      <c r="P254" s="5">
        <f t="shared" si="3"/>
        <v>24.7000000000001</v>
      </c>
      <c r="Q254" s="3">
        <v>9</v>
      </c>
      <c r="R254" s="3">
        <v>10</v>
      </c>
      <c r="S254" s="1">
        <f>Q254*$Q$2+R254*$R$2</f>
        <v>25.75</v>
      </c>
      <c r="T254" s="7">
        <f>S254*(1+$S$5)</f>
        <v>25.75</v>
      </c>
      <c r="U254" s="7">
        <f>(Q254*$Q$3+R254*$R$3)*(1+$S$5)</f>
        <v>28</v>
      </c>
      <c r="V254" s="4">
        <f>(Q254*$Q$4+R254*$R$4)*(1+$S$5)</f>
        <v>28</v>
      </c>
      <c r="W254" s="8">
        <f>(R254*$Q$5+S254*$R$5)*($S$5)+X254</f>
        <v>3</v>
      </c>
      <c r="X254" s="9">
        <v>3</v>
      </c>
    </row>
    <row r="255" spans="16:24">
      <c r="P255" s="5">
        <f t="shared" si="3"/>
        <v>24.8000000000001</v>
      </c>
      <c r="Q255" s="3">
        <v>9</v>
      </c>
      <c r="R255" s="3">
        <v>10</v>
      </c>
      <c r="S255" s="1">
        <f>Q255*$Q$2+R255*$R$2</f>
        <v>25.75</v>
      </c>
      <c r="T255" s="7">
        <f>S255*(1+$S$5)</f>
        <v>25.75</v>
      </c>
      <c r="U255" s="7">
        <f>(Q255*$Q$3+R255*$R$3)*(1+$S$5)</f>
        <v>28</v>
      </c>
      <c r="V255" s="4">
        <f>(Q255*$Q$4+R255*$R$4)*(1+$S$5)</f>
        <v>28</v>
      </c>
      <c r="W255" s="8">
        <f>(R255*$Q$5+S255*$R$5)*($S$5)+X255</f>
        <v>3</v>
      </c>
      <c r="X255" s="9">
        <v>3</v>
      </c>
    </row>
    <row r="256" spans="16:24">
      <c r="P256" s="5">
        <f t="shared" si="3"/>
        <v>24.9000000000001</v>
      </c>
      <c r="Q256" s="3">
        <v>9</v>
      </c>
      <c r="R256" s="3">
        <v>10</v>
      </c>
      <c r="S256" s="1">
        <f>Q256*$Q$2+R256*$R$2</f>
        <v>25.75</v>
      </c>
      <c r="T256" s="7">
        <f>S256*(1+$S$5)</f>
        <v>25.75</v>
      </c>
      <c r="U256" s="7">
        <f>(Q256*$Q$3+R256*$R$3)*(1+$S$5)</f>
        <v>28</v>
      </c>
      <c r="V256" s="4">
        <f>(Q256*$Q$4+R256*$R$4)*(1+$S$5)</f>
        <v>28</v>
      </c>
      <c r="W256" s="8">
        <f>(R256*$Q$5+S256*$R$5)*($S$5)+X256</f>
        <v>3</v>
      </c>
      <c r="X256" s="9">
        <v>3</v>
      </c>
    </row>
    <row r="257" spans="16:24">
      <c r="P257" s="5">
        <f t="shared" si="3"/>
        <v>25.0000000000001</v>
      </c>
      <c r="Q257" s="3">
        <v>9</v>
      </c>
      <c r="R257" s="3">
        <v>10</v>
      </c>
      <c r="S257" s="1">
        <f>Q257*$Q$2+R257*$R$2</f>
        <v>25.75</v>
      </c>
      <c r="T257" s="7">
        <f>S257*(1+$S$5)</f>
        <v>25.75</v>
      </c>
      <c r="U257" s="7">
        <f>(Q257*$Q$3+R257*$R$3)*(1+$S$5)</f>
        <v>28</v>
      </c>
      <c r="V257" s="4">
        <f>(Q257*$Q$4+R257*$R$4)*(1+$S$5)</f>
        <v>28</v>
      </c>
      <c r="W257" s="8">
        <f>(R257*$Q$5+S257*$R$5)*($S$5)+X257</f>
        <v>3</v>
      </c>
      <c r="X257" s="9">
        <v>3</v>
      </c>
    </row>
    <row r="258" spans="16:24">
      <c r="P258" s="5">
        <f t="shared" si="3"/>
        <v>25.1000000000001</v>
      </c>
      <c r="Q258" s="3">
        <v>9</v>
      </c>
      <c r="R258" s="3">
        <v>10</v>
      </c>
      <c r="S258" s="1">
        <f>Q258*$Q$2+R258*$R$2</f>
        <v>25.75</v>
      </c>
      <c r="T258" s="7">
        <f>S258*(1+$S$5)</f>
        <v>25.75</v>
      </c>
      <c r="U258" s="7">
        <f>(Q258*$Q$3+R258*$R$3)*(1+$S$5)</f>
        <v>28</v>
      </c>
      <c r="V258" s="4">
        <f>(Q258*$Q$4+R258*$R$4)*(1+$S$5)</f>
        <v>28</v>
      </c>
      <c r="W258" s="8">
        <f>(R258*$Q$5+S258*$R$5)*($S$5)+X258</f>
        <v>3</v>
      </c>
      <c r="X258" s="9">
        <v>3</v>
      </c>
    </row>
    <row r="259" spans="16:24">
      <c r="P259" s="5">
        <f t="shared" si="3"/>
        <v>25.2000000000001</v>
      </c>
      <c r="Q259" s="3">
        <v>9</v>
      </c>
      <c r="R259" s="3">
        <v>10</v>
      </c>
      <c r="S259" s="1">
        <f>Q259*$Q$2+R259*$R$2</f>
        <v>25.75</v>
      </c>
      <c r="T259" s="7">
        <f>S259*(1+$S$5)</f>
        <v>25.75</v>
      </c>
      <c r="U259" s="7">
        <f>(Q259*$Q$3+R259*$R$3)*(1+$S$5)</f>
        <v>28</v>
      </c>
      <c r="V259" s="4">
        <f>(Q259*$Q$4+R259*$R$4)*(1+$S$5)</f>
        <v>28</v>
      </c>
      <c r="W259" s="8">
        <f>(R259*$Q$5+S259*$R$5)*($S$5)+X259</f>
        <v>3</v>
      </c>
      <c r="X259" s="9">
        <v>3</v>
      </c>
    </row>
    <row r="260" spans="16:24">
      <c r="P260" s="5">
        <f t="shared" si="3"/>
        <v>25.3000000000001</v>
      </c>
      <c r="Q260" s="3">
        <v>9</v>
      </c>
      <c r="R260" s="3">
        <v>10</v>
      </c>
      <c r="S260" s="1">
        <f>Q260*$Q$2+R260*$R$2</f>
        <v>25.75</v>
      </c>
      <c r="T260" s="7">
        <f>S260*(1+$S$5)</f>
        <v>25.75</v>
      </c>
      <c r="U260" s="7">
        <f>(Q260*$Q$3+R260*$R$3)*(1+$S$5)</f>
        <v>28</v>
      </c>
      <c r="V260" s="4">
        <f>(Q260*$Q$4+R260*$R$4)*(1+$S$5)</f>
        <v>28</v>
      </c>
      <c r="W260" s="8">
        <f>(R260*$Q$5+S260*$R$5)*($S$5)+X260</f>
        <v>3</v>
      </c>
      <c r="X260" s="9">
        <v>3</v>
      </c>
    </row>
    <row r="261" spans="16:24">
      <c r="P261" s="5">
        <f t="shared" si="3"/>
        <v>25.4000000000001</v>
      </c>
      <c r="Q261" s="3">
        <v>9</v>
      </c>
      <c r="R261" s="3">
        <v>10</v>
      </c>
      <c r="S261" s="1">
        <f>Q261*$Q$2+R261*$R$2</f>
        <v>25.75</v>
      </c>
      <c r="T261" s="7">
        <f>S261*(1+$S$5)</f>
        <v>25.75</v>
      </c>
      <c r="U261" s="7">
        <f>(Q261*$Q$3+R261*$R$3)*(1+$S$5)</f>
        <v>28</v>
      </c>
      <c r="V261" s="4">
        <f>(Q261*$Q$4+R261*$R$4)*(1+$S$5)</f>
        <v>28</v>
      </c>
      <c r="W261" s="8">
        <f>(R261*$Q$5+S261*$R$5)*($S$5)+X261</f>
        <v>3</v>
      </c>
      <c r="X261" s="9">
        <v>3</v>
      </c>
    </row>
    <row r="262" spans="16:24">
      <c r="P262" s="5">
        <f t="shared" si="3"/>
        <v>25.5000000000001</v>
      </c>
      <c r="Q262" s="3">
        <v>9</v>
      </c>
      <c r="R262" s="3">
        <v>10</v>
      </c>
      <c r="S262" s="1">
        <f>Q262*$Q$2+R262*$R$2</f>
        <v>25.75</v>
      </c>
      <c r="T262" s="7">
        <f>S262*(1+$S$5)</f>
        <v>25.75</v>
      </c>
      <c r="U262" s="7">
        <f>(Q262*$Q$3+R262*$R$3)*(1+$S$5)</f>
        <v>28</v>
      </c>
      <c r="V262" s="4">
        <f>(Q262*$Q$4+R262*$R$4)*(1+$S$5)</f>
        <v>28</v>
      </c>
      <c r="W262" s="8">
        <f>(R262*$Q$5+S262*$R$5)*($S$5)+X262</f>
        <v>3</v>
      </c>
      <c r="X262" s="9">
        <v>3</v>
      </c>
    </row>
    <row r="263" spans="16:24">
      <c r="P263" s="5">
        <f t="shared" si="3"/>
        <v>25.6000000000001</v>
      </c>
      <c r="Q263" s="3">
        <v>9</v>
      </c>
      <c r="R263" s="3">
        <v>10</v>
      </c>
      <c r="S263" s="1">
        <f>Q263*$Q$2+R263*$R$2</f>
        <v>25.75</v>
      </c>
      <c r="T263" s="7">
        <f>S263*(1+$S$5)</f>
        <v>25.75</v>
      </c>
      <c r="U263" s="7">
        <f>(Q263*$Q$3+R263*$R$3)*(1+$S$5)</f>
        <v>28</v>
      </c>
      <c r="V263" s="4">
        <f>(Q263*$Q$4+R263*$R$4)*(1+$S$5)</f>
        <v>28</v>
      </c>
      <c r="W263" s="8">
        <f>(R263*$Q$5+S263*$R$5)*($S$5)+X263</f>
        <v>3</v>
      </c>
      <c r="X263" s="9">
        <v>3</v>
      </c>
    </row>
    <row r="264" spans="16:24">
      <c r="P264" s="5">
        <f t="shared" ref="P264:P327" si="4">0.1+P263</f>
        <v>25.7000000000001</v>
      </c>
      <c r="Q264" s="3">
        <v>9</v>
      </c>
      <c r="R264" s="3">
        <v>10</v>
      </c>
      <c r="S264" s="1">
        <f>Q264*$Q$2+R264*$R$2</f>
        <v>25.75</v>
      </c>
      <c r="T264" s="7">
        <f>S264*(1+$S$5)</f>
        <v>25.75</v>
      </c>
      <c r="U264" s="7">
        <f>(Q264*$Q$3+R264*$R$3)*(1+$S$5)</f>
        <v>28</v>
      </c>
      <c r="V264" s="4">
        <f>(Q264*$Q$4+R264*$R$4)*(1+$S$5)</f>
        <v>28</v>
      </c>
      <c r="W264" s="8">
        <f>(R264*$Q$5+S264*$R$5)*($S$5)+X264</f>
        <v>3</v>
      </c>
      <c r="X264" s="9">
        <v>3</v>
      </c>
    </row>
    <row r="265" spans="16:24">
      <c r="P265" s="5">
        <f t="shared" si="4"/>
        <v>25.8000000000001</v>
      </c>
      <c r="Q265" s="3">
        <v>9</v>
      </c>
      <c r="R265" s="3">
        <v>10</v>
      </c>
      <c r="S265" s="1">
        <f>Q265*$Q$2+R265*$R$2</f>
        <v>25.75</v>
      </c>
      <c r="T265" s="7">
        <f>S265*(1+$S$5)</f>
        <v>25.75</v>
      </c>
      <c r="U265" s="7">
        <f>(Q265*$Q$3+R265*$R$3)*(1+$S$5)</f>
        <v>28</v>
      </c>
      <c r="V265" s="4">
        <f>(Q265*$Q$4+R265*$R$4)*(1+$S$5)</f>
        <v>28</v>
      </c>
      <c r="W265" s="8">
        <f>(R265*$Q$5+S265*$R$5)*($S$5)+X265</f>
        <v>3</v>
      </c>
      <c r="X265" s="9">
        <v>3</v>
      </c>
    </row>
    <row r="266" spans="16:24">
      <c r="P266" s="5">
        <f t="shared" si="4"/>
        <v>25.9000000000001</v>
      </c>
      <c r="Q266" s="3">
        <v>9</v>
      </c>
      <c r="R266" s="3">
        <v>10</v>
      </c>
      <c r="S266" s="1">
        <f>Q266*$Q$2+R266*$R$2</f>
        <v>25.75</v>
      </c>
      <c r="T266" s="7">
        <f>S266*(1+$S$5)</f>
        <v>25.75</v>
      </c>
      <c r="U266" s="7">
        <f>(Q266*$Q$3+R266*$R$3)*(1+$S$5)</f>
        <v>28</v>
      </c>
      <c r="V266" s="4">
        <f>(Q266*$Q$4+R266*$R$4)*(1+$S$5)</f>
        <v>28</v>
      </c>
      <c r="W266" s="8">
        <f>(R266*$Q$5+S266*$R$5)*($S$5)+X266</f>
        <v>3</v>
      </c>
      <c r="X266" s="9">
        <v>3</v>
      </c>
    </row>
    <row r="267" spans="16:24">
      <c r="P267" s="5">
        <f t="shared" si="4"/>
        <v>26.0000000000001</v>
      </c>
      <c r="Q267" s="3">
        <v>9</v>
      </c>
      <c r="R267" s="3">
        <v>10</v>
      </c>
      <c r="S267" s="1">
        <f>Q267*$Q$2+R267*$R$2</f>
        <v>25.75</v>
      </c>
      <c r="T267" s="7">
        <f>S267*(1+$S$5)</f>
        <v>25.75</v>
      </c>
      <c r="U267" s="7">
        <f>(Q267*$Q$3+R267*$R$3)*(1+$S$5)</f>
        <v>28</v>
      </c>
      <c r="V267" s="4">
        <f>(Q267*$Q$4+R267*$R$4)*(1+$S$5)</f>
        <v>28</v>
      </c>
      <c r="W267" s="8">
        <f>(R267*$Q$5+S267*$R$5)*($S$5)+X267</f>
        <v>3</v>
      </c>
      <c r="X267" s="9">
        <v>3</v>
      </c>
    </row>
    <row r="268" spans="16:24">
      <c r="P268" s="5">
        <f t="shared" si="4"/>
        <v>26.1000000000001</v>
      </c>
      <c r="Q268" s="3">
        <v>9</v>
      </c>
      <c r="R268" s="3">
        <v>10</v>
      </c>
      <c r="S268" s="1">
        <f>Q268*$Q$2+R268*$R$2</f>
        <v>25.75</v>
      </c>
      <c r="T268" s="7">
        <f>S268*(1+$S$5)</f>
        <v>25.75</v>
      </c>
      <c r="U268" s="7">
        <f>(Q268*$Q$3+R268*$R$3)*(1+$S$5)</f>
        <v>28</v>
      </c>
      <c r="V268" s="4">
        <f>(Q268*$Q$4+R268*$R$4)*(1+$S$5)</f>
        <v>28</v>
      </c>
      <c r="W268" s="8">
        <f>(R268*$Q$5+S268*$R$5)*($S$5)+X268</f>
        <v>3</v>
      </c>
      <c r="X268" s="9">
        <v>3</v>
      </c>
    </row>
    <row r="269" spans="16:24">
      <c r="P269" s="5">
        <f t="shared" si="4"/>
        <v>26.2000000000001</v>
      </c>
      <c r="Q269" s="3">
        <v>9</v>
      </c>
      <c r="R269" s="3">
        <v>10</v>
      </c>
      <c r="S269" s="1">
        <f>Q269*$Q$2+R269*$R$2</f>
        <v>25.75</v>
      </c>
      <c r="T269" s="7">
        <f>S269*(1+$S$5)</f>
        <v>25.75</v>
      </c>
      <c r="U269" s="7">
        <f>(Q269*$Q$3+R269*$R$3)*(1+$S$5)</f>
        <v>28</v>
      </c>
      <c r="V269" s="4">
        <f>(Q269*$Q$4+R269*$R$4)*(1+$S$5)</f>
        <v>28</v>
      </c>
      <c r="W269" s="8">
        <f>(R269*$Q$5+S269*$R$5)*($S$5)+X269</f>
        <v>3</v>
      </c>
      <c r="X269" s="9">
        <v>3</v>
      </c>
    </row>
    <row r="270" spans="16:24">
      <c r="P270" s="5">
        <f t="shared" si="4"/>
        <v>26.3000000000001</v>
      </c>
      <c r="Q270" s="3">
        <v>9</v>
      </c>
      <c r="R270" s="3">
        <v>10</v>
      </c>
      <c r="S270" s="1">
        <f>Q270*$Q$2+R270*$R$2</f>
        <v>25.75</v>
      </c>
      <c r="T270" s="7">
        <f>S270*(1+$S$5)</f>
        <v>25.75</v>
      </c>
      <c r="U270" s="7">
        <f>(Q270*$Q$3+R270*$R$3)*(1+$S$5)</f>
        <v>28</v>
      </c>
      <c r="V270" s="4">
        <f>(Q270*$Q$4+R270*$R$4)*(1+$S$5)</f>
        <v>28</v>
      </c>
      <c r="W270" s="8">
        <f>(R270*$Q$5+S270*$R$5)*($S$5)+X270</f>
        <v>3</v>
      </c>
      <c r="X270" s="9">
        <v>3</v>
      </c>
    </row>
    <row r="271" spans="16:24">
      <c r="P271" s="5">
        <f t="shared" si="4"/>
        <v>26.4000000000001</v>
      </c>
      <c r="Q271" s="3">
        <v>9</v>
      </c>
      <c r="R271" s="3">
        <v>10</v>
      </c>
      <c r="S271" s="1">
        <f>Q271*$Q$2+R271*$R$2</f>
        <v>25.75</v>
      </c>
      <c r="T271" s="7">
        <f>S271*(1+$S$5)</f>
        <v>25.75</v>
      </c>
      <c r="U271" s="7">
        <f>(Q271*$Q$3+R271*$R$3)*(1+$S$5)</f>
        <v>28</v>
      </c>
      <c r="V271" s="4">
        <f>(Q271*$Q$4+R271*$R$4)*(1+$S$5)</f>
        <v>28</v>
      </c>
      <c r="W271" s="8">
        <f>(R271*$Q$5+S271*$R$5)*($S$5)+X271</f>
        <v>3</v>
      </c>
      <c r="X271" s="9">
        <v>3</v>
      </c>
    </row>
    <row r="272" spans="16:24">
      <c r="P272" s="5">
        <f t="shared" si="4"/>
        <v>26.5000000000001</v>
      </c>
      <c r="Q272" s="3">
        <v>9</v>
      </c>
      <c r="R272" s="3">
        <v>10</v>
      </c>
      <c r="S272" s="1">
        <f>Q272*$Q$2+R272*$R$2</f>
        <v>25.75</v>
      </c>
      <c r="T272" s="7">
        <f>S272*(1+$S$5)</f>
        <v>25.75</v>
      </c>
      <c r="U272" s="7">
        <f>(Q272*$Q$3+R272*$R$3)*(1+$S$5)</f>
        <v>28</v>
      </c>
      <c r="V272" s="4">
        <f>(Q272*$Q$4+R272*$R$4)*(1+$S$5)</f>
        <v>28</v>
      </c>
      <c r="W272" s="8">
        <f>(R272*$Q$5+S272*$R$5)*($S$5)+X272</f>
        <v>3</v>
      </c>
      <c r="X272" s="9">
        <v>3</v>
      </c>
    </row>
    <row r="273" spans="16:24">
      <c r="P273" s="5">
        <f t="shared" si="4"/>
        <v>26.6000000000001</v>
      </c>
      <c r="Q273" s="3">
        <v>9</v>
      </c>
      <c r="R273" s="3">
        <v>10</v>
      </c>
      <c r="S273" s="1">
        <f>Q273*$Q$2+R273*$R$2</f>
        <v>25.75</v>
      </c>
      <c r="T273" s="7">
        <f>S273*(1+$S$5)</f>
        <v>25.75</v>
      </c>
      <c r="U273" s="7">
        <f>(Q273*$Q$3+R273*$R$3)*(1+$S$5)</f>
        <v>28</v>
      </c>
      <c r="V273" s="4">
        <f>(Q273*$Q$4+R273*$R$4)*(1+$S$5)</f>
        <v>28</v>
      </c>
      <c r="W273" s="8">
        <f>(R273*$Q$5+S273*$R$5)*($S$5)+X273</f>
        <v>3</v>
      </c>
      <c r="X273" s="9">
        <v>3</v>
      </c>
    </row>
    <row r="274" spans="16:24">
      <c r="P274" s="5">
        <f t="shared" si="4"/>
        <v>26.7000000000001</v>
      </c>
      <c r="Q274" s="3">
        <v>9</v>
      </c>
      <c r="R274" s="3">
        <v>10</v>
      </c>
      <c r="S274" s="1">
        <f>Q274*$Q$2+R274*$R$2</f>
        <v>25.75</v>
      </c>
      <c r="T274" s="7">
        <f>S274*(1+$S$5)</f>
        <v>25.75</v>
      </c>
      <c r="U274" s="7">
        <f>(Q274*$Q$3+R274*$R$3)*(1+$S$5)</f>
        <v>28</v>
      </c>
      <c r="V274" s="4">
        <f>(Q274*$Q$4+R274*$R$4)*(1+$S$5)</f>
        <v>28</v>
      </c>
      <c r="W274" s="8">
        <f>(R274*$Q$5+S274*$R$5)*($S$5)+X274</f>
        <v>3</v>
      </c>
      <c r="X274" s="9">
        <v>3</v>
      </c>
    </row>
    <row r="275" spans="16:24">
      <c r="P275" s="5">
        <f t="shared" si="4"/>
        <v>26.8000000000001</v>
      </c>
      <c r="Q275" s="3">
        <v>9</v>
      </c>
      <c r="R275" s="3">
        <v>10</v>
      </c>
      <c r="S275" s="1">
        <f>Q275*$Q$2+R275*$R$2</f>
        <v>25.75</v>
      </c>
      <c r="T275" s="7">
        <f>S275*(1+$S$5)</f>
        <v>25.75</v>
      </c>
      <c r="U275" s="7">
        <f>(Q275*$Q$3+R275*$R$3)*(1+$S$5)</f>
        <v>28</v>
      </c>
      <c r="V275" s="4">
        <f>(Q275*$Q$4+R275*$R$4)*(1+$S$5)</f>
        <v>28</v>
      </c>
      <c r="W275" s="8">
        <f>(R275*$Q$5+S275*$R$5)*($S$5)+X275</f>
        <v>3</v>
      </c>
      <c r="X275" s="9">
        <v>3</v>
      </c>
    </row>
    <row r="276" spans="16:24">
      <c r="P276" s="5">
        <f t="shared" si="4"/>
        <v>26.9000000000001</v>
      </c>
      <c r="Q276" s="3">
        <v>9</v>
      </c>
      <c r="R276" s="3">
        <v>10</v>
      </c>
      <c r="S276" s="1">
        <f>Q276*$Q$2+R276*$R$2</f>
        <v>25.75</v>
      </c>
      <c r="T276" s="7">
        <f>S276*(1+$S$5)</f>
        <v>25.75</v>
      </c>
      <c r="U276" s="7">
        <f>(Q276*$Q$3+R276*$R$3)*(1+$S$5)</f>
        <v>28</v>
      </c>
      <c r="V276" s="4">
        <f>(Q276*$Q$4+R276*$R$4)*(1+$S$5)</f>
        <v>28</v>
      </c>
      <c r="W276" s="8">
        <f>(R276*$Q$5+S276*$R$5)*($S$5)+X276</f>
        <v>3</v>
      </c>
      <c r="X276" s="9">
        <v>3</v>
      </c>
    </row>
    <row r="277" spans="16:24">
      <c r="P277" s="5">
        <f t="shared" si="4"/>
        <v>27.0000000000001</v>
      </c>
      <c r="Q277" s="3">
        <v>9</v>
      </c>
      <c r="R277" s="3">
        <v>10</v>
      </c>
      <c r="S277" s="1">
        <f>Q277*$Q$2+R277*$R$2</f>
        <v>25.75</v>
      </c>
      <c r="T277" s="7">
        <f>S277*(1+$S$5)</f>
        <v>25.75</v>
      </c>
      <c r="U277" s="7">
        <f>(Q277*$Q$3+R277*$R$3)*(1+$S$5)</f>
        <v>28</v>
      </c>
      <c r="V277" s="4">
        <f>(Q277*$Q$4+R277*$R$4)*(1+$S$5)</f>
        <v>28</v>
      </c>
      <c r="W277" s="8">
        <f>(R277*$Q$5+S277*$R$5)*($S$5)+X277</f>
        <v>3</v>
      </c>
      <c r="X277" s="9">
        <v>3</v>
      </c>
    </row>
    <row r="278" spans="16:24">
      <c r="P278" s="5">
        <f t="shared" si="4"/>
        <v>27.1000000000001</v>
      </c>
      <c r="Q278" s="3">
        <v>9</v>
      </c>
      <c r="R278" s="3">
        <v>10</v>
      </c>
      <c r="S278" s="1">
        <f>Q278*$Q$2+R278*$R$2</f>
        <v>25.75</v>
      </c>
      <c r="T278" s="7">
        <f>S278*(1+$S$5)</f>
        <v>25.75</v>
      </c>
      <c r="U278" s="7">
        <f>(Q278*$Q$3+R278*$R$3)*(1+$S$5)</f>
        <v>28</v>
      </c>
      <c r="V278" s="4">
        <f>(Q278*$Q$4+R278*$R$4)*(1+$S$5)</f>
        <v>28</v>
      </c>
      <c r="W278" s="8">
        <f>(R278*$Q$5+S278*$R$5)*($S$5)+X278</f>
        <v>3</v>
      </c>
      <c r="X278" s="9">
        <v>3</v>
      </c>
    </row>
    <row r="279" spans="16:24">
      <c r="P279" s="5">
        <f t="shared" si="4"/>
        <v>27.2000000000001</v>
      </c>
      <c r="Q279" s="3">
        <v>9</v>
      </c>
      <c r="R279" s="3">
        <v>10</v>
      </c>
      <c r="S279" s="1">
        <f>Q279*$Q$2+R279*$R$2</f>
        <v>25.75</v>
      </c>
      <c r="T279" s="7">
        <f>S279*(1+$S$5)</f>
        <v>25.75</v>
      </c>
      <c r="U279" s="7">
        <f>(Q279*$Q$3+R279*$R$3)*(1+$S$5)</f>
        <v>28</v>
      </c>
      <c r="V279" s="4">
        <f>(Q279*$Q$4+R279*$R$4)*(1+$S$5)</f>
        <v>28</v>
      </c>
      <c r="W279" s="8">
        <f>(R279*$Q$5+S279*$R$5)*($S$5)+X279</f>
        <v>3</v>
      </c>
      <c r="X279" s="9">
        <v>3</v>
      </c>
    </row>
    <row r="280" spans="16:24">
      <c r="P280" s="5">
        <f t="shared" si="4"/>
        <v>27.3000000000001</v>
      </c>
      <c r="Q280" s="3">
        <v>9</v>
      </c>
      <c r="R280" s="3">
        <v>10</v>
      </c>
      <c r="S280" s="1">
        <f>Q280*$Q$2+R280*$R$2</f>
        <v>25.75</v>
      </c>
      <c r="T280" s="7">
        <f>S280*(1+$S$5)</f>
        <v>25.75</v>
      </c>
      <c r="U280" s="7">
        <f>(Q280*$Q$3+R280*$R$3)*(1+$S$5)</f>
        <v>28</v>
      </c>
      <c r="V280" s="4">
        <f>(Q280*$Q$4+R280*$R$4)*(1+$S$5)</f>
        <v>28</v>
      </c>
      <c r="W280" s="8">
        <f>(R280*$Q$5+S280*$R$5)*($S$5)+X280</f>
        <v>3</v>
      </c>
      <c r="X280" s="9">
        <v>3</v>
      </c>
    </row>
    <row r="281" spans="16:24">
      <c r="P281" s="5">
        <f t="shared" si="4"/>
        <v>27.4000000000001</v>
      </c>
      <c r="Q281" s="3">
        <v>9</v>
      </c>
      <c r="R281" s="3">
        <v>10</v>
      </c>
      <c r="S281" s="1">
        <f>Q281*$Q$2+R281*$R$2</f>
        <v>25.75</v>
      </c>
      <c r="T281" s="7">
        <f>S281*(1+$S$5)</f>
        <v>25.75</v>
      </c>
      <c r="U281" s="7">
        <f>(Q281*$Q$3+R281*$R$3)*(1+$S$5)</f>
        <v>28</v>
      </c>
      <c r="V281" s="4">
        <f>(Q281*$Q$4+R281*$R$4)*(1+$S$5)</f>
        <v>28</v>
      </c>
      <c r="W281" s="8">
        <f>(R281*$Q$5+S281*$R$5)*($S$5)+X281</f>
        <v>3</v>
      </c>
      <c r="X281" s="9">
        <v>3</v>
      </c>
    </row>
    <row r="282" spans="16:24">
      <c r="P282" s="5">
        <f t="shared" si="4"/>
        <v>27.5000000000001</v>
      </c>
      <c r="Q282" s="3">
        <v>9</v>
      </c>
      <c r="R282" s="3">
        <v>10</v>
      </c>
      <c r="S282" s="1">
        <f>Q282*$Q$2+R282*$R$2</f>
        <v>25.75</v>
      </c>
      <c r="T282" s="7">
        <f>S282*(1+$S$5)</f>
        <v>25.75</v>
      </c>
      <c r="U282" s="7">
        <f>(Q282*$Q$3+R282*$R$3)*(1+$S$5)</f>
        <v>28</v>
      </c>
      <c r="V282" s="4">
        <f>(Q282*$Q$4+R282*$R$4)*(1+$S$5)</f>
        <v>28</v>
      </c>
      <c r="W282" s="8">
        <f>(R282*$Q$5+S282*$R$5)*($S$5)+X282</f>
        <v>3</v>
      </c>
      <c r="X282" s="9">
        <v>3</v>
      </c>
    </row>
    <row r="283" spans="16:24">
      <c r="P283" s="5">
        <f t="shared" si="4"/>
        <v>27.6000000000001</v>
      </c>
      <c r="Q283" s="3">
        <v>9</v>
      </c>
      <c r="R283" s="3">
        <v>10</v>
      </c>
      <c r="S283" s="1">
        <f>Q283*$Q$2+R283*$R$2</f>
        <v>25.75</v>
      </c>
      <c r="T283" s="7">
        <f>S283*(1+$S$5)</f>
        <v>25.75</v>
      </c>
      <c r="U283" s="7">
        <f>(Q283*$Q$3+R283*$R$3)*(1+$S$5)</f>
        <v>28</v>
      </c>
      <c r="V283" s="4">
        <f>(Q283*$Q$4+R283*$R$4)*(1+$S$5)</f>
        <v>28</v>
      </c>
      <c r="W283" s="8">
        <f>(R283*$Q$5+S283*$R$5)*($S$5)+X283</f>
        <v>3</v>
      </c>
      <c r="X283" s="9">
        <v>3</v>
      </c>
    </row>
    <row r="284" spans="16:24">
      <c r="P284" s="5">
        <f t="shared" si="4"/>
        <v>27.7000000000001</v>
      </c>
      <c r="Q284" s="3">
        <v>9</v>
      </c>
      <c r="R284" s="3">
        <v>10</v>
      </c>
      <c r="S284" s="1">
        <f>Q284*$Q$2+R284*$R$2</f>
        <v>25.75</v>
      </c>
      <c r="T284" s="7">
        <f>S284*(1+$S$5)</f>
        <v>25.75</v>
      </c>
      <c r="U284" s="7">
        <f>(Q284*$Q$3+R284*$R$3)*(1+$S$5)</f>
        <v>28</v>
      </c>
      <c r="V284" s="4">
        <f>(Q284*$Q$4+R284*$R$4)*(1+$S$5)</f>
        <v>28</v>
      </c>
      <c r="W284" s="8">
        <f>(R284*$Q$5+S284*$R$5)*($S$5)+X284</f>
        <v>3</v>
      </c>
      <c r="X284" s="9">
        <v>3</v>
      </c>
    </row>
    <row r="285" spans="16:24">
      <c r="P285" s="5">
        <f t="shared" si="4"/>
        <v>27.8000000000001</v>
      </c>
      <c r="Q285" s="3">
        <v>9</v>
      </c>
      <c r="R285" s="3">
        <v>10</v>
      </c>
      <c r="S285" s="1">
        <f>Q285*$Q$2+R285*$R$2</f>
        <v>25.75</v>
      </c>
      <c r="T285" s="7">
        <f>S285*(1+$S$5)</f>
        <v>25.75</v>
      </c>
      <c r="U285" s="7">
        <f>(Q285*$Q$3+R285*$R$3)*(1+$S$5)</f>
        <v>28</v>
      </c>
      <c r="V285" s="4">
        <f>(Q285*$Q$4+R285*$R$4)*(1+$S$5)</f>
        <v>28</v>
      </c>
      <c r="W285" s="8">
        <f>(R285*$Q$5+S285*$R$5)*($S$5)+X285</f>
        <v>3</v>
      </c>
      <c r="X285" s="9">
        <v>3</v>
      </c>
    </row>
    <row r="286" spans="16:24">
      <c r="P286" s="5">
        <f t="shared" si="4"/>
        <v>27.9000000000001</v>
      </c>
      <c r="Q286" s="3">
        <v>9</v>
      </c>
      <c r="R286" s="3">
        <v>10</v>
      </c>
      <c r="S286" s="1">
        <f>Q286*$Q$2+R286*$R$2</f>
        <v>25.75</v>
      </c>
      <c r="T286" s="7">
        <f>S286*(1+$S$5)</f>
        <v>25.75</v>
      </c>
      <c r="U286" s="7">
        <f>(Q286*$Q$3+R286*$R$3)*(1+$S$5)</f>
        <v>28</v>
      </c>
      <c r="V286" s="4">
        <f>(Q286*$Q$4+R286*$R$4)*(1+$S$5)</f>
        <v>28</v>
      </c>
      <c r="W286" s="8">
        <f>(R286*$Q$5+S286*$R$5)*($S$5)+X286</f>
        <v>3</v>
      </c>
      <c r="X286" s="9">
        <v>3</v>
      </c>
    </row>
    <row r="287" spans="16:24">
      <c r="P287" s="5">
        <f t="shared" si="4"/>
        <v>28.0000000000001</v>
      </c>
      <c r="Q287" s="3">
        <v>9</v>
      </c>
      <c r="R287" s="3">
        <v>10</v>
      </c>
      <c r="S287" s="1">
        <f>Q287*$Q$2+R287*$R$2</f>
        <v>25.75</v>
      </c>
      <c r="T287" s="7">
        <f>S287*(1+$S$5)</f>
        <v>25.75</v>
      </c>
      <c r="U287" s="7">
        <f>(Q287*$Q$3+R287*$R$3)*(1+$S$5)</f>
        <v>28</v>
      </c>
      <c r="V287" s="4">
        <f>(Q287*$Q$4+R287*$R$4)*(1+$S$5)</f>
        <v>28</v>
      </c>
      <c r="W287" s="8">
        <f>(R287*$Q$5+S287*$R$5)*($S$5)+X287</f>
        <v>3</v>
      </c>
      <c r="X287" s="9">
        <v>3</v>
      </c>
    </row>
    <row r="288" spans="16:24">
      <c r="P288" s="5">
        <f t="shared" si="4"/>
        <v>28.1000000000001</v>
      </c>
      <c r="Q288" s="3">
        <v>9</v>
      </c>
      <c r="R288" s="3">
        <v>10</v>
      </c>
      <c r="S288" s="1">
        <f>Q288*$Q$2+R288*$R$2</f>
        <v>25.75</v>
      </c>
      <c r="T288" s="7">
        <f>S288*(1+$S$5)</f>
        <v>25.75</v>
      </c>
      <c r="U288" s="7">
        <f>(Q288*$Q$3+R288*$R$3)*(1+$S$5)</f>
        <v>28</v>
      </c>
      <c r="V288" s="4">
        <f>(Q288*$Q$4+R288*$R$4)*(1+$S$5)</f>
        <v>28</v>
      </c>
      <c r="W288" s="8">
        <f>(R288*$Q$5+S288*$R$5)*($S$5)+X288</f>
        <v>3</v>
      </c>
      <c r="X288" s="9">
        <v>3</v>
      </c>
    </row>
    <row r="289" spans="16:24">
      <c r="P289" s="5">
        <f t="shared" si="4"/>
        <v>28.2000000000001</v>
      </c>
      <c r="Q289" s="3">
        <v>9</v>
      </c>
      <c r="R289" s="3">
        <v>10</v>
      </c>
      <c r="S289" s="1">
        <f>Q289*$Q$2+R289*$R$2</f>
        <v>25.75</v>
      </c>
      <c r="T289" s="7">
        <f>S289*(1+$S$5)</f>
        <v>25.75</v>
      </c>
      <c r="U289" s="7">
        <f>(Q289*$Q$3+R289*$R$3)*(1+$S$5)</f>
        <v>28</v>
      </c>
      <c r="V289" s="4">
        <f>(Q289*$Q$4+R289*$R$4)*(1+$S$5)</f>
        <v>28</v>
      </c>
      <c r="W289" s="8">
        <f>(R289*$Q$5+S289*$R$5)*($S$5)+X289</f>
        <v>3</v>
      </c>
      <c r="X289" s="9">
        <v>3</v>
      </c>
    </row>
    <row r="290" spans="16:24">
      <c r="P290" s="5">
        <f t="shared" si="4"/>
        <v>28.3000000000001</v>
      </c>
      <c r="Q290" s="3">
        <v>9</v>
      </c>
      <c r="R290" s="3">
        <v>10</v>
      </c>
      <c r="S290" s="1">
        <f>Q290*$Q$2+R290*$R$2</f>
        <v>25.75</v>
      </c>
      <c r="T290" s="7">
        <f>S290*(1+$S$5)</f>
        <v>25.75</v>
      </c>
      <c r="U290" s="7">
        <f>(Q290*$Q$3+R290*$R$3)*(1+$S$5)</f>
        <v>28</v>
      </c>
      <c r="V290" s="4">
        <f>(Q290*$Q$4+R290*$R$4)*(1+$S$5)</f>
        <v>28</v>
      </c>
      <c r="W290" s="8">
        <f>(R290*$Q$5+S290*$R$5)*($S$5)+X290</f>
        <v>3</v>
      </c>
      <c r="X290" s="9">
        <v>3</v>
      </c>
    </row>
    <row r="291" spans="16:24">
      <c r="P291" s="5">
        <f t="shared" si="4"/>
        <v>28.4000000000001</v>
      </c>
      <c r="Q291" s="3">
        <v>9</v>
      </c>
      <c r="R291" s="3">
        <v>10</v>
      </c>
      <c r="S291" s="1">
        <f>Q291*$Q$2+R291*$R$2</f>
        <v>25.75</v>
      </c>
      <c r="T291" s="7">
        <f>S291*(1+$S$5)</f>
        <v>25.75</v>
      </c>
      <c r="U291" s="7">
        <f>(Q291*$Q$3+R291*$R$3)*(1+$S$5)</f>
        <v>28</v>
      </c>
      <c r="V291" s="4">
        <f>(Q291*$Q$4+R291*$R$4)*(1+$S$5)</f>
        <v>28</v>
      </c>
      <c r="W291" s="8">
        <f>(R291*$Q$5+S291*$R$5)*($S$5)+X291</f>
        <v>3</v>
      </c>
      <c r="X291" s="9">
        <v>3</v>
      </c>
    </row>
    <row r="292" spans="16:24">
      <c r="P292" s="5">
        <f t="shared" si="4"/>
        <v>28.5000000000001</v>
      </c>
      <c r="Q292" s="3">
        <v>9</v>
      </c>
      <c r="R292" s="3">
        <v>10</v>
      </c>
      <c r="S292" s="1">
        <f>Q292*$Q$2+R292*$R$2</f>
        <v>25.75</v>
      </c>
      <c r="T292" s="7">
        <f>S292*(1+$S$5)</f>
        <v>25.75</v>
      </c>
      <c r="U292" s="7">
        <f>(Q292*$Q$3+R292*$R$3)*(1+$S$5)</f>
        <v>28</v>
      </c>
      <c r="V292" s="4">
        <f>(Q292*$Q$4+R292*$R$4)*(1+$S$5)</f>
        <v>28</v>
      </c>
      <c r="W292" s="8">
        <f>(R292*$Q$5+S292*$R$5)*($S$5)+X292</f>
        <v>3</v>
      </c>
      <c r="X292" s="9">
        <v>3</v>
      </c>
    </row>
    <row r="293" spans="16:24">
      <c r="P293" s="5">
        <f t="shared" si="4"/>
        <v>28.6000000000001</v>
      </c>
      <c r="Q293" s="3">
        <v>9</v>
      </c>
      <c r="R293" s="3">
        <v>10</v>
      </c>
      <c r="S293" s="1">
        <f>Q293*$Q$2+R293*$R$2</f>
        <v>25.75</v>
      </c>
      <c r="T293" s="7">
        <f>S293*(1+$S$5)</f>
        <v>25.75</v>
      </c>
      <c r="U293" s="7">
        <f>(Q293*$Q$3+R293*$R$3)*(1+$S$5)</f>
        <v>28</v>
      </c>
      <c r="V293" s="4">
        <f>(Q293*$Q$4+R293*$R$4)*(1+$S$5)</f>
        <v>28</v>
      </c>
      <c r="W293" s="8">
        <f>(R293*$Q$5+S293*$R$5)*($S$5)+X293</f>
        <v>3</v>
      </c>
      <c r="X293" s="9">
        <v>3</v>
      </c>
    </row>
    <row r="294" spans="16:24">
      <c r="P294" s="5">
        <f t="shared" si="4"/>
        <v>28.7000000000001</v>
      </c>
      <c r="Q294" s="3">
        <v>9</v>
      </c>
      <c r="R294" s="3">
        <v>10</v>
      </c>
      <c r="S294" s="1">
        <f>Q294*$Q$2+R294*$R$2</f>
        <v>25.75</v>
      </c>
      <c r="T294" s="7">
        <f>S294*(1+$S$5)</f>
        <v>25.75</v>
      </c>
      <c r="U294" s="7">
        <f>(Q294*$Q$3+R294*$R$3)*(1+$S$5)</f>
        <v>28</v>
      </c>
      <c r="V294" s="4">
        <f>(Q294*$Q$4+R294*$R$4)*(1+$S$5)</f>
        <v>28</v>
      </c>
      <c r="W294" s="8">
        <f>(R294*$Q$5+S294*$R$5)*($S$5)+X294</f>
        <v>3</v>
      </c>
      <c r="X294" s="9">
        <v>3</v>
      </c>
    </row>
    <row r="295" spans="16:24">
      <c r="P295" s="5">
        <f t="shared" si="4"/>
        <v>28.8000000000001</v>
      </c>
      <c r="Q295" s="3">
        <v>9</v>
      </c>
      <c r="R295" s="3">
        <v>10</v>
      </c>
      <c r="S295" s="1">
        <f>Q295*$Q$2+R295*$R$2</f>
        <v>25.75</v>
      </c>
      <c r="T295" s="7">
        <f>S295*(1+$S$5)</f>
        <v>25.75</v>
      </c>
      <c r="U295" s="7">
        <f>(Q295*$Q$3+R295*$R$3)*(1+$S$5)</f>
        <v>28</v>
      </c>
      <c r="V295" s="4">
        <f>(Q295*$Q$4+R295*$R$4)*(1+$S$5)</f>
        <v>28</v>
      </c>
      <c r="W295" s="8">
        <f>(R295*$Q$5+S295*$R$5)*($S$5)+X295</f>
        <v>3</v>
      </c>
      <c r="X295" s="9">
        <v>3</v>
      </c>
    </row>
    <row r="296" spans="16:24">
      <c r="P296" s="5">
        <f t="shared" si="4"/>
        <v>28.9000000000001</v>
      </c>
      <c r="Q296" s="3">
        <v>9</v>
      </c>
      <c r="R296" s="3">
        <v>10</v>
      </c>
      <c r="S296" s="1">
        <f>Q296*$Q$2+R296*$R$2</f>
        <v>25.75</v>
      </c>
      <c r="T296" s="7">
        <f>S296*(1+$S$5)</f>
        <v>25.75</v>
      </c>
      <c r="U296" s="7">
        <f>(Q296*$Q$3+R296*$R$3)*(1+$S$5)</f>
        <v>28</v>
      </c>
      <c r="V296" s="4">
        <f>(Q296*$Q$4+R296*$R$4)*(1+$S$5)</f>
        <v>28</v>
      </c>
      <c r="W296" s="8">
        <f>(R296*$Q$5+S296*$R$5)*($S$5)+X296</f>
        <v>3</v>
      </c>
      <c r="X296" s="9">
        <v>3</v>
      </c>
    </row>
    <row r="297" spans="16:24">
      <c r="P297" s="5">
        <f t="shared" si="4"/>
        <v>29.0000000000001</v>
      </c>
      <c r="Q297" s="3">
        <v>9</v>
      </c>
      <c r="R297" s="3">
        <v>10</v>
      </c>
      <c r="S297" s="1">
        <f>Q297*$Q$2+R297*$R$2</f>
        <v>25.75</v>
      </c>
      <c r="T297" s="7">
        <f>S297*(1+$S$5)</f>
        <v>25.75</v>
      </c>
      <c r="U297" s="7">
        <f>(Q297*$Q$3+R297*$R$3)*(1+$S$5)</f>
        <v>28</v>
      </c>
      <c r="V297" s="4">
        <f>(Q297*$Q$4+R297*$R$4)*(1+$S$5)</f>
        <v>28</v>
      </c>
      <c r="W297" s="8">
        <f>(R297*$Q$5+S297*$R$5)*($S$5)+X297</f>
        <v>3</v>
      </c>
      <c r="X297" s="9">
        <v>3</v>
      </c>
    </row>
    <row r="298" spans="16:24">
      <c r="P298" s="5">
        <f t="shared" si="4"/>
        <v>29.1000000000001</v>
      </c>
      <c r="Q298" s="3">
        <v>9</v>
      </c>
      <c r="R298" s="3">
        <v>10</v>
      </c>
      <c r="S298" s="1">
        <f>Q298*$Q$2+R298*$R$2</f>
        <v>25.75</v>
      </c>
      <c r="T298" s="7">
        <f>S298*(1+$S$5)</f>
        <v>25.75</v>
      </c>
      <c r="U298" s="7">
        <f>(Q298*$Q$3+R298*$R$3)*(1+$S$5)</f>
        <v>28</v>
      </c>
      <c r="V298" s="4">
        <f>(Q298*$Q$4+R298*$R$4)*(1+$S$5)</f>
        <v>28</v>
      </c>
      <c r="W298" s="8">
        <f>(R298*$Q$5+S298*$R$5)*($S$5)+X298</f>
        <v>3</v>
      </c>
      <c r="X298" s="9">
        <v>3</v>
      </c>
    </row>
    <row r="299" spans="16:24">
      <c r="P299" s="5">
        <f t="shared" si="4"/>
        <v>29.2000000000001</v>
      </c>
      <c r="Q299" s="3">
        <v>9</v>
      </c>
      <c r="R299" s="3">
        <v>10</v>
      </c>
      <c r="S299" s="1">
        <f>Q299*$Q$2+R299*$R$2</f>
        <v>25.75</v>
      </c>
      <c r="T299" s="7">
        <f>S299*(1+$S$5)</f>
        <v>25.75</v>
      </c>
      <c r="U299" s="7">
        <f>(Q299*$Q$3+R299*$R$3)*(1+$S$5)</f>
        <v>28</v>
      </c>
      <c r="V299" s="4">
        <f>(Q299*$Q$4+R299*$R$4)*(1+$S$5)</f>
        <v>28</v>
      </c>
      <c r="W299" s="8">
        <f>(R299*$Q$5+S299*$R$5)*($S$5)+X299</f>
        <v>3</v>
      </c>
      <c r="X299" s="9">
        <v>3</v>
      </c>
    </row>
    <row r="300" spans="16:24">
      <c r="P300" s="5">
        <f t="shared" si="4"/>
        <v>29.3000000000001</v>
      </c>
      <c r="Q300" s="3">
        <v>9</v>
      </c>
      <c r="R300" s="3">
        <v>10</v>
      </c>
      <c r="S300" s="1">
        <f>Q300*$Q$2+R300*$R$2</f>
        <v>25.75</v>
      </c>
      <c r="T300" s="7">
        <f>S300*(1+$S$5)</f>
        <v>25.75</v>
      </c>
      <c r="U300" s="7">
        <f>(Q300*$Q$3+R300*$R$3)*(1+$S$5)</f>
        <v>28</v>
      </c>
      <c r="V300" s="4">
        <f>(Q300*$Q$4+R300*$R$4)*(1+$S$5)</f>
        <v>28</v>
      </c>
      <c r="W300" s="8">
        <f>(R300*$Q$5+S300*$R$5)*($S$5)+X300</f>
        <v>3</v>
      </c>
      <c r="X300" s="9">
        <v>3</v>
      </c>
    </row>
    <row r="301" spans="16:24">
      <c r="P301" s="5">
        <f t="shared" si="4"/>
        <v>29.4000000000001</v>
      </c>
      <c r="Q301" s="3">
        <v>9</v>
      </c>
      <c r="R301" s="3">
        <v>10</v>
      </c>
      <c r="S301" s="1">
        <f>Q301*$Q$2+R301*$R$2</f>
        <v>25.75</v>
      </c>
      <c r="T301" s="7">
        <f>S301*(1+$S$5)</f>
        <v>25.75</v>
      </c>
      <c r="U301" s="7">
        <f>(Q301*$Q$3+R301*$R$3)*(1+$S$5)</f>
        <v>28</v>
      </c>
      <c r="V301" s="4">
        <f>(Q301*$Q$4+R301*$R$4)*(1+$S$5)</f>
        <v>28</v>
      </c>
      <c r="W301" s="8">
        <f>(R301*$Q$5+S301*$R$5)*($S$5)+X301</f>
        <v>3</v>
      </c>
      <c r="X301" s="9">
        <v>3</v>
      </c>
    </row>
    <row r="302" spans="16:24">
      <c r="P302" s="5">
        <f t="shared" si="4"/>
        <v>29.5000000000001</v>
      </c>
      <c r="Q302" s="3">
        <v>9</v>
      </c>
      <c r="R302" s="3">
        <v>10</v>
      </c>
      <c r="S302" s="1">
        <f>Q302*$Q$2+R302*$R$2</f>
        <v>25.75</v>
      </c>
      <c r="T302" s="7">
        <f>S302*(1+$S$5)</f>
        <v>25.75</v>
      </c>
      <c r="U302" s="7">
        <f>(Q302*$Q$3+R302*$R$3)*(1+$S$5)</f>
        <v>28</v>
      </c>
      <c r="V302" s="4">
        <f>(Q302*$Q$4+R302*$R$4)*(1+$S$5)</f>
        <v>28</v>
      </c>
      <c r="W302" s="8">
        <f>(R302*$Q$5+S302*$R$5)*($S$5)+X302</f>
        <v>3</v>
      </c>
      <c r="X302" s="9">
        <v>3</v>
      </c>
    </row>
    <row r="303" spans="16:24">
      <c r="P303" s="5">
        <f t="shared" si="4"/>
        <v>29.6000000000002</v>
      </c>
      <c r="Q303" s="3">
        <v>9</v>
      </c>
      <c r="R303" s="3">
        <v>10</v>
      </c>
      <c r="S303" s="1">
        <f>Q303*$Q$2+R303*$R$2</f>
        <v>25.75</v>
      </c>
      <c r="T303" s="7">
        <f>S303*(1+$S$5)</f>
        <v>25.75</v>
      </c>
      <c r="U303" s="7">
        <f>(Q303*$Q$3+R303*$R$3)*(1+$S$5)</f>
        <v>28</v>
      </c>
      <c r="V303" s="4">
        <f>(Q303*$Q$4+R303*$R$4)*(1+$S$5)</f>
        <v>28</v>
      </c>
      <c r="W303" s="8">
        <f>(R303*$Q$5+S303*$R$5)*($S$5)+X303</f>
        <v>3</v>
      </c>
      <c r="X303" s="9">
        <v>3</v>
      </c>
    </row>
    <row r="304" spans="16:24">
      <c r="P304" s="5">
        <f t="shared" si="4"/>
        <v>29.7000000000002</v>
      </c>
      <c r="Q304" s="3">
        <v>9</v>
      </c>
      <c r="R304" s="3">
        <v>10</v>
      </c>
      <c r="S304" s="1">
        <f>Q304*$Q$2+R304*$R$2</f>
        <v>25.75</v>
      </c>
      <c r="T304" s="7">
        <f>S304*(1+$S$5)</f>
        <v>25.75</v>
      </c>
      <c r="U304" s="7">
        <f>(Q304*$Q$3+R304*$R$3)*(1+$S$5)</f>
        <v>28</v>
      </c>
      <c r="V304" s="4">
        <f>(Q304*$Q$4+R304*$R$4)*(1+$S$5)</f>
        <v>28</v>
      </c>
      <c r="W304" s="8">
        <f>(R304*$Q$5+S304*$R$5)*($S$5)+X304</f>
        <v>3</v>
      </c>
      <c r="X304" s="9">
        <v>3</v>
      </c>
    </row>
    <row r="305" spans="16:24">
      <c r="P305" s="5">
        <f t="shared" si="4"/>
        <v>29.8000000000002</v>
      </c>
      <c r="Q305" s="3">
        <v>9</v>
      </c>
      <c r="R305" s="3">
        <v>10</v>
      </c>
      <c r="S305" s="1">
        <f>Q305*$Q$2+R305*$R$2</f>
        <v>25.75</v>
      </c>
      <c r="T305" s="7">
        <f>S305*(1+$S$5)</f>
        <v>25.75</v>
      </c>
      <c r="U305" s="7">
        <f>(Q305*$Q$3+R305*$R$3)*(1+$S$5)</f>
        <v>28</v>
      </c>
      <c r="V305" s="4">
        <f>(Q305*$Q$4+R305*$R$4)*(1+$S$5)</f>
        <v>28</v>
      </c>
      <c r="W305" s="8">
        <f>(R305*$Q$5+S305*$R$5)*($S$5)+X305</f>
        <v>3</v>
      </c>
      <c r="X305" s="9">
        <v>3</v>
      </c>
    </row>
    <row r="306" spans="16:24">
      <c r="P306" s="5">
        <f t="shared" si="4"/>
        <v>29.9000000000002</v>
      </c>
      <c r="Q306" s="3">
        <v>9</v>
      </c>
      <c r="R306" s="3">
        <v>10</v>
      </c>
      <c r="S306" s="1">
        <f>Q306*$Q$2+R306*$R$2</f>
        <v>25.75</v>
      </c>
      <c r="T306" s="7">
        <f>S306*(1+$S$5)</f>
        <v>25.75</v>
      </c>
      <c r="U306" s="7">
        <f>(Q306*$Q$3+R306*$R$3)*(1+$S$5)</f>
        <v>28</v>
      </c>
      <c r="V306" s="4">
        <f>(Q306*$Q$4+R306*$R$4)*(1+$S$5)</f>
        <v>28</v>
      </c>
      <c r="W306" s="8">
        <f>(R306*$Q$5+S306*$R$5)*($S$5)+X306</f>
        <v>3</v>
      </c>
      <c r="X306" s="9">
        <v>3</v>
      </c>
    </row>
    <row r="307" spans="16:24">
      <c r="P307" s="5">
        <f t="shared" si="4"/>
        <v>30.0000000000002</v>
      </c>
      <c r="Q307" s="3">
        <v>9</v>
      </c>
      <c r="R307" s="3">
        <v>10</v>
      </c>
      <c r="S307" s="1">
        <f>Q307*$Q$2+R307*$R$2</f>
        <v>25.75</v>
      </c>
      <c r="T307" s="7">
        <f>S307*(1+$S$5)</f>
        <v>25.75</v>
      </c>
      <c r="U307" s="7">
        <f>(Q307*$Q$3+R307*$R$3)*(1+$S$5)</f>
        <v>28</v>
      </c>
      <c r="V307" s="4">
        <f>(Q307*$Q$4+R307*$R$4)*(1+$S$5)</f>
        <v>28</v>
      </c>
      <c r="W307" s="8">
        <f>(R307*$Q$5+S307*$R$5)*($S$5)+X307</f>
        <v>3</v>
      </c>
      <c r="X307" s="9">
        <v>3</v>
      </c>
    </row>
    <row r="308" spans="16:24">
      <c r="P308" s="5">
        <f t="shared" si="4"/>
        <v>30.1000000000002</v>
      </c>
      <c r="Q308" s="3">
        <v>9</v>
      </c>
      <c r="R308" s="3">
        <v>10</v>
      </c>
      <c r="S308" s="1">
        <f>Q308*$Q$2+R308*$R$2</f>
        <v>25.75</v>
      </c>
      <c r="T308" s="7">
        <f>S308*(1+$S$5)</f>
        <v>25.75</v>
      </c>
      <c r="U308" s="7">
        <f>(Q308*$Q$3+R308*$R$3)*(1+$S$5)</f>
        <v>28</v>
      </c>
      <c r="V308" s="4">
        <f>(Q308*$Q$4+R308*$R$4)*(1+$S$5)</f>
        <v>28</v>
      </c>
      <c r="W308" s="8">
        <f>(R308*$Q$5+S308*$R$5)*($S$5)+X308</f>
        <v>3</v>
      </c>
      <c r="X308" s="9">
        <v>3</v>
      </c>
    </row>
    <row r="309" spans="16:24">
      <c r="P309" s="5">
        <f t="shared" si="4"/>
        <v>30.2000000000002</v>
      </c>
      <c r="Q309" s="3">
        <v>9</v>
      </c>
      <c r="R309" s="3">
        <v>10</v>
      </c>
      <c r="S309" s="1">
        <f>Q309*$Q$2+R309*$R$2</f>
        <v>25.75</v>
      </c>
      <c r="T309" s="7">
        <f>S309*(1+$S$5)</f>
        <v>25.75</v>
      </c>
      <c r="U309" s="7">
        <f>(Q309*$Q$3+R309*$R$3)*(1+$S$5)</f>
        <v>28</v>
      </c>
      <c r="V309" s="4">
        <f>(Q309*$Q$4+R309*$R$4)*(1+$S$5)</f>
        <v>28</v>
      </c>
      <c r="W309" s="8">
        <f>(R309*$Q$5+S309*$R$5)*($S$5)+X309</f>
        <v>3</v>
      </c>
      <c r="X309" s="9">
        <v>3</v>
      </c>
    </row>
    <row r="310" spans="16:24">
      <c r="P310" s="5">
        <f t="shared" si="4"/>
        <v>30.3000000000002</v>
      </c>
      <c r="Q310" s="3">
        <v>9</v>
      </c>
      <c r="R310" s="3">
        <v>10</v>
      </c>
      <c r="S310" s="1">
        <f>Q310*$Q$2+R310*$R$2</f>
        <v>25.75</v>
      </c>
      <c r="T310" s="7">
        <f>S310*(1+$S$5)</f>
        <v>25.75</v>
      </c>
      <c r="U310" s="7">
        <f>(Q310*$Q$3+R310*$R$3)*(1+$S$5)</f>
        <v>28</v>
      </c>
      <c r="V310" s="4">
        <f>(Q310*$Q$4+R310*$R$4)*(1+$S$5)</f>
        <v>28</v>
      </c>
      <c r="W310" s="8">
        <f>(R310*$Q$5+S310*$R$5)*($S$5)+X310</f>
        <v>3</v>
      </c>
      <c r="X310" s="9">
        <v>3</v>
      </c>
    </row>
    <row r="311" spans="16:24">
      <c r="P311" s="5">
        <f t="shared" si="4"/>
        <v>30.4000000000002</v>
      </c>
      <c r="Q311" s="3">
        <v>9</v>
      </c>
      <c r="R311" s="3">
        <v>10</v>
      </c>
      <c r="S311" s="1">
        <f>Q311*$Q$2+R311*$R$2</f>
        <v>25.75</v>
      </c>
      <c r="T311" s="7">
        <f>S311*(1+$S$5)</f>
        <v>25.75</v>
      </c>
      <c r="U311" s="7">
        <f>(Q311*$Q$3+R311*$R$3)*(1+$S$5)</f>
        <v>28</v>
      </c>
      <c r="V311" s="4">
        <f>(Q311*$Q$4+R311*$R$4)*(1+$S$5)</f>
        <v>28</v>
      </c>
      <c r="W311" s="8">
        <f>(R311*$Q$5+S311*$R$5)*($S$5)+X311</f>
        <v>3</v>
      </c>
      <c r="X311" s="9">
        <v>3</v>
      </c>
    </row>
    <row r="312" spans="16:24">
      <c r="P312" s="5">
        <f t="shared" si="4"/>
        <v>30.5000000000002</v>
      </c>
      <c r="Q312" s="3">
        <v>9</v>
      </c>
      <c r="R312" s="3">
        <v>10</v>
      </c>
      <c r="S312" s="1">
        <f>Q312*$Q$2+R312*$R$2</f>
        <v>25.75</v>
      </c>
      <c r="T312" s="7">
        <f>S312*(1+$S$5)</f>
        <v>25.75</v>
      </c>
      <c r="U312" s="7">
        <f>(Q312*$Q$3+R312*$R$3)*(1+$S$5)</f>
        <v>28</v>
      </c>
      <c r="V312" s="4">
        <f>(Q312*$Q$4+R312*$R$4)*(1+$S$5)</f>
        <v>28</v>
      </c>
      <c r="W312" s="8">
        <f>(R312*$Q$5+S312*$R$5)*($S$5)+X312</f>
        <v>3</v>
      </c>
      <c r="X312" s="9">
        <v>3</v>
      </c>
    </row>
    <row r="313" spans="16:24">
      <c r="P313" s="5">
        <f t="shared" si="4"/>
        <v>30.6000000000002</v>
      </c>
      <c r="Q313" s="3">
        <v>9</v>
      </c>
      <c r="R313" s="3">
        <v>10</v>
      </c>
      <c r="S313" s="1">
        <f>Q313*$Q$2+R313*$R$2</f>
        <v>25.75</v>
      </c>
      <c r="T313" s="7">
        <f>S313*(1+$S$5)</f>
        <v>25.75</v>
      </c>
      <c r="U313" s="7">
        <f>(Q313*$Q$3+R313*$R$3)*(1+$S$5)</f>
        <v>28</v>
      </c>
      <c r="V313" s="4">
        <f>(Q313*$Q$4+R313*$R$4)*(1+$S$5)</f>
        <v>28</v>
      </c>
      <c r="W313" s="8">
        <f>(R313*$Q$5+S313*$R$5)*($S$5)+X313</f>
        <v>3</v>
      </c>
      <c r="X313" s="9">
        <v>3</v>
      </c>
    </row>
    <row r="314" spans="16:24">
      <c r="P314" s="5">
        <f t="shared" si="4"/>
        <v>30.7000000000002</v>
      </c>
      <c r="Q314" s="3">
        <v>9</v>
      </c>
      <c r="R314" s="3">
        <v>10</v>
      </c>
      <c r="S314" s="1">
        <f>Q314*$Q$2+R314*$R$2</f>
        <v>25.75</v>
      </c>
      <c r="T314" s="7">
        <f>S314*(1+$S$5)</f>
        <v>25.75</v>
      </c>
      <c r="U314" s="7">
        <f>(Q314*$Q$3+R314*$R$3)*(1+$S$5)</f>
        <v>28</v>
      </c>
      <c r="V314" s="4">
        <f>(Q314*$Q$4+R314*$R$4)*(1+$S$5)</f>
        <v>28</v>
      </c>
      <c r="W314" s="8">
        <f>(R314*$Q$5+S314*$R$5)*($S$5)+X314</f>
        <v>3</v>
      </c>
      <c r="X314" s="9">
        <v>3</v>
      </c>
    </row>
    <row r="315" spans="16:24">
      <c r="P315" s="5">
        <f t="shared" si="4"/>
        <v>30.8000000000002</v>
      </c>
      <c r="Q315" s="3">
        <v>9</v>
      </c>
      <c r="R315" s="3">
        <v>10</v>
      </c>
      <c r="S315" s="1">
        <f>Q315*$Q$2+R315*$R$2</f>
        <v>25.75</v>
      </c>
      <c r="T315" s="7">
        <f>S315*(1+$S$5)</f>
        <v>25.75</v>
      </c>
      <c r="U315" s="7">
        <f>(Q315*$Q$3+R315*$R$3)*(1+$S$5)</f>
        <v>28</v>
      </c>
      <c r="V315" s="4">
        <f>(Q315*$Q$4+R315*$R$4)*(1+$S$5)</f>
        <v>28</v>
      </c>
      <c r="W315" s="8">
        <f>(R315*$Q$5+S315*$R$5)*($S$5)+X315</f>
        <v>3</v>
      </c>
      <c r="X315" s="9">
        <v>3</v>
      </c>
    </row>
    <row r="316" spans="16:24">
      <c r="P316" s="5">
        <f t="shared" si="4"/>
        <v>30.9000000000002</v>
      </c>
      <c r="Q316" s="3">
        <v>9</v>
      </c>
      <c r="R316" s="3">
        <v>10</v>
      </c>
      <c r="S316" s="1">
        <f>Q316*$Q$2+R316*$R$2</f>
        <v>25.75</v>
      </c>
      <c r="T316" s="7">
        <f>S316*(1+$S$5)</f>
        <v>25.75</v>
      </c>
      <c r="U316" s="7">
        <f>(Q316*$Q$3+R316*$R$3)*(1+$S$5)</f>
        <v>28</v>
      </c>
      <c r="V316" s="4">
        <f>(Q316*$Q$4+R316*$R$4)*(1+$S$5)</f>
        <v>28</v>
      </c>
      <c r="W316" s="8">
        <f>(R316*$Q$5+S316*$R$5)*($S$5)+X316</f>
        <v>3</v>
      </c>
      <c r="X316" s="9">
        <v>3</v>
      </c>
    </row>
    <row r="317" spans="16:24">
      <c r="P317" s="5">
        <f t="shared" si="4"/>
        <v>31.0000000000002</v>
      </c>
      <c r="Q317" s="3">
        <v>9</v>
      </c>
      <c r="R317" s="3">
        <v>10</v>
      </c>
      <c r="S317" s="1">
        <f>Q317*$Q$2+R317*$R$2</f>
        <v>25.75</v>
      </c>
      <c r="T317" s="7">
        <f>S317*(1+$S$5)</f>
        <v>25.75</v>
      </c>
      <c r="U317" s="7">
        <f>(Q317*$Q$3+R317*$R$3)*(1+$S$5)</f>
        <v>28</v>
      </c>
      <c r="V317" s="4">
        <f>(Q317*$Q$4+R317*$R$4)*(1+$S$5)</f>
        <v>28</v>
      </c>
      <c r="W317" s="8">
        <f>(R317*$Q$5+S317*$R$5)*($S$5)+X317</f>
        <v>3</v>
      </c>
      <c r="X317" s="9">
        <v>3</v>
      </c>
    </row>
    <row r="318" spans="16:24">
      <c r="P318" s="5">
        <f t="shared" si="4"/>
        <v>31.1000000000002</v>
      </c>
      <c r="Q318" s="3">
        <v>9</v>
      </c>
      <c r="R318" s="3">
        <v>10</v>
      </c>
      <c r="S318" s="1">
        <f>Q318*$Q$2+R318*$R$2</f>
        <v>25.75</v>
      </c>
      <c r="T318" s="7">
        <f>S318*(1+$S$5)</f>
        <v>25.75</v>
      </c>
      <c r="U318" s="7">
        <f>(Q318*$Q$3+R318*$R$3)*(1+$S$5)</f>
        <v>28</v>
      </c>
      <c r="V318" s="4">
        <f>(Q318*$Q$4+R318*$R$4)*(1+$S$5)</f>
        <v>28</v>
      </c>
      <c r="W318" s="8">
        <f>(R318*$Q$5+S318*$R$5)*($S$5)+X318</f>
        <v>3</v>
      </c>
      <c r="X318" s="9">
        <v>3</v>
      </c>
    </row>
    <row r="319" spans="16:24">
      <c r="P319" s="5">
        <f t="shared" si="4"/>
        <v>31.2000000000002</v>
      </c>
      <c r="Q319" s="3">
        <v>9</v>
      </c>
      <c r="R319" s="3">
        <v>10</v>
      </c>
      <c r="S319" s="1">
        <f>Q319*$Q$2+R319*$R$2</f>
        <v>25.75</v>
      </c>
      <c r="T319" s="7">
        <f>S319*(1+$S$5)</f>
        <v>25.75</v>
      </c>
      <c r="U319" s="7">
        <f>(Q319*$Q$3+R319*$R$3)*(1+$S$5)</f>
        <v>28</v>
      </c>
      <c r="V319" s="4">
        <f>(Q319*$Q$4+R319*$R$4)*(1+$S$5)</f>
        <v>28</v>
      </c>
      <c r="W319" s="8">
        <f>(R319*$Q$5+S319*$R$5)*($S$5)+X319</f>
        <v>3</v>
      </c>
      <c r="X319" s="9">
        <v>3</v>
      </c>
    </row>
    <row r="320" spans="16:24">
      <c r="P320" s="5">
        <f t="shared" si="4"/>
        <v>31.3000000000002</v>
      </c>
      <c r="Q320" s="3">
        <v>9</v>
      </c>
      <c r="R320" s="3">
        <v>10</v>
      </c>
      <c r="S320" s="1">
        <f>Q320*$Q$2+R320*$R$2</f>
        <v>25.75</v>
      </c>
      <c r="T320" s="7">
        <f>S320*(1+$S$5)</f>
        <v>25.75</v>
      </c>
      <c r="U320" s="7">
        <f>(Q320*$Q$3+R320*$R$3)*(1+$S$5)</f>
        <v>28</v>
      </c>
      <c r="V320" s="4">
        <f>(Q320*$Q$4+R320*$R$4)*(1+$S$5)</f>
        <v>28</v>
      </c>
      <c r="W320" s="8">
        <f>(R320*$Q$5+S320*$R$5)*($S$5)+X320</f>
        <v>3</v>
      </c>
      <c r="X320" s="9">
        <v>3</v>
      </c>
    </row>
    <row r="321" spans="16:24">
      <c r="P321" s="5">
        <f t="shared" si="4"/>
        <v>31.4000000000002</v>
      </c>
      <c r="Q321" s="3">
        <v>9</v>
      </c>
      <c r="R321" s="3">
        <v>10</v>
      </c>
      <c r="S321" s="1">
        <f>Q321*$Q$2+R321*$R$2</f>
        <v>25.75</v>
      </c>
      <c r="T321" s="7">
        <f>S321*(1+$S$5)</f>
        <v>25.75</v>
      </c>
      <c r="U321" s="7">
        <f>(Q321*$Q$3+R321*$R$3)*(1+$S$5)</f>
        <v>28</v>
      </c>
      <c r="V321" s="4">
        <f>(Q321*$Q$4+R321*$R$4)*(1+$S$5)</f>
        <v>28</v>
      </c>
      <c r="W321" s="8">
        <f>(R321*$Q$5+S321*$R$5)*($S$5)+X321</f>
        <v>3</v>
      </c>
      <c r="X321" s="9">
        <v>3</v>
      </c>
    </row>
    <row r="322" spans="16:24">
      <c r="P322" s="5">
        <f t="shared" si="4"/>
        <v>31.5000000000002</v>
      </c>
      <c r="Q322" s="3">
        <v>9</v>
      </c>
      <c r="R322" s="3">
        <v>10</v>
      </c>
      <c r="S322" s="1">
        <f>Q322*$Q$2+R322*$R$2</f>
        <v>25.75</v>
      </c>
      <c r="T322" s="7">
        <f>S322*(1+$S$5)</f>
        <v>25.75</v>
      </c>
      <c r="U322" s="7">
        <f>(Q322*$Q$3+R322*$R$3)*(1+$S$5)</f>
        <v>28</v>
      </c>
      <c r="V322" s="4">
        <f>(Q322*$Q$4+R322*$R$4)*(1+$S$5)</f>
        <v>28</v>
      </c>
      <c r="W322" s="8">
        <f>(R322*$Q$5+S322*$R$5)*($S$5)+X322</f>
        <v>3</v>
      </c>
      <c r="X322" s="9">
        <v>3</v>
      </c>
    </row>
    <row r="323" spans="16:24">
      <c r="P323" s="5">
        <f t="shared" si="4"/>
        <v>31.6000000000002</v>
      </c>
      <c r="Q323" s="3">
        <v>9</v>
      </c>
      <c r="R323" s="3">
        <v>10</v>
      </c>
      <c r="S323" s="1">
        <f>Q323*$Q$2+R323*$R$2</f>
        <v>25.75</v>
      </c>
      <c r="T323" s="7">
        <f>S323*(1+$S$5)</f>
        <v>25.75</v>
      </c>
      <c r="U323" s="7">
        <f>(Q323*$Q$3+R323*$R$3)*(1+$S$5)</f>
        <v>28</v>
      </c>
      <c r="V323" s="4">
        <f>(Q323*$Q$4+R323*$R$4)*(1+$S$5)</f>
        <v>28</v>
      </c>
      <c r="W323" s="8">
        <f>(R323*$Q$5+S323*$R$5)*($S$5)+X323</f>
        <v>3</v>
      </c>
      <c r="X323" s="9">
        <v>3</v>
      </c>
    </row>
    <row r="324" spans="16:24">
      <c r="P324" s="5">
        <f t="shared" si="4"/>
        <v>31.7000000000002</v>
      </c>
      <c r="Q324" s="3">
        <v>9</v>
      </c>
      <c r="R324" s="3">
        <v>10</v>
      </c>
      <c r="S324" s="1">
        <f>Q324*$Q$2+R324*$R$2</f>
        <v>25.75</v>
      </c>
      <c r="T324" s="7">
        <f>S324*(1+$S$5)</f>
        <v>25.75</v>
      </c>
      <c r="U324" s="7">
        <f>(Q324*$Q$3+R324*$R$3)*(1+$S$5)</f>
        <v>28</v>
      </c>
      <c r="V324" s="4">
        <f>(Q324*$Q$4+R324*$R$4)*(1+$S$5)</f>
        <v>28</v>
      </c>
      <c r="W324" s="8">
        <f>(R324*$Q$5+S324*$R$5)*($S$5)+X324</f>
        <v>3</v>
      </c>
      <c r="X324" s="9">
        <v>3</v>
      </c>
    </row>
    <row r="325" spans="16:24">
      <c r="P325" s="5">
        <f t="shared" si="4"/>
        <v>31.8000000000002</v>
      </c>
      <c r="Q325" s="3">
        <v>9</v>
      </c>
      <c r="R325" s="3">
        <v>10</v>
      </c>
      <c r="S325" s="1">
        <f>Q325*$Q$2+R325*$R$2</f>
        <v>25.75</v>
      </c>
      <c r="T325" s="7">
        <f>S325*(1+$S$5)</f>
        <v>25.75</v>
      </c>
      <c r="U325" s="7">
        <f>(Q325*$Q$3+R325*$R$3)*(1+$S$5)</f>
        <v>28</v>
      </c>
      <c r="V325" s="4">
        <f>(Q325*$Q$4+R325*$R$4)*(1+$S$5)</f>
        <v>28</v>
      </c>
      <c r="W325" s="8">
        <f>(R325*$Q$5+S325*$R$5)*($S$5)+X325</f>
        <v>3</v>
      </c>
      <c r="X325" s="9">
        <v>3</v>
      </c>
    </row>
    <row r="326" spans="16:24">
      <c r="P326" s="5">
        <f t="shared" si="4"/>
        <v>31.9000000000002</v>
      </c>
      <c r="Q326" s="3">
        <v>9</v>
      </c>
      <c r="R326" s="3">
        <v>10</v>
      </c>
      <c r="S326" s="1">
        <f>Q326*$Q$2+R326*$R$2</f>
        <v>25.75</v>
      </c>
      <c r="T326" s="7">
        <f>S326*(1+$S$5)</f>
        <v>25.75</v>
      </c>
      <c r="U326" s="7">
        <f>(Q326*$Q$3+R326*$R$3)*(1+$S$5)</f>
        <v>28</v>
      </c>
      <c r="V326" s="4">
        <f>(Q326*$Q$4+R326*$R$4)*(1+$S$5)</f>
        <v>28</v>
      </c>
      <c r="W326" s="8">
        <f>(R326*$Q$5+S326*$R$5)*($S$5)+X326</f>
        <v>3</v>
      </c>
      <c r="X326" s="9">
        <v>3</v>
      </c>
    </row>
    <row r="327" spans="16:24">
      <c r="P327" s="5">
        <f t="shared" si="4"/>
        <v>32.0000000000002</v>
      </c>
      <c r="Q327" s="3">
        <v>9</v>
      </c>
      <c r="R327" s="3">
        <v>10</v>
      </c>
      <c r="S327" s="1">
        <f>Q327*$Q$2+R327*$R$2</f>
        <v>25.75</v>
      </c>
      <c r="T327" s="7">
        <f>S327*(1+$S$5)</f>
        <v>25.75</v>
      </c>
      <c r="U327" s="7">
        <f>(Q327*$Q$3+R327*$R$3)*(1+$S$5)</f>
        <v>28</v>
      </c>
      <c r="V327" s="4">
        <f>(Q327*$Q$4+R327*$R$4)*(1+$S$5)</f>
        <v>28</v>
      </c>
      <c r="W327" s="8">
        <f>(R327*$Q$5+S327*$R$5)*($S$5)+X327</f>
        <v>3</v>
      </c>
      <c r="X327" s="9">
        <v>3</v>
      </c>
    </row>
    <row r="328" spans="16:24">
      <c r="P328" s="5">
        <f t="shared" ref="P328:P391" si="5">0.1+P327</f>
        <v>32.1000000000002</v>
      </c>
      <c r="Q328" s="3">
        <v>9</v>
      </c>
      <c r="R328" s="3">
        <v>10</v>
      </c>
      <c r="S328" s="1">
        <f>Q328*$Q$2+R328*$R$2</f>
        <v>25.75</v>
      </c>
      <c r="T328" s="7">
        <f>S328*(1+$S$5)</f>
        <v>25.75</v>
      </c>
      <c r="U328" s="7">
        <f>(Q328*$Q$3+R328*$R$3)*(1+$S$5)</f>
        <v>28</v>
      </c>
      <c r="V328" s="4">
        <f>(Q328*$Q$4+R328*$R$4)*(1+$S$5)</f>
        <v>28</v>
      </c>
      <c r="W328" s="8">
        <f>(R328*$Q$5+S328*$R$5)*($S$5)+X328</f>
        <v>3</v>
      </c>
      <c r="X328" s="9">
        <v>3</v>
      </c>
    </row>
    <row r="329" spans="16:24">
      <c r="P329" s="5">
        <f t="shared" si="5"/>
        <v>32.2000000000002</v>
      </c>
      <c r="Q329" s="3">
        <v>9</v>
      </c>
      <c r="R329" s="3">
        <v>10</v>
      </c>
      <c r="S329" s="1">
        <f>Q329*$Q$2+R329*$R$2</f>
        <v>25.75</v>
      </c>
      <c r="T329" s="7">
        <f>S329*(1+$S$5)</f>
        <v>25.75</v>
      </c>
      <c r="U329" s="7">
        <f>(Q329*$Q$3+R329*$R$3)*(1+$S$5)</f>
        <v>28</v>
      </c>
      <c r="V329" s="4">
        <f>(Q329*$Q$4+R329*$R$4)*(1+$S$5)</f>
        <v>28</v>
      </c>
      <c r="W329" s="8">
        <f>(R329*$Q$5+S329*$R$5)*($S$5)+X329</f>
        <v>3</v>
      </c>
      <c r="X329" s="9">
        <v>3</v>
      </c>
    </row>
    <row r="330" spans="16:24">
      <c r="P330" s="5">
        <f t="shared" si="5"/>
        <v>32.3000000000002</v>
      </c>
      <c r="Q330" s="3">
        <v>9</v>
      </c>
      <c r="R330" s="3">
        <v>10</v>
      </c>
      <c r="S330" s="1">
        <f>Q330*$Q$2+R330*$R$2</f>
        <v>25.75</v>
      </c>
      <c r="T330" s="7">
        <f>S330*(1+$S$5)</f>
        <v>25.75</v>
      </c>
      <c r="U330" s="7">
        <f>(Q330*$Q$3+R330*$R$3)*(1+$S$5)</f>
        <v>28</v>
      </c>
      <c r="V330" s="4">
        <f>(Q330*$Q$4+R330*$R$4)*(1+$S$5)</f>
        <v>28</v>
      </c>
      <c r="W330" s="8">
        <f>(R330*$Q$5+S330*$R$5)*($S$5)+X330</f>
        <v>3</v>
      </c>
      <c r="X330" s="9">
        <v>3</v>
      </c>
    </row>
    <row r="331" spans="16:24">
      <c r="P331" s="5">
        <f t="shared" si="5"/>
        <v>32.4000000000002</v>
      </c>
      <c r="Q331" s="3">
        <v>9</v>
      </c>
      <c r="R331" s="3">
        <v>10</v>
      </c>
      <c r="S331" s="1">
        <f>Q331*$Q$2+R331*$R$2</f>
        <v>25.75</v>
      </c>
      <c r="T331" s="7">
        <f>S331*(1+$S$5)</f>
        <v>25.75</v>
      </c>
      <c r="U331" s="7">
        <f>(Q331*$Q$3+R331*$R$3)*(1+$S$5)</f>
        <v>28</v>
      </c>
      <c r="V331" s="4">
        <f>(Q331*$Q$4+R331*$R$4)*(1+$S$5)</f>
        <v>28</v>
      </c>
      <c r="W331" s="8">
        <f>(R331*$Q$5+S331*$R$5)*($S$5)+X331</f>
        <v>3</v>
      </c>
      <c r="X331" s="9">
        <v>3</v>
      </c>
    </row>
    <row r="332" spans="16:24">
      <c r="P332" s="5">
        <f t="shared" si="5"/>
        <v>32.5000000000002</v>
      </c>
      <c r="Q332" s="3">
        <v>9</v>
      </c>
      <c r="R332" s="3">
        <v>10</v>
      </c>
      <c r="S332" s="1">
        <f>Q332*$Q$2+R332*$R$2</f>
        <v>25.75</v>
      </c>
      <c r="T332" s="7">
        <f>S332*(1+$S$5)</f>
        <v>25.75</v>
      </c>
      <c r="U332" s="7">
        <f>(Q332*$Q$3+R332*$R$3)*(1+$S$5)</f>
        <v>28</v>
      </c>
      <c r="V332" s="4">
        <f>(Q332*$Q$4+R332*$R$4)*(1+$S$5)</f>
        <v>28</v>
      </c>
      <c r="W332" s="8">
        <f>(R332*$Q$5+S332*$R$5)*($S$5)+X332</f>
        <v>3</v>
      </c>
      <c r="X332" s="9">
        <v>3</v>
      </c>
    </row>
    <row r="333" spans="16:24">
      <c r="P333" s="5">
        <f t="shared" si="5"/>
        <v>32.6000000000002</v>
      </c>
      <c r="Q333" s="3">
        <v>9</v>
      </c>
      <c r="R333" s="3">
        <v>10</v>
      </c>
      <c r="S333" s="1">
        <f>Q333*$Q$2+R333*$R$2</f>
        <v>25.75</v>
      </c>
      <c r="T333" s="7">
        <f>S333*(1+$S$5)</f>
        <v>25.75</v>
      </c>
      <c r="U333" s="7">
        <f>(Q333*$Q$3+R333*$R$3)*(1+$S$5)</f>
        <v>28</v>
      </c>
      <c r="V333" s="4">
        <f>(Q333*$Q$4+R333*$R$4)*(1+$S$5)</f>
        <v>28</v>
      </c>
      <c r="W333" s="8">
        <f>(R333*$Q$5+S333*$R$5)*($S$5)+X333</f>
        <v>3</v>
      </c>
      <c r="X333" s="9">
        <v>3</v>
      </c>
    </row>
    <row r="334" spans="16:24">
      <c r="P334" s="5">
        <f t="shared" si="5"/>
        <v>32.7000000000002</v>
      </c>
      <c r="Q334" s="3">
        <v>9</v>
      </c>
      <c r="R334" s="3">
        <v>10</v>
      </c>
      <c r="S334" s="1">
        <f>Q334*$Q$2+R334*$R$2</f>
        <v>25.75</v>
      </c>
      <c r="T334" s="7">
        <f>S334*(1+$S$5)</f>
        <v>25.75</v>
      </c>
      <c r="U334" s="7">
        <f>(Q334*$Q$3+R334*$R$3)*(1+$S$5)</f>
        <v>28</v>
      </c>
      <c r="V334" s="4">
        <f>(Q334*$Q$4+R334*$R$4)*(1+$S$5)</f>
        <v>28</v>
      </c>
      <c r="W334" s="8">
        <f>(R334*$Q$5+S334*$R$5)*($S$5)+X334</f>
        <v>3</v>
      </c>
      <c r="X334" s="9">
        <v>3</v>
      </c>
    </row>
    <row r="335" spans="16:24">
      <c r="P335" s="5">
        <f t="shared" si="5"/>
        <v>32.8000000000002</v>
      </c>
      <c r="Q335" s="3">
        <v>9</v>
      </c>
      <c r="R335" s="3">
        <v>10</v>
      </c>
      <c r="S335" s="1">
        <f>Q335*$Q$2+R335*$R$2</f>
        <v>25.75</v>
      </c>
      <c r="T335" s="7">
        <f>S335*(1+$S$5)</f>
        <v>25.75</v>
      </c>
      <c r="U335" s="7">
        <f>(Q335*$Q$3+R335*$R$3)*(1+$S$5)</f>
        <v>28</v>
      </c>
      <c r="V335" s="4">
        <f>(Q335*$Q$4+R335*$R$4)*(1+$S$5)</f>
        <v>28</v>
      </c>
      <c r="W335" s="8">
        <f>(R335*$Q$5+S335*$R$5)*($S$5)+X335</f>
        <v>3</v>
      </c>
      <c r="X335" s="9">
        <v>3</v>
      </c>
    </row>
    <row r="336" spans="16:24">
      <c r="P336" s="5">
        <f t="shared" si="5"/>
        <v>32.9000000000002</v>
      </c>
      <c r="Q336" s="3">
        <v>9</v>
      </c>
      <c r="R336" s="3">
        <v>10</v>
      </c>
      <c r="S336" s="1">
        <f>Q336*$Q$2+R336*$R$2</f>
        <v>25.75</v>
      </c>
      <c r="T336" s="7">
        <f>S336*(1+$S$5)</f>
        <v>25.75</v>
      </c>
      <c r="U336" s="7">
        <f>(Q336*$Q$3+R336*$R$3)*(1+$S$5)</f>
        <v>28</v>
      </c>
      <c r="V336" s="4">
        <f>(Q336*$Q$4+R336*$R$4)*(1+$S$5)</f>
        <v>28</v>
      </c>
      <c r="W336" s="8">
        <f>(R336*$Q$5+S336*$R$5)*($S$5)+X336</f>
        <v>3</v>
      </c>
      <c r="X336" s="9">
        <v>3</v>
      </c>
    </row>
    <row r="337" spans="16:24">
      <c r="P337" s="5">
        <f t="shared" si="5"/>
        <v>33.0000000000002</v>
      </c>
      <c r="Q337" s="3">
        <v>9</v>
      </c>
      <c r="R337" s="3">
        <v>10</v>
      </c>
      <c r="S337" s="1">
        <f>Q337*$Q$2+R337*$R$2</f>
        <v>25.75</v>
      </c>
      <c r="T337" s="7">
        <f>S337*(1+$S$5)</f>
        <v>25.75</v>
      </c>
      <c r="U337" s="7">
        <f>(Q337*$Q$3+R337*$R$3)*(1+$S$5)</f>
        <v>28</v>
      </c>
      <c r="V337" s="4">
        <f>(Q337*$Q$4+R337*$R$4)*(1+$S$5)</f>
        <v>28</v>
      </c>
      <c r="W337" s="8">
        <f>(R337*$Q$5+S337*$R$5)*($S$5)+X337</f>
        <v>3</v>
      </c>
      <c r="X337" s="9">
        <v>3</v>
      </c>
    </row>
    <row r="338" spans="16:24">
      <c r="P338" s="5">
        <f t="shared" si="5"/>
        <v>33.1000000000002</v>
      </c>
      <c r="Q338" s="3">
        <v>9</v>
      </c>
      <c r="R338" s="3">
        <v>10</v>
      </c>
      <c r="S338" s="1">
        <f>Q338*$Q$2+R338*$R$2</f>
        <v>25.75</v>
      </c>
      <c r="T338" s="7">
        <f>S338*(1+$S$5)</f>
        <v>25.75</v>
      </c>
      <c r="U338" s="7">
        <f>(Q338*$Q$3+R338*$R$3)*(1+$S$5)</f>
        <v>28</v>
      </c>
      <c r="V338" s="4">
        <f>(Q338*$Q$4+R338*$R$4)*(1+$S$5)</f>
        <v>28</v>
      </c>
      <c r="W338" s="8">
        <f>(R338*$Q$5+S338*$R$5)*($S$5)+X338</f>
        <v>3</v>
      </c>
      <c r="X338" s="9">
        <v>3</v>
      </c>
    </row>
    <row r="339" spans="16:24">
      <c r="P339" s="5">
        <f t="shared" si="5"/>
        <v>33.2000000000002</v>
      </c>
      <c r="Q339" s="3">
        <v>9</v>
      </c>
      <c r="R339" s="3">
        <v>10</v>
      </c>
      <c r="S339" s="1">
        <f>Q339*$Q$2+R339*$R$2</f>
        <v>25.75</v>
      </c>
      <c r="T339" s="7">
        <f>S339*(1+$S$5)</f>
        <v>25.75</v>
      </c>
      <c r="U339" s="7">
        <f>(Q339*$Q$3+R339*$R$3)*(1+$S$5)</f>
        <v>28</v>
      </c>
      <c r="V339" s="4">
        <f>(Q339*$Q$4+R339*$R$4)*(1+$S$5)</f>
        <v>28</v>
      </c>
      <c r="W339" s="8">
        <f>(R339*$Q$5+S339*$R$5)*($S$5)+X339</f>
        <v>3</v>
      </c>
      <c r="X339" s="9">
        <v>3</v>
      </c>
    </row>
    <row r="340" spans="16:24">
      <c r="P340" s="5">
        <f t="shared" si="5"/>
        <v>33.3000000000002</v>
      </c>
      <c r="Q340" s="3">
        <v>9</v>
      </c>
      <c r="R340" s="3">
        <v>10</v>
      </c>
      <c r="S340" s="1">
        <f>Q340*$Q$2+R340*$R$2</f>
        <v>25.75</v>
      </c>
      <c r="T340" s="7">
        <f>S340*(1+$S$5)</f>
        <v>25.75</v>
      </c>
      <c r="U340" s="7">
        <f>(Q340*$Q$3+R340*$R$3)*(1+$S$5)</f>
        <v>28</v>
      </c>
      <c r="V340" s="4">
        <f>(Q340*$Q$4+R340*$R$4)*(1+$S$5)</f>
        <v>28</v>
      </c>
      <c r="W340" s="8">
        <f>(R340*$Q$5+S340*$R$5)*($S$5)+X340</f>
        <v>3</v>
      </c>
      <c r="X340" s="9">
        <v>3</v>
      </c>
    </row>
    <row r="341" spans="16:24">
      <c r="P341" s="5">
        <f t="shared" si="5"/>
        <v>33.4000000000002</v>
      </c>
      <c r="Q341" s="3">
        <v>9</v>
      </c>
      <c r="R341" s="3">
        <v>10</v>
      </c>
      <c r="S341" s="1">
        <f>Q341*$Q$2+R341*$R$2</f>
        <v>25.75</v>
      </c>
      <c r="T341" s="7">
        <f>S341*(1+$S$5)</f>
        <v>25.75</v>
      </c>
      <c r="U341" s="7">
        <f>(Q341*$Q$3+R341*$R$3)*(1+$S$5)</f>
        <v>28</v>
      </c>
      <c r="V341" s="4">
        <f>(Q341*$Q$4+R341*$R$4)*(1+$S$5)</f>
        <v>28</v>
      </c>
      <c r="W341" s="8">
        <f>(R341*$Q$5+S341*$R$5)*($S$5)+X341</f>
        <v>3</v>
      </c>
      <c r="X341" s="9">
        <v>3</v>
      </c>
    </row>
    <row r="342" spans="16:24">
      <c r="P342" s="5">
        <f t="shared" si="5"/>
        <v>33.5000000000002</v>
      </c>
      <c r="Q342" s="3">
        <v>9</v>
      </c>
      <c r="R342" s="3">
        <v>10</v>
      </c>
      <c r="S342" s="1">
        <f>Q342*$Q$2+R342*$R$2</f>
        <v>25.75</v>
      </c>
      <c r="T342" s="7">
        <f>S342*(1+$S$5)</f>
        <v>25.75</v>
      </c>
      <c r="U342" s="7">
        <f>(Q342*$Q$3+R342*$R$3)*(1+$S$5)</f>
        <v>28</v>
      </c>
      <c r="V342" s="4">
        <f>(Q342*$Q$4+R342*$R$4)*(1+$S$5)</f>
        <v>28</v>
      </c>
      <c r="W342" s="8">
        <f>(R342*$Q$5+S342*$R$5)*($S$5)+X342</f>
        <v>3</v>
      </c>
      <c r="X342" s="9">
        <v>3</v>
      </c>
    </row>
    <row r="343" spans="16:24">
      <c r="P343" s="5">
        <f t="shared" si="5"/>
        <v>33.6000000000002</v>
      </c>
      <c r="Q343" s="3">
        <v>9</v>
      </c>
      <c r="R343" s="3">
        <v>10</v>
      </c>
      <c r="S343" s="1">
        <f>Q343*$Q$2+R343*$R$2</f>
        <v>25.75</v>
      </c>
      <c r="T343" s="7">
        <f>S343*(1+$S$5)</f>
        <v>25.75</v>
      </c>
      <c r="U343" s="7">
        <f>(Q343*$Q$3+R343*$R$3)*(1+$S$5)</f>
        <v>28</v>
      </c>
      <c r="V343" s="4">
        <f>(Q343*$Q$4+R343*$R$4)*(1+$S$5)</f>
        <v>28</v>
      </c>
      <c r="W343" s="8">
        <f>(R343*$Q$5+S343*$R$5)*($S$5)+X343</f>
        <v>3</v>
      </c>
      <c r="X343" s="9">
        <v>3</v>
      </c>
    </row>
    <row r="344" spans="16:24">
      <c r="P344" s="5">
        <f t="shared" si="5"/>
        <v>33.7000000000002</v>
      </c>
      <c r="Q344" s="3">
        <v>9</v>
      </c>
      <c r="R344" s="3">
        <v>10</v>
      </c>
      <c r="S344" s="1">
        <f>Q344*$Q$2+R344*$R$2</f>
        <v>25.75</v>
      </c>
      <c r="T344" s="7">
        <f>S344*(1+$S$5)</f>
        <v>25.75</v>
      </c>
      <c r="U344" s="7">
        <f>(Q344*$Q$3+R344*$R$3)*(1+$S$5)</f>
        <v>28</v>
      </c>
      <c r="V344" s="4">
        <f>(Q344*$Q$4+R344*$R$4)*(1+$S$5)</f>
        <v>28</v>
      </c>
      <c r="W344" s="8">
        <f>(R344*$Q$5+S344*$R$5)*($S$5)+X344</f>
        <v>3</v>
      </c>
      <c r="X344" s="9">
        <v>3</v>
      </c>
    </row>
    <row r="345" spans="16:24">
      <c r="P345" s="5">
        <f t="shared" si="5"/>
        <v>33.8000000000002</v>
      </c>
      <c r="Q345" s="3">
        <v>9</v>
      </c>
      <c r="R345" s="3">
        <v>10</v>
      </c>
      <c r="S345" s="1">
        <f>Q345*$Q$2+R345*$R$2</f>
        <v>25.75</v>
      </c>
      <c r="T345" s="7">
        <f>S345*(1+$S$5)</f>
        <v>25.75</v>
      </c>
      <c r="U345" s="7">
        <f>(Q345*$Q$3+R345*$R$3)*(1+$S$5)</f>
        <v>28</v>
      </c>
      <c r="V345" s="4">
        <f>(Q345*$Q$4+R345*$R$4)*(1+$S$5)</f>
        <v>28</v>
      </c>
      <c r="W345" s="8">
        <f>(R345*$Q$5+S345*$R$5)*($S$5)+X345</f>
        <v>3</v>
      </c>
      <c r="X345" s="9">
        <v>3</v>
      </c>
    </row>
    <row r="346" spans="16:24">
      <c r="P346" s="5">
        <f t="shared" si="5"/>
        <v>33.9000000000002</v>
      </c>
      <c r="Q346" s="3">
        <v>9</v>
      </c>
      <c r="R346" s="3">
        <v>10</v>
      </c>
      <c r="S346" s="1">
        <f>Q346*$Q$2+R346*$R$2</f>
        <v>25.75</v>
      </c>
      <c r="T346" s="7">
        <f>S346*(1+$S$5)</f>
        <v>25.75</v>
      </c>
      <c r="U346" s="7">
        <f>(Q346*$Q$3+R346*$R$3)*(1+$S$5)</f>
        <v>28</v>
      </c>
      <c r="V346" s="4">
        <f>(Q346*$Q$4+R346*$R$4)*(1+$S$5)</f>
        <v>28</v>
      </c>
      <c r="W346" s="8">
        <f>(R346*$Q$5+S346*$R$5)*($S$5)+X346</f>
        <v>3</v>
      </c>
      <c r="X346" s="9">
        <v>3</v>
      </c>
    </row>
    <row r="347" spans="16:24">
      <c r="P347" s="5">
        <f t="shared" si="5"/>
        <v>34.0000000000002</v>
      </c>
      <c r="Q347" s="3">
        <v>9</v>
      </c>
      <c r="R347" s="3">
        <v>10</v>
      </c>
      <c r="S347" s="1">
        <f>Q347*$Q$2+R347*$R$2</f>
        <v>25.75</v>
      </c>
      <c r="T347" s="7">
        <f>S347*(1+$S$5)</f>
        <v>25.75</v>
      </c>
      <c r="U347" s="7">
        <f>(Q347*$Q$3+R347*$R$3)*(1+$S$5)</f>
        <v>28</v>
      </c>
      <c r="V347" s="4">
        <f>(Q347*$Q$4+R347*$R$4)*(1+$S$5)</f>
        <v>28</v>
      </c>
      <c r="W347" s="8">
        <f>(R347*$Q$5+S347*$R$5)*($S$5)+X347</f>
        <v>3</v>
      </c>
      <c r="X347" s="9">
        <v>3</v>
      </c>
    </row>
    <row r="348" spans="16:24">
      <c r="P348" s="5">
        <f t="shared" si="5"/>
        <v>34.1000000000002</v>
      </c>
      <c r="Q348" s="3">
        <v>9</v>
      </c>
      <c r="R348" s="3">
        <v>10</v>
      </c>
      <c r="S348" s="1">
        <f>Q348*$Q$2+R348*$R$2</f>
        <v>25.75</v>
      </c>
      <c r="T348" s="7">
        <f>S348*(1+$S$5)</f>
        <v>25.75</v>
      </c>
      <c r="U348" s="7">
        <f>(Q348*$Q$3+R348*$R$3)*(1+$S$5)</f>
        <v>28</v>
      </c>
      <c r="V348" s="4">
        <f>(Q348*$Q$4+R348*$R$4)*(1+$S$5)</f>
        <v>28</v>
      </c>
      <c r="W348" s="8">
        <f>(R348*$Q$5+S348*$R$5)*($S$5)+X348</f>
        <v>3</v>
      </c>
      <c r="X348" s="9">
        <v>3</v>
      </c>
    </row>
    <row r="349" spans="16:24">
      <c r="P349" s="5">
        <f t="shared" si="5"/>
        <v>34.2000000000002</v>
      </c>
      <c r="Q349" s="3">
        <v>9</v>
      </c>
      <c r="R349" s="3">
        <v>10</v>
      </c>
      <c r="S349" s="1">
        <f>Q349*$Q$2+R349*$R$2</f>
        <v>25.75</v>
      </c>
      <c r="T349" s="7">
        <f>S349*(1+$S$5)</f>
        <v>25.75</v>
      </c>
      <c r="U349" s="7">
        <f>(Q349*$Q$3+R349*$R$3)*(1+$S$5)</f>
        <v>28</v>
      </c>
      <c r="V349" s="4">
        <f>(Q349*$Q$4+R349*$R$4)*(1+$S$5)</f>
        <v>28</v>
      </c>
      <c r="W349" s="8">
        <f>(R349*$Q$5+S349*$R$5)*($S$5)+X349</f>
        <v>3</v>
      </c>
      <c r="X349" s="9">
        <v>3</v>
      </c>
    </row>
    <row r="350" spans="16:24">
      <c r="P350" s="5">
        <f t="shared" si="5"/>
        <v>34.3000000000002</v>
      </c>
      <c r="Q350" s="3">
        <v>9</v>
      </c>
      <c r="R350" s="3">
        <v>10</v>
      </c>
      <c r="S350" s="1">
        <f>Q350*$Q$2+R350*$R$2</f>
        <v>25.75</v>
      </c>
      <c r="T350" s="7">
        <f>S350*(1+$S$5)</f>
        <v>25.75</v>
      </c>
      <c r="U350" s="7">
        <f>(Q350*$Q$3+R350*$R$3)*(1+$S$5)</f>
        <v>28</v>
      </c>
      <c r="V350" s="4">
        <f>(Q350*$Q$4+R350*$R$4)*(1+$S$5)</f>
        <v>28</v>
      </c>
      <c r="W350" s="8">
        <f>(R350*$Q$5+S350*$R$5)*($S$5)+X350</f>
        <v>3</v>
      </c>
      <c r="X350" s="9">
        <v>3</v>
      </c>
    </row>
    <row r="351" spans="16:24">
      <c r="P351" s="5">
        <f t="shared" si="5"/>
        <v>34.4000000000002</v>
      </c>
      <c r="Q351" s="3">
        <v>9</v>
      </c>
      <c r="R351" s="3">
        <v>10</v>
      </c>
      <c r="S351" s="1">
        <f>Q351*$Q$2+R351*$R$2</f>
        <v>25.75</v>
      </c>
      <c r="T351" s="7">
        <f>S351*(1+$S$5)</f>
        <v>25.75</v>
      </c>
      <c r="U351" s="7">
        <f>(Q351*$Q$3+R351*$R$3)*(1+$S$5)</f>
        <v>28</v>
      </c>
      <c r="V351" s="4">
        <f>(Q351*$Q$4+R351*$R$4)*(1+$S$5)</f>
        <v>28</v>
      </c>
      <c r="W351" s="8">
        <f>(R351*$Q$5+S351*$R$5)*($S$5)+X351</f>
        <v>3</v>
      </c>
      <c r="X351" s="9">
        <v>3</v>
      </c>
    </row>
    <row r="352" spans="16:24">
      <c r="P352" s="5">
        <f t="shared" si="5"/>
        <v>34.5000000000002</v>
      </c>
      <c r="Q352" s="3">
        <v>9</v>
      </c>
      <c r="R352" s="3">
        <v>10</v>
      </c>
      <c r="S352" s="1">
        <f>Q352*$Q$2+R352*$R$2</f>
        <v>25.75</v>
      </c>
      <c r="T352" s="7">
        <f>S352*(1+$S$5)</f>
        <v>25.75</v>
      </c>
      <c r="U352" s="7">
        <f>(Q352*$Q$3+R352*$R$3)*(1+$S$5)</f>
        <v>28</v>
      </c>
      <c r="V352" s="4">
        <f>(Q352*$Q$4+R352*$R$4)*(1+$S$5)</f>
        <v>28</v>
      </c>
      <c r="W352" s="8">
        <f>(R352*$Q$5+S352*$R$5)*($S$5)+X352</f>
        <v>3</v>
      </c>
      <c r="X352" s="9">
        <v>3</v>
      </c>
    </row>
    <row r="353" spans="16:24">
      <c r="P353" s="5">
        <f t="shared" si="5"/>
        <v>34.6000000000002</v>
      </c>
      <c r="Q353" s="3">
        <v>9</v>
      </c>
      <c r="R353" s="3">
        <v>10</v>
      </c>
      <c r="S353" s="1">
        <f>Q353*$Q$2+R353*$R$2</f>
        <v>25.75</v>
      </c>
      <c r="T353" s="7">
        <f>S353*(1+$S$5)</f>
        <v>25.75</v>
      </c>
      <c r="U353" s="7">
        <f>(Q353*$Q$3+R353*$R$3)*(1+$S$5)</f>
        <v>28</v>
      </c>
      <c r="V353" s="4">
        <f>(Q353*$Q$4+R353*$R$4)*(1+$S$5)</f>
        <v>28</v>
      </c>
      <c r="W353" s="8">
        <f>(R353*$Q$5+S353*$R$5)*($S$5)+X353</f>
        <v>3</v>
      </c>
      <c r="X353" s="9">
        <v>3</v>
      </c>
    </row>
    <row r="354" spans="16:24">
      <c r="P354" s="5">
        <f t="shared" si="5"/>
        <v>34.7000000000002</v>
      </c>
      <c r="Q354" s="3">
        <v>9</v>
      </c>
      <c r="R354" s="3">
        <v>10</v>
      </c>
      <c r="S354" s="1">
        <f>Q354*$Q$2+R354*$R$2</f>
        <v>25.75</v>
      </c>
      <c r="T354" s="7">
        <f>S354*(1+$S$5)</f>
        <v>25.75</v>
      </c>
      <c r="U354" s="7">
        <f>(Q354*$Q$3+R354*$R$3)*(1+$S$5)</f>
        <v>28</v>
      </c>
      <c r="V354" s="4">
        <f>(Q354*$Q$4+R354*$R$4)*(1+$S$5)</f>
        <v>28</v>
      </c>
      <c r="W354" s="8">
        <f>(R354*$Q$5+S354*$R$5)*($S$5)+X354</f>
        <v>3</v>
      </c>
      <c r="X354" s="9">
        <v>3</v>
      </c>
    </row>
    <row r="355" spans="16:24">
      <c r="P355" s="5">
        <f t="shared" si="5"/>
        <v>34.8000000000002</v>
      </c>
      <c r="Q355" s="3">
        <v>9</v>
      </c>
      <c r="R355" s="3">
        <v>10</v>
      </c>
      <c r="S355" s="1">
        <f>Q355*$Q$2+R355*$R$2</f>
        <v>25.75</v>
      </c>
      <c r="T355" s="7">
        <f>S355*(1+$S$5)</f>
        <v>25.75</v>
      </c>
      <c r="U355" s="7">
        <f>(Q355*$Q$3+R355*$R$3)*(1+$S$5)</f>
        <v>28</v>
      </c>
      <c r="V355" s="4">
        <f>(Q355*$Q$4+R355*$R$4)*(1+$S$5)</f>
        <v>28</v>
      </c>
      <c r="W355" s="8">
        <f>(R355*$Q$5+S355*$R$5)*($S$5)+X355</f>
        <v>3</v>
      </c>
      <c r="X355" s="9">
        <v>3</v>
      </c>
    </row>
    <row r="356" spans="16:24">
      <c r="P356" s="5">
        <f t="shared" si="5"/>
        <v>34.9000000000002</v>
      </c>
      <c r="Q356" s="3">
        <v>9</v>
      </c>
      <c r="R356" s="3">
        <v>10</v>
      </c>
      <c r="S356" s="1">
        <f>Q356*$Q$2+R356*$R$2</f>
        <v>25.75</v>
      </c>
      <c r="T356" s="7">
        <f>S356*(1+$S$5)</f>
        <v>25.75</v>
      </c>
      <c r="U356" s="7">
        <f>(Q356*$Q$3+R356*$R$3)*(1+$S$5)</f>
        <v>28</v>
      </c>
      <c r="V356" s="4">
        <f>(Q356*$Q$4+R356*$R$4)*(1+$S$5)</f>
        <v>28</v>
      </c>
      <c r="W356" s="8">
        <f>(R356*$Q$5+S356*$R$5)*($S$5)+X356</f>
        <v>3</v>
      </c>
      <c r="X356" s="9">
        <v>3</v>
      </c>
    </row>
    <row r="357" spans="16:24">
      <c r="P357" s="5">
        <f t="shared" si="5"/>
        <v>35.0000000000002</v>
      </c>
      <c r="Q357" s="3">
        <v>9</v>
      </c>
      <c r="R357" s="3">
        <v>10</v>
      </c>
      <c r="S357" s="1">
        <f>Q357*$Q$2+R357*$R$2</f>
        <v>25.75</v>
      </c>
      <c r="T357" s="7">
        <f>S357*(1+$S$5)</f>
        <v>25.75</v>
      </c>
      <c r="U357" s="7">
        <f>(Q357*$Q$3+R357*$R$3)*(1+$S$5)</f>
        <v>28</v>
      </c>
      <c r="V357" s="4">
        <f>(Q357*$Q$4+R357*$R$4)*(1+$S$5)</f>
        <v>28</v>
      </c>
      <c r="W357" s="8">
        <f>(R357*$Q$5+S357*$R$5)*($S$5)+X357</f>
        <v>3</v>
      </c>
      <c r="X357" s="9">
        <v>3</v>
      </c>
    </row>
    <row r="358" spans="16:24">
      <c r="P358" s="5">
        <f t="shared" si="5"/>
        <v>35.1000000000002</v>
      </c>
      <c r="Q358" s="3">
        <v>9</v>
      </c>
      <c r="R358" s="3">
        <v>10</v>
      </c>
      <c r="S358" s="1">
        <f>Q358*$Q$2+R358*$R$2</f>
        <v>25.75</v>
      </c>
      <c r="T358" s="7">
        <f>S358*(1+$S$5)</f>
        <v>25.75</v>
      </c>
      <c r="U358" s="7">
        <f>(Q358*$Q$3+R358*$R$3)*(1+$S$5)</f>
        <v>28</v>
      </c>
      <c r="V358" s="4">
        <f>(Q358*$Q$4+R358*$R$4)*(1+$S$5)</f>
        <v>28</v>
      </c>
      <c r="W358" s="8">
        <f>(R358*$Q$5+S358*$R$5)*($S$5)+X358</f>
        <v>3</v>
      </c>
      <c r="X358" s="9">
        <v>3</v>
      </c>
    </row>
    <row r="359" spans="16:24">
      <c r="P359" s="5">
        <f t="shared" si="5"/>
        <v>35.2000000000002</v>
      </c>
      <c r="Q359" s="3">
        <v>9</v>
      </c>
      <c r="R359" s="3">
        <v>10</v>
      </c>
      <c r="S359" s="1">
        <f>Q359*$Q$2+R359*$R$2</f>
        <v>25.75</v>
      </c>
      <c r="T359" s="7">
        <f>S359*(1+$S$5)</f>
        <v>25.75</v>
      </c>
      <c r="U359" s="7">
        <f>(Q359*$Q$3+R359*$R$3)*(1+$S$5)</f>
        <v>28</v>
      </c>
      <c r="V359" s="4">
        <f>(Q359*$Q$4+R359*$R$4)*(1+$S$5)</f>
        <v>28</v>
      </c>
      <c r="W359" s="8">
        <f>(R359*$Q$5+S359*$R$5)*($S$5)+X359</f>
        <v>3</v>
      </c>
      <c r="X359" s="9">
        <v>3</v>
      </c>
    </row>
    <row r="360" spans="16:24">
      <c r="P360" s="5">
        <f t="shared" si="5"/>
        <v>35.3000000000002</v>
      </c>
      <c r="Q360" s="3">
        <v>9</v>
      </c>
      <c r="R360" s="3">
        <v>10</v>
      </c>
      <c r="S360" s="1">
        <f>Q360*$Q$2+R360*$R$2</f>
        <v>25.75</v>
      </c>
      <c r="T360" s="7">
        <f>S360*(1+$S$5)</f>
        <v>25.75</v>
      </c>
      <c r="U360" s="7">
        <f>(Q360*$Q$3+R360*$R$3)*(1+$S$5)</f>
        <v>28</v>
      </c>
      <c r="V360" s="4">
        <f>(Q360*$Q$4+R360*$R$4)*(1+$S$5)</f>
        <v>28</v>
      </c>
      <c r="W360" s="8">
        <f>(R360*$Q$5+S360*$R$5)*($S$5)+X360</f>
        <v>3</v>
      </c>
      <c r="X360" s="9">
        <v>3</v>
      </c>
    </row>
    <row r="361" spans="16:24">
      <c r="P361" s="5">
        <f t="shared" si="5"/>
        <v>35.4000000000002</v>
      </c>
      <c r="Q361" s="3">
        <v>9</v>
      </c>
      <c r="R361" s="3">
        <v>10</v>
      </c>
      <c r="S361" s="1">
        <f>Q361*$Q$2+R361*$R$2</f>
        <v>25.75</v>
      </c>
      <c r="T361" s="7">
        <f>S361*(1+$S$5)</f>
        <v>25.75</v>
      </c>
      <c r="U361" s="7">
        <f>(Q361*$Q$3+R361*$R$3)*(1+$S$5)</f>
        <v>28</v>
      </c>
      <c r="V361" s="4">
        <f>(Q361*$Q$4+R361*$R$4)*(1+$S$5)</f>
        <v>28</v>
      </c>
      <c r="W361" s="8">
        <f>(R361*$Q$5+S361*$R$5)*($S$5)+X361</f>
        <v>3</v>
      </c>
      <c r="X361" s="9">
        <v>3</v>
      </c>
    </row>
    <row r="362" spans="16:24">
      <c r="P362" s="5">
        <f t="shared" si="5"/>
        <v>35.5000000000002</v>
      </c>
      <c r="Q362" s="3">
        <v>9</v>
      </c>
      <c r="R362" s="3">
        <v>10</v>
      </c>
      <c r="S362" s="1">
        <f>Q362*$Q$2+R362*$R$2</f>
        <v>25.75</v>
      </c>
      <c r="T362" s="7">
        <f>S362*(1+$S$5)</f>
        <v>25.75</v>
      </c>
      <c r="U362" s="7">
        <f>(Q362*$Q$3+R362*$R$3)*(1+$S$5)</f>
        <v>28</v>
      </c>
      <c r="V362" s="4">
        <f>(Q362*$Q$4+R362*$R$4)*(1+$S$5)</f>
        <v>28</v>
      </c>
      <c r="W362" s="8">
        <f>(R362*$Q$5+S362*$R$5)*($S$5)+X362</f>
        <v>3</v>
      </c>
      <c r="X362" s="9">
        <v>3</v>
      </c>
    </row>
    <row r="363" spans="16:24">
      <c r="P363" s="5">
        <f t="shared" si="5"/>
        <v>35.6000000000002</v>
      </c>
      <c r="Q363" s="3">
        <v>9</v>
      </c>
      <c r="R363" s="3">
        <v>10</v>
      </c>
      <c r="S363" s="1">
        <f>Q363*$Q$2+R363*$R$2</f>
        <v>25.75</v>
      </c>
      <c r="T363" s="7">
        <f>S363*(1+$S$5)</f>
        <v>25.75</v>
      </c>
      <c r="U363" s="7">
        <f>(Q363*$Q$3+R363*$R$3)*(1+$S$5)</f>
        <v>28</v>
      </c>
      <c r="V363" s="4">
        <f>(Q363*$Q$4+R363*$R$4)*(1+$S$5)</f>
        <v>28</v>
      </c>
      <c r="W363" s="8">
        <f>(R363*$Q$5+S363*$R$5)*($S$5)+X363</f>
        <v>3</v>
      </c>
      <c r="X363" s="9">
        <v>3</v>
      </c>
    </row>
    <row r="364" spans="16:24">
      <c r="P364" s="5">
        <f t="shared" si="5"/>
        <v>35.7000000000002</v>
      </c>
      <c r="Q364" s="3">
        <v>9</v>
      </c>
      <c r="R364" s="3">
        <v>10</v>
      </c>
      <c r="S364" s="1">
        <f>Q364*$Q$2+R364*$R$2</f>
        <v>25.75</v>
      </c>
      <c r="T364" s="7">
        <f>S364*(1+$S$5)</f>
        <v>25.75</v>
      </c>
      <c r="U364" s="7">
        <f>(Q364*$Q$3+R364*$R$3)*(1+$S$5)</f>
        <v>28</v>
      </c>
      <c r="V364" s="4">
        <f>(Q364*$Q$4+R364*$R$4)*(1+$S$5)</f>
        <v>28</v>
      </c>
      <c r="W364" s="8">
        <f>(R364*$Q$5+S364*$R$5)*($S$5)+X364</f>
        <v>3</v>
      </c>
      <c r="X364" s="9">
        <v>3</v>
      </c>
    </row>
    <row r="365" spans="16:24">
      <c r="P365" s="5">
        <f t="shared" si="5"/>
        <v>35.8000000000002</v>
      </c>
      <c r="Q365" s="3">
        <v>9</v>
      </c>
      <c r="R365" s="3">
        <v>10</v>
      </c>
      <c r="S365" s="1">
        <f>Q365*$Q$2+R365*$R$2</f>
        <v>25.75</v>
      </c>
      <c r="T365" s="7">
        <f>S365*(1+$S$5)</f>
        <v>25.75</v>
      </c>
      <c r="U365" s="7">
        <f>(Q365*$Q$3+R365*$R$3)*(1+$S$5)</f>
        <v>28</v>
      </c>
      <c r="V365" s="4">
        <f>(Q365*$Q$4+R365*$R$4)*(1+$S$5)</f>
        <v>28</v>
      </c>
      <c r="W365" s="8">
        <f>(R365*$Q$5+S365*$R$5)*($S$5)+X365</f>
        <v>3</v>
      </c>
      <c r="X365" s="9">
        <v>3</v>
      </c>
    </row>
    <row r="366" spans="16:24">
      <c r="P366" s="5">
        <f t="shared" si="5"/>
        <v>35.9000000000002</v>
      </c>
      <c r="Q366" s="3">
        <v>9</v>
      </c>
      <c r="R366" s="3">
        <v>10</v>
      </c>
      <c r="S366" s="1">
        <f>Q366*$Q$2+R366*$R$2</f>
        <v>25.75</v>
      </c>
      <c r="T366" s="7">
        <f>S366*(1+$S$5)</f>
        <v>25.75</v>
      </c>
      <c r="U366" s="7">
        <f>(Q366*$Q$3+R366*$R$3)*(1+$S$5)</f>
        <v>28</v>
      </c>
      <c r="V366" s="4">
        <f>(Q366*$Q$4+R366*$R$4)*(1+$S$5)</f>
        <v>28</v>
      </c>
      <c r="W366" s="8">
        <f>(R366*$Q$5+S366*$R$5)*($S$5)+X366</f>
        <v>3</v>
      </c>
      <c r="X366" s="9">
        <v>3</v>
      </c>
    </row>
    <row r="367" spans="16:24">
      <c r="P367" s="5">
        <f t="shared" si="5"/>
        <v>36.0000000000002</v>
      </c>
      <c r="Q367" s="3">
        <v>9</v>
      </c>
      <c r="R367" s="3">
        <v>10</v>
      </c>
      <c r="S367" s="1">
        <f>Q367*$Q$2+R367*$R$2</f>
        <v>25.75</v>
      </c>
      <c r="T367" s="7">
        <f>S367*(1+$S$5)</f>
        <v>25.75</v>
      </c>
      <c r="U367" s="7">
        <f>(Q367*$Q$3+R367*$R$3)*(1+$S$5)</f>
        <v>28</v>
      </c>
      <c r="V367" s="4">
        <f>(Q367*$Q$4+R367*$R$4)*(1+$S$5)</f>
        <v>28</v>
      </c>
      <c r="W367" s="8">
        <f>(R367*$Q$5+S367*$R$5)*($S$5)+X367</f>
        <v>3</v>
      </c>
      <c r="X367" s="9">
        <v>3</v>
      </c>
    </row>
    <row r="368" spans="16:24">
      <c r="P368" s="5">
        <f t="shared" si="5"/>
        <v>36.1000000000002</v>
      </c>
      <c r="Q368" s="3">
        <v>9</v>
      </c>
      <c r="R368" s="3">
        <v>10</v>
      </c>
      <c r="S368" s="1">
        <f>Q368*$Q$2+R368*$R$2</f>
        <v>25.75</v>
      </c>
      <c r="T368" s="7">
        <f>S368*(1+$S$5)</f>
        <v>25.75</v>
      </c>
      <c r="U368" s="7">
        <f>(Q368*$Q$3+R368*$R$3)*(1+$S$5)</f>
        <v>28</v>
      </c>
      <c r="V368" s="4">
        <f>(Q368*$Q$4+R368*$R$4)*(1+$S$5)</f>
        <v>28</v>
      </c>
      <c r="W368" s="8">
        <f>(R368*$Q$5+S368*$R$5)*($S$5)+X368</f>
        <v>3</v>
      </c>
      <c r="X368" s="9">
        <v>3</v>
      </c>
    </row>
    <row r="369" spans="16:24">
      <c r="P369" s="5">
        <f t="shared" si="5"/>
        <v>36.2000000000002</v>
      </c>
      <c r="Q369" s="3">
        <v>9</v>
      </c>
      <c r="R369" s="3">
        <v>10</v>
      </c>
      <c r="S369" s="1">
        <f>Q369*$Q$2+R369*$R$2</f>
        <v>25.75</v>
      </c>
      <c r="T369" s="7">
        <f>S369*(1+$S$5)</f>
        <v>25.75</v>
      </c>
      <c r="U369" s="7">
        <f>(Q369*$Q$3+R369*$R$3)*(1+$S$5)</f>
        <v>28</v>
      </c>
      <c r="V369" s="4">
        <f>(Q369*$Q$4+R369*$R$4)*(1+$S$5)</f>
        <v>28</v>
      </c>
      <c r="W369" s="8">
        <f>(R369*$Q$5+S369*$R$5)*($S$5)+X369</f>
        <v>3</v>
      </c>
      <c r="X369" s="9">
        <v>3</v>
      </c>
    </row>
    <row r="370" spans="16:24">
      <c r="P370" s="5">
        <f t="shared" si="5"/>
        <v>36.3000000000002</v>
      </c>
      <c r="Q370" s="3">
        <v>9</v>
      </c>
      <c r="R370" s="3">
        <v>10</v>
      </c>
      <c r="S370" s="1">
        <f>Q370*$Q$2+R370*$R$2</f>
        <v>25.75</v>
      </c>
      <c r="T370" s="7">
        <f>S370*(1+$S$5)</f>
        <v>25.75</v>
      </c>
      <c r="U370" s="7">
        <f>(Q370*$Q$3+R370*$R$3)*(1+$S$5)</f>
        <v>28</v>
      </c>
      <c r="V370" s="4">
        <f>(Q370*$Q$4+R370*$R$4)*(1+$S$5)</f>
        <v>28</v>
      </c>
      <c r="W370" s="8">
        <f>(R370*$Q$5+S370*$R$5)*($S$5)+X370</f>
        <v>3</v>
      </c>
      <c r="X370" s="9">
        <v>3</v>
      </c>
    </row>
    <row r="371" spans="16:24">
      <c r="P371" s="5">
        <f t="shared" si="5"/>
        <v>36.4000000000002</v>
      </c>
      <c r="Q371" s="3">
        <v>9</v>
      </c>
      <c r="R371" s="3">
        <v>10</v>
      </c>
      <c r="S371" s="1">
        <f>Q371*$Q$2+R371*$R$2</f>
        <v>25.75</v>
      </c>
      <c r="T371" s="7">
        <f>S371*(1+$S$5)</f>
        <v>25.75</v>
      </c>
      <c r="U371" s="7">
        <f>(Q371*$Q$3+R371*$R$3)*(1+$S$5)</f>
        <v>28</v>
      </c>
      <c r="V371" s="4">
        <f>(Q371*$Q$4+R371*$R$4)*(1+$S$5)</f>
        <v>28</v>
      </c>
      <c r="W371" s="8">
        <f>(R371*$Q$5+S371*$R$5)*($S$5)+X371</f>
        <v>3</v>
      </c>
      <c r="X371" s="9">
        <v>3</v>
      </c>
    </row>
    <row r="372" spans="16:24">
      <c r="P372" s="5">
        <f t="shared" si="5"/>
        <v>36.5000000000002</v>
      </c>
      <c r="Q372" s="3">
        <v>9</v>
      </c>
      <c r="R372" s="3">
        <v>10</v>
      </c>
      <c r="S372" s="1">
        <f>Q372*$Q$2+R372*$R$2</f>
        <v>25.75</v>
      </c>
      <c r="T372" s="7">
        <f>S372*(1+$S$5)</f>
        <v>25.75</v>
      </c>
      <c r="U372" s="7">
        <f>(Q372*$Q$3+R372*$R$3)*(1+$S$5)</f>
        <v>28</v>
      </c>
      <c r="V372" s="4">
        <f>(Q372*$Q$4+R372*$R$4)*(1+$S$5)</f>
        <v>28</v>
      </c>
      <c r="W372" s="8">
        <f>(R372*$Q$5+S372*$R$5)*($S$5)+X372</f>
        <v>3</v>
      </c>
      <c r="X372" s="9">
        <v>3</v>
      </c>
    </row>
    <row r="373" spans="16:24">
      <c r="P373" s="5">
        <f t="shared" si="5"/>
        <v>36.6000000000003</v>
      </c>
      <c r="Q373" s="3">
        <v>9</v>
      </c>
      <c r="R373" s="3">
        <v>10</v>
      </c>
      <c r="S373" s="1">
        <f>Q373*$Q$2+R373*$R$2</f>
        <v>25.75</v>
      </c>
      <c r="T373" s="7">
        <f>S373*(1+$S$5)</f>
        <v>25.75</v>
      </c>
      <c r="U373" s="7">
        <f>(Q373*$Q$3+R373*$R$3)*(1+$S$5)</f>
        <v>28</v>
      </c>
      <c r="V373" s="4">
        <f>(Q373*$Q$4+R373*$R$4)*(1+$S$5)</f>
        <v>28</v>
      </c>
      <c r="W373" s="8">
        <f>(R373*$Q$5+S373*$R$5)*($S$5)+X373</f>
        <v>3</v>
      </c>
      <c r="X373" s="9">
        <v>3</v>
      </c>
    </row>
    <row r="374" spans="16:24">
      <c r="P374" s="5">
        <f t="shared" si="5"/>
        <v>36.7000000000003</v>
      </c>
      <c r="Q374" s="3">
        <v>9</v>
      </c>
      <c r="R374" s="3">
        <v>10</v>
      </c>
      <c r="S374" s="1">
        <f>Q374*$Q$2+R374*$R$2</f>
        <v>25.75</v>
      </c>
      <c r="T374" s="7">
        <f>S374*(1+$S$5)</f>
        <v>25.75</v>
      </c>
      <c r="U374" s="7">
        <f>(Q374*$Q$3+R374*$R$3)*(1+$S$5)</f>
        <v>28</v>
      </c>
      <c r="V374" s="4">
        <f>(Q374*$Q$4+R374*$R$4)*(1+$S$5)</f>
        <v>28</v>
      </c>
      <c r="W374" s="8">
        <f>(R374*$Q$5+S374*$R$5)*($S$5)+X374</f>
        <v>3</v>
      </c>
      <c r="X374" s="9">
        <v>3</v>
      </c>
    </row>
    <row r="375" spans="16:24">
      <c r="P375" s="5">
        <f t="shared" si="5"/>
        <v>36.8000000000003</v>
      </c>
      <c r="Q375" s="3">
        <v>9</v>
      </c>
      <c r="R375" s="3">
        <v>10</v>
      </c>
      <c r="S375" s="1">
        <f>Q375*$Q$2+R375*$R$2</f>
        <v>25.75</v>
      </c>
      <c r="T375" s="7">
        <f>S375*(1+$S$5)</f>
        <v>25.75</v>
      </c>
      <c r="U375" s="7">
        <f>(Q375*$Q$3+R375*$R$3)*(1+$S$5)</f>
        <v>28</v>
      </c>
      <c r="V375" s="4">
        <f>(Q375*$Q$4+R375*$R$4)*(1+$S$5)</f>
        <v>28</v>
      </c>
      <c r="W375" s="8">
        <f>(R375*$Q$5+S375*$R$5)*($S$5)+X375</f>
        <v>3</v>
      </c>
      <c r="X375" s="9">
        <v>3</v>
      </c>
    </row>
    <row r="376" spans="16:24">
      <c r="P376" s="5">
        <f t="shared" si="5"/>
        <v>36.9000000000003</v>
      </c>
      <c r="Q376" s="3">
        <v>9</v>
      </c>
      <c r="R376" s="3">
        <v>10</v>
      </c>
      <c r="S376" s="1">
        <f>Q376*$Q$2+R376*$R$2</f>
        <v>25.75</v>
      </c>
      <c r="T376" s="7">
        <f>S376*(1+$S$5)</f>
        <v>25.75</v>
      </c>
      <c r="U376" s="7">
        <f>(Q376*$Q$3+R376*$R$3)*(1+$S$5)</f>
        <v>28</v>
      </c>
      <c r="V376" s="4">
        <f>(Q376*$Q$4+R376*$R$4)*(1+$S$5)</f>
        <v>28</v>
      </c>
      <c r="W376" s="8">
        <f>(R376*$Q$5+S376*$R$5)*($S$5)+X376</f>
        <v>3</v>
      </c>
      <c r="X376" s="9">
        <v>3</v>
      </c>
    </row>
    <row r="377" spans="16:24">
      <c r="P377" s="5">
        <f t="shared" si="5"/>
        <v>37.0000000000003</v>
      </c>
      <c r="Q377" s="3">
        <v>9</v>
      </c>
      <c r="R377" s="3">
        <v>10</v>
      </c>
      <c r="S377" s="1">
        <f>Q377*$Q$2+R377*$R$2</f>
        <v>25.75</v>
      </c>
      <c r="T377" s="7">
        <f>S377*(1+$S$5)</f>
        <v>25.75</v>
      </c>
      <c r="U377" s="7">
        <f>(Q377*$Q$3+R377*$R$3)*(1+$S$5)</f>
        <v>28</v>
      </c>
      <c r="V377" s="4">
        <f>(Q377*$Q$4+R377*$R$4)*(1+$S$5)</f>
        <v>28</v>
      </c>
      <c r="W377" s="8">
        <f>(R377*$Q$5+S377*$R$5)*($S$5)+X377</f>
        <v>3</v>
      </c>
      <c r="X377" s="9">
        <v>3</v>
      </c>
    </row>
    <row r="378" spans="16:24">
      <c r="P378" s="5">
        <f t="shared" si="5"/>
        <v>37.1000000000003</v>
      </c>
      <c r="Q378" s="3">
        <v>9</v>
      </c>
      <c r="R378" s="3">
        <v>10</v>
      </c>
      <c r="S378" s="1">
        <f>Q378*$Q$2+R378*$R$2</f>
        <v>25.75</v>
      </c>
      <c r="T378" s="7">
        <f>S378*(1+$S$5)</f>
        <v>25.75</v>
      </c>
      <c r="U378" s="7">
        <f>(Q378*$Q$3+R378*$R$3)*(1+$S$5)</f>
        <v>28</v>
      </c>
      <c r="V378" s="4">
        <f>(Q378*$Q$4+R378*$R$4)*(1+$S$5)</f>
        <v>28</v>
      </c>
      <c r="W378" s="8">
        <f>(R378*$Q$5+S378*$R$5)*($S$5)+X378</f>
        <v>3</v>
      </c>
      <c r="X378" s="9">
        <v>3</v>
      </c>
    </row>
    <row r="379" spans="16:24">
      <c r="P379" s="5">
        <f t="shared" si="5"/>
        <v>37.2000000000003</v>
      </c>
      <c r="Q379" s="3">
        <v>9</v>
      </c>
      <c r="R379" s="3">
        <v>10</v>
      </c>
      <c r="S379" s="1">
        <f>Q379*$Q$2+R379*$R$2</f>
        <v>25.75</v>
      </c>
      <c r="T379" s="7">
        <f>S379*(1+$S$5)</f>
        <v>25.75</v>
      </c>
      <c r="U379" s="7">
        <f>(Q379*$Q$3+R379*$R$3)*(1+$S$5)</f>
        <v>28</v>
      </c>
      <c r="V379" s="4">
        <f>(Q379*$Q$4+R379*$R$4)*(1+$S$5)</f>
        <v>28</v>
      </c>
      <c r="W379" s="8">
        <f>(R379*$Q$5+S379*$R$5)*($S$5)+X379</f>
        <v>3</v>
      </c>
      <c r="X379" s="9">
        <v>3</v>
      </c>
    </row>
    <row r="380" spans="16:24">
      <c r="P380" s="5">
        <f t="shared" si="5"/>
        <v>37.3000000000003</v>
      </c>
      <c r="Q380" s="3">
        <v>9</v>
      </c>
      <c r="R380" s="3">
        <v>10</v>
      </c>
      <c r="S380" s="1">
        <f>Q380*$Q$2+R380*$R$2</f>
        <v>25.75</v>
      </c>
      <c r="T380" s="7">
        <f>S380*(1+$S$5)</f>
        <v>25.75</v>
      </c>
      <c r="U380" s="7">
        <f>(Q380*$Q$3+R380*$R$3)*(1+$S$5)</f>
        <v>28</v>
      </c>
      <c r="V380" s="4">
        <f>(Q380*$Q$4+R380*$R$4)*(1+$S$5)</f>
        <v>28</v>
      </c>
      <c r="W380" s="8">
        <f>(R380*$Q$5+S380*$R$5)*($S$5)+X380</f>
        <v>3</v>
      </c>
      <c r="X380" s="9">
        <v>3</v>
      </c>
    </row>
    <row r="381" spans="16:24">
      <c r="P381" s="5">
        <f t="shared" si="5"/>
        <v>37.4000000000003</v>
      </c>
      <c r="Q381" s="3">
        <v>9</v>
      </c>
      <c r="R381" s="3">
        <v>10</v>
      </c>
      <c r="S381" s="1">
        <f>Q381*$Q$2+R381*$R$2</f>
        <v>25.75</v>
      </c>
      <c r="T381" s="7">
        <f>S381*(1+$S$5)</f>
        <v>25.75</v>
      </c>
      <c r="U381" s="7">
        <f>(Q381*$Q$3+R381*$R$3)*(1+$S$5)</f>
        <v>28</v>
      </c>
      <c r="V381" s="4">
        <f>(Q381*$Q$4+R381*$R$4)*(1+$S$5)</f>
        <v>28</v>
      </c>
      <c r="W381" s="8">
        <f>(R381*$Q$5+S381*$R$5)*($S$5)+X381</f>
        <v>3</v>
      </c>
      <c r="X381" s="9">
        <v>3</v>
      </c>
    </row>
    <row r="382" spans="16:24">
      <c r="P382" s="5">
        <f t="shared" si="5"/>
        <v>37.5000000000003</v>
      </c>
      <c r="Q382" s="3">
        <v>9</v>
      </c>
      <c r="R382" s="3">
        <v>10</v>
      </c>
      <c r="S382" s="1">
        <f>Q382*$Q$2+R382*$R$2</f>
        <v>25.75</v>
      </c>
      <c r="T382" s="7">
        <f>S382*(1+$S$5)</f>
        <v>25.75</v>
      </c>
      <c r="U382" s="7">
        <f>(Q382*$Q$3+R382*$R$3)*(1+$S$5)</f>
        <v>28</v>
      </c>
      <c r="V382" s="4">
        <f>(Q382*$Q$4+R382*$R$4)*(1+$S$5)</f>
        <v>28</v>
      </c>
      <c r="W382" s="8">
        <f>(R382*$Q$5+S382*$R$5)*($S$5)+X382</f>
        <v>3</v>
      </c>
      <c r="X382" s="9">
        <v>3</v>
      </c>
    </row>
    <row r="383" spans="16:24">
      <c r="P383" s="5">
        <f t="shared" si="5"/>
        <v>37.6000000000003</v>
      </c>
      <c r="Q383" s="3">
        <v>9</v>
      </c>
      <c r="R383" s="3">
        <v>10</v>
      </c>
      <c r="S383" s="1">
        <f>Q383*$Q$2+R383*$R$2</f>
        <v>25.75</v>
      </c>
      <c r="T383" s="7">
        <f>S383*(1+$S$5)</f>
        <v>25.75</v>
      </c>
      <c r="U383" s="7">
        <f>(Q383*$Q$3+R383*$R$3)*(1+$S$5)</f>
        <v>28</v>
      </c>
      <c r="V383" s="4">
        <f>(Q383*$Q$4+R383*$R$4)*(1+$S$5)</f>
        <v>28</v>
      </c>
      <c r="W383" s="8">
        <f>(R383*$Q$5+S383*$R$5)*($S$5)+X383</f>
        <v>3</v>
      </c>
      <c r="X383" s="9">
        <v>3</v>
      </c>
    </row>
    <row r="384" spans="16:24">
      <c r="P384" s="5">
        <f t="shared" si="5"/>
        <v>37.7000000000003</v>
      </c>
      <c r="Q384" s="3">
        <v>9</v>
      </c>
      <c r="R384" s="3">
        <v>10</v>
      </c>
      <c r="S384" s="1">
        <f>Q384*$Q$2+R384*$R$2</f>
        <v>25.75</v>
      </c>
      <c r="T384" s="7">
        <f>S384*(1+$S$5)</f>
        <v>25.75</v>
      </c>
      <c r="U384" s="7">
        <f>(Q384*$Q$3+R384*$R$3)*(1+$S$5)</f>
        <v>28</v>
      </c>
      <c r="V384" s="4">
        <f>(Q384*$Q$4+R384*$R$4)*(1+$S$5)</f>
        <v>28</v>
      </c>
      <c r="W384" s="8">
        <f>(R384*$Q$5+S384*$R$5)*($S$5)+X384</f>
        <v>3</v>
      </c>
      <c r="X384" s="9">
        <v>3</v>
      </c>
    </row>
    <row r="385" spans="16:24">
      <c r="P385" s="5">
        <f t="shared" si="5"/>
        <v>37.8000000000003</v>
      </c>
      <c r="Q385" s="3">
        <v>9</v>
      </c>
      <c r="R385" s="3">
        <v>10</v>
      </c>
      <c r="S385" s="1">
        <f>Q385*$Q$2+R385*$R$2</f>
        <v>25.75</v>
      </c>
      <c r="T385" s="7">
        <f>S385*(1+$S$5)</f>
        <v>25.75</v>
      </c>
      <c r="U385" s="7">
        <f>(Q385*$Q$3+R385*$R$3)*(1+$S$5)</f>
        <v>28</v>
      </c>
      <c r="V385" s="4">
        <f>(Q385*$Q$4+R385*$R$4)*(1+$S$5)</f>
        <v>28</v>
      </c>
      <c r="W385" s="8">
        <f>(R385*$Q$5+S385*$R$5)*($S$5)+X385</f>
        <v>3</v>
      </c>
      <c r="X385" s="9">
        <v>3</v>
      </c>
    </row>
    <row r="386" spans="16:24">
      <c r="P386" s="5">
        <f t="shared" si="5"/>
        <v>37.9000000000003</v>
      </c>
      <c r="Q386" s="3">
        <v>9</v>
      </c>
      <c r="R386" s="3">
        <v>10</v>
      </c>
      <c r="S386" s="1">
        <f>Q386*$Q$2+R386*$R$2</f>
        <v>25.75</v>
      </c>
      <c r="T386" s="7">
        <f>S386*(1+$S$5)</f>
        <v>25.75</v>
      </c>
      <c r="U386" s="7">
        <f>(Q386*$Q$3+R386*$R$3)*(1+$S$5)</f>
        <v>28</v>
      </c>
      <c r="V386" s="4">
        <f>(Q386*$Q$4+R386*$R$4)*(1+$S$5)</f>
        <v>28</v>
      </c>
      <c r="W386" s="8">
        <f>(R386*$Q$5+S386*$R$5)*($S$5)+X386</f>
        <v>3</v>
      </c>
      <c r="X386" s="9">
        <v>3</v>
      </c>
    </row>
    <row r="387" spans="16:24">
      <c r="P387" s="5">
        <f t="shared" si="5"/>
        <v>38.0000000000003</v>
      </c>
      <c r="Q387" s="3">
        <v>9</v>
      </c>
      <c r="R387" s="3">
        <v>10</v>
      </c>
      <c r="S387" s="1">
        <f>Q387*$Q$2+R387*$R$2</f>
        <v>25.75</v>
      </c>
      <c r="T387" s="7">
        <f>S387*(1+$S$5)</f>
        <v>25.75</v>
      </c>
      <c r="U387" s="7">
        <f>(Q387*$Q$3+R387*$R$3)*(1+$S$5)</f>
        <v>28</v>
      </c>
      <c r="V387" s="4">
        <f>(Q387*$Q$4+R387*$R$4)*(1+$S$5)</f>
        <v>28</v>
      </c>
      <c r="W387" s="8">
        <f>(R387*$Q$5+S387*$R$5)*($S$5)+X387</f>
        <v>3</v>
      </c>
      <c r="X387" s="9">
        <v>3</v>
      </c>
    </row>
    <row r="388" spans="16:24">
      <c r="P388" s="5">
        <f t="shared" si="5"/>
        <v>38.1000000000003</v>
      </c>
      <c r="Q388" s="3">
        <v>9</v>
      </c>
      <c r="R388" s="3">
        <v>10</v>
      </c>
      <c r="S388" s="1">
        <f>Q388*$Q$2+R388*$R$2</f>
        <v>25.75</v>
      </c>
      <c r="T388" s="7">
        <f>S388*(1+$S$5)</f>
        <v>25.75</v>
      </c>
      <c r="U388" s="7">
        <f>(Q388*$Q$3+R388*$R$3)*(1+$S$5)</f>
        <v>28</v>
      </c>
      <c r="V388" s="4">
        <f>(Q388*$Q$4+R388*$R$4)*(1+$S$5)</f>
        <v>28</v>
      </c>
      <c r="W388" s="8">
        <f>(R388*$Q$5+S388*$R$5)*($S$5)+X388</f>
        <v>3</v>
      </c>
      <c r="X388" s="9">
        <v>3</v>
      </c>
    </row>
    <row r="389" spans="16:24">
      <c r="P389" s="5">
        <f t="shared" si="5"/>
        <v>38.2000000000003</v>
      </c>
      <c r="Q389" s="3">
        <v>9</v>
      </c>
      <c r="R389" s="3">
        <v>10</v>
      </c>
      <c r="S389" s="1">
        <f>Q389*$Q$2+R389*$R$2</f>
        <v>25.75</v>
      </c>
      <c r="T389" s="7">
        <f>S389*(1+$S$5)</f>
        <v>25.75</v>
      </c>
      <c r="U389" s="7">
        <f>(Q389*$Q$3+R389*$R$3)*(1+$S$5)</f>
        <v>28</v>
      </c>
      <c r="V389" s="4">
        <f>(Q389*$Q$4+R389*$R$4)*(1+$S$5)</f>
        <v>28</v>
      </c>
      <c r="W389" s="8">
        <f>(R389*$Q$5+S389*$R$5)*($S$5)+X389</f>
        <v>3</v>
      </c>
      <c r="X389" s="9">
        <v>3</v>
      </c>
    </row>
    <row r="390" spans="16:24">
      <c r="P390" s="5">
        <f t="shared" si="5"/>
        <v>38.3000000000003</v>
      </c>
      <c r="Q390" s="3">
        <v>9</v>
      </c>
      <c r="R390" s="3">
        <v>10</v>
      </c>
      <c r="S390" s="1">
        <f>Q390*$Q$2+R390*$R$2</f>
        <v>25.75</v>
      </c>
      <c r="T390" s="7">
        <f>S390*(1+$S$5)</f>
        <v>25.75</v>
      </c>
      <c r="U390" s="7">
        <f>(Q390*$Q$3+R390*$R$3)*(1+$S$5)</f>
        <v>28</v>
      </c>
      <c r="V390" s="4">
        <f>(Q390*$Q$4+R390*$R$4)*(1+$S$5)</f>
        <v>28</v>
      </c>
      <c r="W390" s="8">
        <f>(R390*$Q$5+S390*$R$5)*($S$5)+X390</f>
        <v>3</v>
      </c>
      <c r="X390" s="9">
        <v>3</v>
      </c>
    </row>
    <row r="391" spans="16:24">
      <c r="P391" s="5">
        <f t="shared" si="5"/>
        <v>38.4000000000003</v>
      </c>
      <c r="Q391" s="3">
        <v>9</v>
      </c>
      <c r="R391" s="3">
        <v>10</v>
      </c>
      <c r="S391" s="1">
        <f>Q391*$Q$2+R391*$R$2</f>
        <v>25.75</v>
      </c>
      <c r="T391" s="7">
        <f>S391*(1+$S$5)</f>
        <v>25.75</v>
      </c>
      <c r="U391" s="7">
        <f>(Q391*$Q$3+R391*$R$3)*(1+$S$5)</f>
        <v>28</v>
      </c>
      <c r="V391" s="4">
        <f>(Q391*$Q$4+R391*$R$4)*(1+$S$5)</f>
        <v>28</v>
      </c>
      <c r="W391" s="8">
        <f>(R391*$Q$5+S391*$R$5)*($S$5)+X391</f>
        <v>3</v>
      </c>
      <c r="X391" s="9">
        <v>3</v>
      </c>
    </row>
    <row r="392" spans="16:24">
      <c r="P392" s="5">
        <f t="shared" ref="P392:P420" si="6">0.1+P391</f>
        <v>38.5000000000003</v>
      </c>
      <c r="Q392" s="3">
        <v>9</v>
      </c>
      <c r="R392" s="3">
        <v>10</v>
      </c>
      <c r="S392" s="1">
        <f>Q392*$Q$2+R392*$R$2</f>
        <v>25.75</v>
      </c>
      <c r="T392" s="7">
        <f>S392*(1+$S$5)</f>
        <v>25.75</v>
      </c>
      <c r="U392" s="7">
        <f>(Q392*$Q$3+R392*$R$3)*(1+$S$5)</f>
        <v>28</v>
      </c>
      <c r="V392" s="4">
        <f>(Q392*$Q$4+R392*$R$4)*(1+$S$5)</f>
        <v>28</v>
      </c>
      <c r="W392" s="8">
        <f>(R392*$Q$5+S392*$R$5)*($S$5)+X392</f>
        <v>3</v>
      </c>
      <c r="X392" s="9">
        <v>3</v>
      </c>
    </row>
    <row r="393" spans="16:24">
      <c r="P393" s="5">
        <f t="shared" si="6"/>
        <v>38.6000000000003</v>
      </c>
      <c r="Q393" s="3">
        <v>9</v>
      </c>
      <c r="R393" s="3">
        <v>10</v>
      </c>
      <c r="S393" s="1">
        <f>Q393*$Q$2+R393*$R$2</f>
        <v>25.75</v>
      </c>
      <c r="T393" s="7">
        <f>S393*(1+$S$5)</f>
        <v>25.75</v>
      </c>
      <c r="U393" s="7">
        <f>(Q393*$Q$3+R393*$R$3)*(1+$S$5)</f>
        <v>28</v>
      </c>
      <c r="V393" s="4">
        <f>(Q393*$Q$4+R393*$R$4)*(1+$S$5)</f>
        <v>28</v>
      </c>
      <c r="W393" s="8">
        <f>(R393*$Q$5+S393*$R$5)*($S$5)+X393</f>
        <v>3</v>
      </c>
      <c r="X393" s="9">
        <v>3</v>
      </c>
    </row>
    <row r="394" spans="16:24">
      <c r="P394" s="5">
        <f t="shared" si="6"/>
        <v>38.7000000000003</v>
      </c>
      <c r="Q394" s="3">
        <v>9</v>
      </c>
      <c r="R394" s="3">
        <v>10</v>
      </c>
      <c r="S394" s="1">
        <f>Q394*$Q$2+R394*$R$2</f>
        <v>25.75</v>
      </c>
      <c r="T394" s="7">
        <f>S394*(1+$S$5)</f>
        <v>25.75</v>
      </c>
      <c r="U394" s="7">
        <f>(Q394*$Q$3+R394*$R$3)*(1+$S$5)</f>
        <v>28</v>
      </c>
      <c r="V394" s="4">
        <f>(Q394*$Q$4+R394*$R$4)*(1+$S$5)</f>
        <v>28</v>
      </c>
      <c r="W394" s="8">
        <f>(R394*$Q$5+S394*$R$5)*($S$5)+X394</f>
        <v>3</v>
      </c>
      <c r="X394" s="9">
        <v>3</v>
      </c>
    </row>
    <row r="395" spans="16:24">
      <c r="P395" s="5">
        <f t="shared" si="6"/>
        <v>38.8000000000003</v>
      </c>
      <c r="Q395" s="3">
        <v>9</v>
      </c>
      <c r="R395" s="3">
        <v>10</v>
      </c>
      <c r="S395" s="1">
        <f>Q395*$Q$2+R395*$R$2</f>
        <v>25.75</v>
      </c>
      <c r="T395" s="7">
        <f>S395*(1+$S$5)</f>
        <v>25.75</v>
      </c>
      <c r="U395" s="7">
        <f>(Q395*$Q$3+R395*$R$3)*(1+$S$5)</f>
        <v>28</v>
      </c>
      <c r="V395" s="4">
        <f>(Q395*$Q$4+R395*$R$4)*(1+$S$5)</f>
        <v>28</v>
      </c>
      <c r="W395" s="8">
        <f>(R395*$Q$5+S395*$R$5)*($S$5)+X395</f>
        <v>3</v>
      </c>
      <c r="X395" s="9">
        <v>3</v>
      </c>
    </row>
    <row r="396" spans="16:24">
      <c r="P396" s="5">
        <f t="shared" si="6"/>
        <v>38.9000000000003</v>
      </c>
      <c r="Q396" s="3">
        <v>9</v>
      </c>
      <c r="R396" s="3">
        <v>10</v>
      </c>
      <c r="S396" s="1">
        <f>Q396*$Q$2+R396*$R$2</f>
        <v>25.75</v>
      </c>
      <c r="T396" s="7">
        <f>S396*(1+$S$5)</f>
        <v>25.75</v>
      </c>
      <c r="U396" s="7">
        <f>(Q396*$Q$3+R396*$R$3)*(1+$S$5)</f>
        <v>28</v>
      </c>
      <c r="V396" s="4">
        <f>(Q396*$Q$4+R396*$R$4)*(1+$S$5)</f>
        <v>28</v>
      </c>
      <c r="W396" s="8">
        <f>(R396*$Q$5+S396*$R$5)*($S$5)+X396</f>
        <v>3</v>
      </c>
      <c r="X396" s="9">
        <v>3</v>
      </c>
    </row>
    <row r="397" spans="16:24">
      <c r="P397" s="5">
        <f t="shared" si="6"/>
        <v>39.0000000000003</v>
      </c>
      <c r="Q397" s="3">
        <v>9</v>
      </c>
      <c r="R397" s="3">
        <v>10</v>
      </c>
      <c r="S397" s="1">
        <f>Q397*$Q$2+R397*$R$2</f>
        <v>25.75</v>
      </c>
      <c r="T397" s="7">
        <f>S397*(1+$S$5)</f>
        <v>25.75</v>
      </c>
      <c r="U397" s="7">
        <f>(Q397*$Q$3+R397*$R$3)*(1+$S$5)</f>
        <v>28</v>
      </c>
      <c r="V397" s="4">
        <f>(Q397*$Q$4+R397*$R$4)*(1+$S$5)</f>
        <v>28</v>
      </c>
      <c r="W397" s="8">
        <f>(R397*$Q$5+S397*$R$5)*($S$5)+X397</f>
        <v>3</v>
      </c>
      <c r="X397" s="9">
        <v>3</v>
      </c>
    </row>
    <row r="398" spans="16:24">
      <c r="P398" s="5">
        <f t="shared" si="6"/>
        <v>39.1000000000003</v>
      </c>
      <c r="Q398" s="3">
        <v>9</v>
      </c>
      <c r="R398" s="3">
        <v>10</v>
      </c>
      <c r="S398" s="1">
        <f>Q398*$Q$2+R398*$R$2</f>
        <v>25.75</v>
      </c>
      <c r="T398" s="7">
        <f>S398*(1+$S$5)</f>
        <v>25.75</v>
      </c>
      <c r="U398" s="7">
        <f>(Q398*$Q$3+R398*$R$3)*(1+$S$5)</f>
        <v>28</v>
      </c>
      <c r="V398" s="4">
        <f>(Q398*$Q$4+R398*$R$4)*(1+$S$5)</f>
        <v>28</v>
      </c>
      <c r="W398" s="8">
        <f>(R398*$Q$5+S398*$R$5)*($S$5)+X398</f>
        <v>3</v>
      </c>
      <c r="X398" s="9">
        <v>3</v>
      </c>
    </row>
    <row r="399" spans="16:24">
      <c r="P399" s="5">
        <f t="shared" si="6"/>
        <v>39.2000000000003</v>
      </c>
      <c r="Q399" s="3">
        <v>9</v>
      </c>
      <c r="R399" s="3">
        <v>10</v>
      </c>
      <c r="S399" s="1">
        <f>Q399*$Q$2+R399*$R$2</f>
        <v>25.75</v>
      </c>
      <c r="T399" s="7">
        <f>S399*(1+$S$5)</f>
        <v>25.75</v>
      </c>
      <c r="U399" s="7">
        <f>(Q399*$Q$3+R399*$R$3)*(1+$S$5)</f>
        <v>28</v>
      </c>
      <c r="V399" s="4">
        <f>(Q399*$Q$4+R399*$R$4)*(1+$S$5)</f>
        <v>28</v>
      </c>
      <c r="W399" s="8">
        <f>(R399*$Q$5+S399*$R$5)*($S$5)+X399</f>
        <v>3</v>
      </c>
      <c r="X399" s="9">
        <v>3</v>
      </c>
    </row>
    <row r="400" spans="16:24">
      <c r="P400" s="5">
        <f t="shared" si="6"/>
        <v>39.3000000000003</v>
      </c>
      <c r="Q400" s="3">
        <v>9</v>
      </c>
      <c r="R400" s="3">
        <v>10</v>
      </c>
      <c r="S400" s="1">
        <f>Q400*$Q$2+R400*$R$2</f>
        <v>25.75</v>
      </c>
      <c r="T400" s="7">
        <f>S400*(1+$S$5)</f>
        <v>25.75</v>
      </c>
      <c r="U400" s="7">
        <f>(Q400*$Q$3+R400*$R$3)*(1+$S$5)</f>
        <v>28</v>
      </c>
      <c r="V400" s="4">
        <f>(Q400*$Q$4+R400*$R$4)*(1+$S$5)</f>
        <v>28</v>
      </c>
      <c r="W400" s="8">
        <f>(R400*$Q$5+S400*$R$5)*($S$5)+X400</f>
        <v>3</v>
      </c>
      <c r="X400" s="9">
        <v>3</v>
      </c>
    </row>
    <row r="401" spans="16:24">
      <c r="P401" s="5">
        <f t="shared" si="6"/>
        <v>39.4000000000003</v>
      </c>
      <c r="Q401" s="3">
        <v>9</v>
      </c>
      <c r="R401" s="3">
        <v>10</v>
      </c>
      <c r="S401" s="1">
        <f>Q401*$Q$2+R401*$R$2</f>
        <v>25.75</v>
      </c>
      <c r="T401" s="7">
        <f>S401*(1+$S$5)</f>
        <v>25.75</v>
      </c>
      <c r="U401" s="7">
        <f>(Q401*$Q$3+R401*$R$3)*(1+$S$5)</f>
        <v>28</v>
      </c>
      <c r="V401" s="4">
        <f>(Q401*$Q$4+R401*$R$4)*(1+$S$5)</f>
        <v>28</v>
      </c>
      <c r="W401" s="8">
        <f>(R401*$Q$5+S401*$R$5)*($S$5)+X401</f>
        <v>3</v>
      </c>
      <c r="X401" s="9">
        <v>3</v>
      </c>
    </row>
    <row r="402" spans="16:24">
      <c r="P402" s="5">
        <f t="shared" si="6"/>
        <v>39.5000000000003</v>
      </c>
      <c r="Q402" s="3">
        <v>9</v>
      </c>
      <c r="R402" s="3">
        <v>10</v>
      </c>
      <c r="S402" s="1">
        <f>Q402*$Q$2+R402*$R$2</f>
        <v>25.75</v>
      </c>
      <c r="T402" s="7">
        <f>S402*(1+$S$5)</f>
        <v>25.75</v>
      </c>
      <c r="U402" s="7">
        <f>(Q402*$Q$3+R402*$R$3)*(1+$S$5)</f>
        <v>28</v>
      </c>
      <c r="V402" s="4">
        <f>(Q402*$Q$4+R402*$R$4)*(1+$S$5)</f>
        <v>28</v>
      </c>
      <c r="W402" s="8">
        <f>(R402*$Q$5+S402*$R$5)*($S$5)+X402</f>
        <v>3</v>
      </c>
      <c r="X402" s="9">
        <v>3</v>
      </c>
    </row>
    <row r="403" spans="16:24">
      <c r="P403" s="5">
        <f t="shared" si="6"/>
        <v>39.6000000000003</v>
      </c>
      <c r="Q403" s="3">
        <v>9</v>
      </c>
      <c r="R403" s="3">
        <v>10</v>
      </c>
      <c r="S403" s="1">
        <f>Q403*$Q$2+R403*$R$2</f>
        <v>25.75</v>
      </c>
      <c r="T403" s="7">
        <f>S403*(1+$S$5)</f>
        <v>25.75</v>
      </c>
      <c r="U403" s="7">
        <f>(Q403*$Q$3+R403*$R$3)*(1+$S$5)</f>
        <v>28</v>
      </c>
      <c r="V403" s="4">
        <f>(Q403*$Q$4+R403*$R$4)*(1+$S$5)</f>
        <v>28</v>
      </c>
      <c r="W403" s="8">
        <f>(R403*$Q$5+S403*$R$5)*($S$5)+X403</f>
        <v>3</v>
      </c>
      <c r="X403" s="9">
        <v>3</v>
      </c>
    </row>
    <row r="404" spans="16:24">
      <c r="P404" s="5">
        <f t="shared" si="6"/>
        <v>39.7000000000003</v>
      </c>
      <c r="Q404" s="3">
        <v>9</v>
      </c>
      <c r="R404" s="3">
        <v>10</v>
      </c>
      <c r="S404" s="1">
        <f>Q404*$Q$2+R404*$R$2</f>
        <v>25.75</v>
      </c>
      <c r="T404" s="7">
        <f>S404*(1+$S$5)</f>
        <v>25.75</v>
      </c>
      <c r="U404" s="7">
        <f>(Q404*$Q$3+R404*$R$3)*(1+$S$5)</f>
        <v>28</v>
      </c>
      <c r="V404" s="4">
        <f>(Q404*$Q$4+R404*$R$4)*(1+$S$5)</f>
        <v>28</v>
      </c>
      <c r="W404" s="8">
        <f>(R404*$Q$5+S404*$R$5)*($S$5)+X404</f>
        <v>3</v>
      </c>
      <c r="X404" s="9">
        <v>3</v>
      </c>
    </row>
    <row r="405" spans="16:24">
      <c r="P405" s="5">
        <f t="shared" si="6"/>
        <v>39.8000000000003</v>
      </c>
      <c r="Q405" s="3">
        <v>9</v>
      </c>
      <c r="R405" s="3">
        <v>10</v>
      </c>
      <c r="S405" s="1">
        <f>Q405*$Q$2+R405*$R$2</f>
        <v>25.75</v>
      </c>
      <c r="T405" s="7">
        <f>S405*(1+$S$5)</f>
        <v>25.75</v>
      </c>
      <c r="U405" s="7">
        <f>(Q405*$Q$3+R405*$R$3)*(1+$S$5)</f>
        <v>28</v>
      </c>
      <c r="V405" s="4">
        <f>(Q405*$Q$4+R405*$R$4)*(1+$S$5)</f>
        <v>28</v>
      </c>
      <c r="W405" s="8">
        <f>(R405*$Q$5+S405*$R$5)*($S$5)+X405</f>
        <v>3</v>
      </c>
      <c r="X405" s="9">
        <v>3</v>
      </c>
    </row>
    <row r="406" spans="16:24">
      <c r="P406" s="5">
        <f t="shared" si="6"/>
        <v>39.9000000000003</v>
      </c>
      <c r="Q406" s="3">
        <v>9</v>
      </c>
      <c r="R406" s="3">
        <v>10</v>
      </c>
      <c r="S406" s="1">
        <f>Q406*$Q$2+R406*$R$2</f>
        <v>25.75</v>
      </c>
      <c r="T406" s="7">
        <f>S406*(1+$S$5)</f>
        <v>25.75</v>
      </c>
      <c r="U406" s="7">
        <f>(Q406*$Q$3+R406*$R$3)*(1+$S$5)</f>
        <v>28</v>
      </c>
      <c r="V406" s="4">
        <f>(Q406*$Q$4+R406*$R$4)*(1+$S$5)</f>
        <v>28</v>
      </c>
      <c r="W406" s="8">
        <f>(R406*$Q$5+S406*$R$5)*($S$5)+X406</f>
        <v>3</v>
      </c>
      <c r="X406" s="9">
        <v>3</v>
      </c>
    </row>
    <row r="407" spans="16:24">
      <c r="P407" s="5">
        <f t="shared" si="6"/>
        <v>40.0000000000003</v>
      </c>
      <c r="Q407" s="3">
        <v>9</v>
      </c>
      <c r="R407" s="3">
        <v>10</v>
      </c>
      <c r="S407" s="1">
        <f>Q407*$Q$2+R407*$R$2</f>
        <v>25.75</v>
      </c>
      <c r="T407" s="7">
        <f>S407*(1+$S$5)</f>
        <v>25.75</v>
      </c>
      <c r="U407" s="7">
        <f>(Q407*$Q$3+R407*$R$3)*(1+$S$5)</f>
        <v>28</v>
      </c>
      <c r="V407" s="4">
        <f>(Q407*$Q$4+R407*$R$4)*(1+$S$5)</f>
        <v>28</v>
      </c>
      <c r="W407" s="8">
        <f>(R407*$Q$5+S407*$R$5)*($S$5)+X407</f>
        <v>3</v>
      </c>
      <c r="X407" s="9">
        <v>3</v>
      </c>
    </row>
    <row r="408" spans="16:24">
      <c r="P408" s="5">
        <f t="shared" si="6"/>
        <v>40.1000000000003</v>
      </c>
      <c r="Q408" s="3">
        <v>9</v>
      </c>
      <c r="R408" s="3">
        <v>10</v>
      </c>
      <c r="S408" s="1">
        <f>Q408*$Q$2+R408*$R$2</f>
        <v>25.75</v>
      </c>
      <c r="T408" s="7">
        <f>S408*(1+$S$5)</f>
        <v>25.75</v>
      </c>
      <c r="U408" s="7">
        <f>(Q408*$Q$3+R408*$R$3)*(1+$S$5)</f>
        <v>28</v>
      </c>
      <c r="V408" s="4">
        <f>(Q408*$Q$4+R408*$R$4)*(1+$S$5)</f>
        <v>28</v>
      </c>
      <c r="W408" s="8">
        <f>(R408*$Q$5+S408*$R$5)*($S$5)+X408</f>
        <v>3</v>
      </c>
      <c r="X408" s="9">
        <v>3</v>
      </c>
    </row>
    <row r="409" spans="16:24">
      <c r="P409" s="5">
        <f t="shared" si="6"/>
        <v>40.2000000000003</v>
      </c>
      <c r="Q409" s="3">
        <v>9</v>
      </c>
      <c r="R409" s="3">
        <v>10</v>
      </c>
      <c r="S409" s="1">
        <f>Q409*$Q$2+R409*$R$2</f>
        <v>25.75</v>
      </c>
      <c r="T409" s="7">
        <f>S409*(1+$S$5)</f>
        <v>25.75</v>
      </c>
      <c r="U409" s="7">
        <f>(Q409*$Q$3+R409*$R$3)*(1+$S$5)</f>
        <v>28</v>
      </c>
      <c r="V409" s="4">
        <f>(Q409*$Q$4+R409*$R$4)*(1+$S$5)</f>
        <v>28</v>
      </c>
      <c r="W409" s="8">
        <f>(R409*$Q$5+S409*$R$5)*($S$5)+X409</f>
        <v>3</v>
      </c>
      <c r="X409" s="9">
        <v>3</v>
      </c>
    </row>
    <row r="410" spans="16:24">
      <c r="P410" s="5">
        <f t="shared" si="6"/>
        <v>40.3000000000003</v>
      </c>
      <c r="Q410" s="3">
        <v>9</v>
      </c>
      <c r="R410" s="3">
        <v>10</v>
      </c>
      <c r="S410" s="1">
        <f>Q410*$Q$2+R410*$R$2</f>
        <v>25.75</v>
      </c>
      <c r="T410" s="7">
        <f>S410*(1+$S$5)</f>
        <v>25.75</v>
      </c>
      <c r="U410" s="7">
        <f>(Q410*$Q$3+R410*$R$3)*(1+$S$5)</f>
        <v>28</v>
      </c>
      <c r="V410" s="4">
        <f>(Q410*$Q$4+R410*$R$4)*(1+$S$5)</f>
        <v>28</v>
      </c>
      <c r="W410" s="8">
        <f>(R410*$Q$5+S410*$R$5)*($S$5)+X410</f>
        <v>3</v>
      </c>
      <c r="X410" s="9">
        <v>3</v>
      </c>
    </row>
    <row r="411" spans="16:24">
      <c r="P411" s="5">
        <f t="shared" si="6"/>
        <v>40.4000000000003</v>
      </c>
      <c r="Q411" s="3">
        <v>9</v>
      </c>
      <c r="R411" s="3">
        <v>10</v>
      </c>
      <c r="S411" s="1">
        <f>Q411*$Q$2+R411*$R$2</f>
        <v>25.75</v>
      </c>
      <c r="T411" s="7">
        <f>S411*(1+$S$5)</f>
        <v>25.75</v>
      </c>
      <c r="U411" s="7">
        <f>(Q411*$Q$3+R411*$R$3)*(1+$S$5)</f>
        <v>28</v>
      </c>
      <c r="V411" s="4">
        <f>(Q411*$Q$4+R411*$R$4)*(1+$S$5)</f>
        <v>28</v>
      </c>
      <c r="W411" s="8">
        <f>(R411*$Q$5+S411*$R$5)*($S$5)+X411</f>
        <v>3</v>
      </c>
      <c r="X411" s="9">
        <v>3</v>
      </c>
    </row>
    <row r="412" spans="16:24">
      <c r="P412" s="5">
        <f t="shared" si="6"/>
        <v>40.5000000000003</v>
      </c>
      <c r="Q412" s="3">
        <v>9</v>
      </c>
      <c r="R412" s="3">
        <v>10</v>
      </c>
      <c r="S412" s="1">
        <f>Q412*$Q$2+R412*$R$2</f>
        <v>25.75</v>
      </c>
      <c r="T412" s="7">
        <f>S412*(1+$S$5)</f>
        <v>25.75</v>
      </c>
      <c r="U412" s="7">
        <f>(Q412*$Q$3+R412*$R$3)*(1+$S$5)</f>
        <v>28</v>
      </c>
      <c r="V412" s="4">
        <f>(Q412*$Q$4+R412*$R$4)*(1+$S$5)</f>
        <v>28</v>
      </c>
      <c r="W412" s="8">
        <f>(R412*$Q$5+S412*$R$5)*($S$5)+X412</f>
        <v>3</v>
      </c>
      <c r="X412" s="9">
        <v>3</v>
      </c>
    </row>
    <row r="413" spans="16:24">
      <c r="P413" s="5">
        <f t="shared" si="6"/>
        <v>40.6000000000003</v>
      </c>
      <c r="Q413" s="3">
        <v>9</v>
      </c>
      <c r="R413" s="3">
        <v>10</v>
      </c>
      <c r="S413" s="1">
        <f>Q413*$Q$2+R413*$R$2</f>
        <v>25.75</v>
      </c>
      <c r="T413" s="7">
        <f>S413*(1+$S$5)</f>
        <v>25.75</v>
      </c>
      <c r="U413" s="7">
        <f>(Q413*$Q$3+R413*$R$3)*(1+$S$5)</f>
        <v>28</v>
      </c>
      <c r="V413" s="4">
        <f>(Q413*$Q$4+R413*$R$4)*(1+$S$5)</f>
        <v>28</v>
      </c>
      <c r="W413" s="8">
        <f>(R413*$Q$5+S413*$R$5)*($S$5)+X413</f>
        <v>3</v>
      </c>
      <c r="X413" s="9">
        <v>3</v>
      </c>
    </row>
    <row r="414" spans="16:24">
      <c r="P414" s="5">
        <f t="shared" si="6"/>
        <v>40.7000000000003</v>
      </c>
      <c r="Q414" s="3">
        <v>9</v>
      </c>
      <c r="R414" s="3">
        <v>10</v>
      </c>
      <c r="S414" s="1">
        <f>Q414*$Q$2+R414*$R$2</f>
        <v>25.75</v>
      </c>
      <c r="T414" s="7">
        <f>S414*(1+$S$5)</f>
        <v>25.75</v>
      </c>
      <c r="U414" s="7">
        <f>(Q414*$Q$3+R414*$R$3)*(1+$S$5)</f>
        <v>28</v>
      </c>
      <c r="V414" s="4">
        <f>(Q414*$Q$4+R414*$R$4)*(1+$S$5)</f>
        <v>28</v>
      </c>
      <c r="W414" s="8">
        <f>(R414*$Q$5+S414*$R$5)*($S$5)+X414</f>
        <v>3</v>
      </c>
      <c r="X414" s="9">
        <v>3</v>
      </c>
    </row>
    <row r="415" spans="16:24">
      <c r="P415" s="5">
        <f t="shared" si="6"/>
        <v>40.8000000000003</v>
      </c>
      <c r="Q415" s="3">
        <v>9</v>
      </c>
      <c r="R415" s="3">
        <v>10</v>
      </c>
      <c r="S415" s="1">
        <f>Q415*$Q$2+R415*$R$2</f>
        <v>25.75</v>
      </c>
      <c r="T415" s="7">
        <f>S415*(1+$S$5)</f>
        <v>25.75</v>
      </c>
      <c r="U415" s="7">
        <f>(Q415*$Q$3+R415*$R$3)*(1+$S$5)</f>
        <v>28</v>
      </c>
      <c r="V415" s="4">
        <f>(Q415*$Q$4+R415*$R$4)*(1+$S$5)</f>
        <v>28</v>
      </c>
      <c r="W415" s="8">
        <f>(R415*$Q$5+S415*$R$5)*($S$5)+X415</f>
        <v>3</v>
      </c>
      <c r="X415" s="9">
        <v>3</v>
      </c>
    </row>
    <row r="416" spans="16:24">
      <c r="P416" s="5">
        <f t="shared" si="6"/>
        <v>40.9000000000003</v>
      </c>
      <c r="Q416" s="3">
        <v>9</v>
      </c>
      <c r="R416" s="3">
        <v>10</v>
      </c>
      <c r="S416" s="1">
        <f>Q416*$Q$2+R416*$R$2</f>
        <v>25.75</v>
      </c>
      <c r="T416" s="7">
        <f>S416*(1+$S$5)</f>
        <v>25.75</v>
      </c>
      <c r="U416" s="7">
        <f>(Q416*$Q$3+R416*$R$3)*(1+$S$5)</f>
        <v>28</v>
      </c>
      <c r="V416" s="4">
        <f>(Q416*$Q$4+R416*$R$4)*(1+$S$5)</f>
        <v>28</v>
      </c>
      <c r="W416" s="8">
        <f>(R416*$Q$5+S416*$R$5)*($S$5)+X416</f>
        <v>3</v>
      </c>
      <c r="X416" s="9">
        <v>3</v>
      </c>
    </row>
    <row r="417" spans="16:24">
      <c r="P417" s="5">
        <f t="shared" si="6"/>
        <v>41.0000000000003</v>
      </c>
      <c r="Q417" s="3">
        <v>9</v>
      </c>
      <c r="R417" s="3">
        <v>10</v>
      </c>
      <c r="S417" s="1">
        <f>Q417*$Q$2+R417*$R$2</f>
        <v>25.75</v>
      </c>
      <c r="T417" s="7">
        <f>S417*(1+$S$5)</f>
        <v>25.75</v>
      </c>
      <c r="U417" s="7">
        <f>(Q417*$Q$3+R417*$R$3)*(1+$S$5)</f>
        <v>28</v>
      </c>
      <c r="V417" s="4">
        <f>(Q417*$Q$4+R417*$R$4)*(1+$S$5)</f>
        <v>28</v>
      </c>
      <c r="W417" s="8">
        <f>(R417*$Q$5+S417*$R$5)*($S$5)+X417</f>
        <v>3</v>
      </c>
      <c r="X417" s="9">
        <v>3</v>
      </c>
    </row>
    <row r="418" spans="16:24">
      <c r="P418" s="5">
        <f t="shared" si="6"/>
        <v>41.1000000000003</v>
      </c>
      <c r="Q418" s="3">
        <v>9</v>
      </c>
      <c r="R418" s="3">
        <v>10</v>
      </c>
      <c r="S418" s="1">
        <f>Q418*$Q$2+R418*$R$2</f>
        <v>25.75</v>
      </c>
      <c r="T418" s="7">
        <f>S418*(1+$S$5)</f>
        <v>25.75</v>
      </c>
      <c r="U418" s="7">
        <f>(Q418*$Q$3+R418*$R$3)*(1+$S$5)</f>
        <v>28</v>
      </c>
      <c r="V418" s="4">
        <f>(Q418*$Q$4+R418*$R$4)*(1+$S$5)</f>
        <v>28</v>
      </c>
      <c r="W418" s="8">
        <f>(R418*$Q$5+S418*$R$5)*($S$5)+X418</f>
        <v>3</v>
      </c>
      <c r="X418" s="9">
        <v>3</v>
      </c>
    </row>
    <row r="419" spans="16:24">
      <c r="P419" s="5">
        <f t="shared" si="6"/>
        <v>41.2000000000003</v>
      </c>
      <c r="Q419" s="3">
        <v>9</v>
      </c>
      <c r="R419" s="3">
        <v>10</v>
      </c>
      <c r="S419" s="1">
        <f>Q419*$Q$2+R419*$R$2</f>
        <v>25.75</v>
      </c>
      <c r="T419" s="7">
        <f>S419*(1+$S$5)</f>
        <v>25.75</v>
      </c>
      <c r="U419" s="7">
        <f>(Q419*$Q$3+R419*$R$3)*(1+$S$5)</f>
        <v>28</v>
      </c>
      <c r="V419" s="4">
        <f>(Q419*$Q$4+R419*$R$4)*(1+$S$5)</f>
        <v>28</v>
      </c>
      <c r="W419" s="8">
        <f>(R419*$Q$5+S419*$R$5)*($S$5)+X419</f>
        <v>3</v>
      </c>
      <c r="X419" s="9">
        <v>3</v>
      </c>
    </row>
    <row r="420" spans="16:24">
      <c r="P420" s="5">
        <f t="shared" si="6"/>
        <v>41.3000000000003</v>
      </c>
      <c r="Q420" s="3">
        <v>9</v>
      </c>
      <c r="R420" s="3">
        <v>10</v>
      </c>
      <c r="S420" s="1">
        <f>Q420*$Q$2+R420*$R$2</f>
        <v>25.75</v>
      </c>
      <c r="T420" s="7">
        <f>S420*(1+$S$5)</f>
        <v>25.75</v>
      </c>
      <c r="U420" s="7">
        <f>(Q420*$Q$3+R420*$R$3)*(1+$S$5)</f>
        <v>28</v>
      </c>
      <c r="V420" s="4">
        <f>(Q420*$Q$4+R420*$R$4)*(1+$S$5)</f>
        <v>28</v>
      </c>
      <c r="W420" s="8">
        <f>(R420*$Q$5+S420*$R$5)*($S$5)+X420</f>
        <v>3</v>
      </c>
      <c r="X420" s="9">
        <v>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user</cp:lastModifiedBy>
  <dcterms:created xsi:type="dcterms:W3CDTF">2026-06-12T10:58:00Z</dcterms:created>
  <dcterms:modified xsi:type="dcterms:W3CDTF">2026-09-15T08:50:54Z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5A1729F803AA4181B98D5768F6D972E5_12</vt:lpwstr>
  </property>
  <property fmtid="{D5CDD505-2E9C-101B-9397-08002B2CF9AE}" pid="3" name="KSOProductBuildVer">
    <vt:lpwstr>1033-12.2.0.23206</vt:lpwstr>
  </property>
</Properties>
</file>