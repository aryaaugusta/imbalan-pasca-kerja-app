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Kerjaan Arya\KKA VAB\Aplikasi\imbalan-pasca-kerja-app\data\file\"/>
    </mc:Choice>
  </mc:AlternateContent>
  <xr:revisionPtr revIDLastSave="0" documentId="13_ncr:1_{81789897-D77F-45D3-BE56-9F930C7DB3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D33" i="1" l="1"/>
  <c r="AE33" i="1" s="1"/>
  <c r="AG33" i="1" s="1"/>
  <c r="AH33" i="1" s="1"/>
  <c r="AB33" i="1"/>
  <c r="AC33" i="1" s="1"/>
  <c r="AD32" i="1"/>
  <c r="AE32" i="1" s="1"/>
  <c r="AG32" i="1" s="1"/>
  <c r="AH32" i="1" s="1"/>
  <c r="AB32" i="1"/>
  <c r="AC32" i="1" s="1"/>
  <c r="AD31" i="1"/>
  <c r="AE31" i="1" s="1"/>
  <c r="AG31" i="1" s="1"/>
  <c r="AH31" i="1" s="1"/>
  <c r="AB31" i="1"/>
  <c r="AC31" i="1" s="1"/>
  <c r="AD30" i="1"/>
  <c r="AE30" i="1" s="1"/>
  <c r="AG30" i="1" s="1"/>
  <c r="AH30" i="1" s="1"/>
  <c r="AB30" i="1"/>
  <c r="AC30" i="1" s="1"/>
  <c r="AD29" i="1"/>
  <c r="AE29" i="1" s="1"/>
  <c r="AG29" i="1" s="1"/>
  <c r="AH29" i="1" s="1"/>
  <c r="AB29" i="1"/>
  <c r="AC29" i="1" s="1"/>
  <c r="AD28" i="1"/>
  <c r="AE28" i="1" s="1"/>
  <c r="AG28" i="1" s="1"/>
  <c r="AH28" i="1" s="1"/>
  <c r="AB28" i="1"/>
  <c r="AC28" i="1" s="1"/>
  <c r="AD27" i="1"/>
  <c r="AE27" i="1" s="1"/>
  <c r="AG27" i="1" s="1"/>
  <c r="AH27" i="1" s="1"/>
  <c r="AB27" i="1"/>
  <c r="AC27" i="1" s="1"/>
  <c r="AD26" i="1"/>
  <c r="AE26" i="1" s="1"/>
  <c r="AG26" i="1" s="1"/>
  <c r="AH26" i="1" s="1"/>
  <c r="AB26" i="1"/>
  <c r="AC26" i="1" s="1"/>
  <c r="AD25" i="1"/>
  <c r="AE25" i="1" s="1"/>
  <c r="AG25" i="1" s="1"/>
  <c r="AH25" i="1" s="1"/>
  <c r="AB25" i="1"/>
  <c r="AC25" i="1" s="1"/>
  <c r="AD24" i="1"/>
  <c r="AE24" i="1" s="1"/>
  <c r="AG24" i="1" s="1"/>
  <c r="AH24" i="1" s="1"/>
  <c r="AB24" i="1"/>
  <c r="AC24" i="1" s="1"/>
  <c r="AD23" i="1"/>
  <c r="AE23" i="1" s="1"/>
  <c r="AG23" i="1" s="1"/>
  <c r="AH23" i="1" s="1"/>
  <c r="AB23" i="1"/>
  <c r="AC23" i="1" s="1"/>
  <c r="AD22" i="1"/>
  <c r="AE22" i="1" s="1"/>
  <c r="AG22" i="1" s="1"/>
  <c r="AH22" i="1" s="1"/>
  <c r="AB22" i="1"/>
  <c r="AC22" i="1" s="1"/>
  <c r="AD21" i="1"/>
  <c r="AE21" i="1" s="1"/>
  <c r="AG21" i="1" s="1"/>
  <c r="AH21" i="1" s="1"/>
  <c r="AB21" i="1"/>
  <c r="AC21" i="1" s="1"/>
  <c r="AD20" i="1"/>
  <c r="AE20" i="1" s="1"/>
  <c r="AG20" i="1" s="1"/>
  <c r="AH20" i="1" s="1"/>
  <c r="AB20" i="1"/>
  <c r="AC20" i="1" s="1"/>
  <c r="AD19" i="1"/>
  <c r="AE19" i="1" s="1"/>
  <c r="AG19" i="1" s="1"/>
  <c r="AH19" i="1" s="1"/>
  <c r="AB19" i="1"/>
  <c r="AC19" i="1" s="1"/>
  <c r="AD18" i="1"/>
  <c r="AE18" i="1" s="1"/>
  <c r="AG18" i="1" s="1"/>
  <c r="AH18" i="1" s="1"/>
  <c r="AB18" i="1"/>
  <c r="AC18" i="1" s="1"/>
  <c r="AD17" i="1"/>
  <c r="AE17" i="1" s="1"/>
  <c r="AG17" i="1" s="1"/>
  <c r="AH17" i="1" s="1"/>
  <c r="AB17" i="1"/>
  <c r="AC17" i="1" s="1"/>
  <c r="AM16" i="1"/>
  <c r="AD16" i="1"/>
  <c r="AE16" i="1" s="1"/>
  <c r="AG16" i="1" s="1"/>
  <c r="AH16" i="1" s="1"/>
  <c r="AB16" i="1"/>
  <c r="AC16" i="1" s="1"/>
  <c r="AM15" i="1"/>
  <c r="AD15" i="1"/>
  <c r="AE15" i="1" s="1"/>
  <c r="AG15" i="1" s="1"/>
  <c r="AH15" i="1" s="1"/>
  <c r="AB15" i="1"/>
  <c r="AC15" i="1" s="1"/>
  <c r="AD14" i="1"/>
  <c r="AB14" i="1"/>
  <c r="I14" i="1"/>
  <c r="I15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M13" i="1"/>
  <c r="AO13" i="1" s="1"/>
  <c r="AD13" i="1"/>
  <c r="AE13" i="1" s="1"/>
  <c r="AG13" i="1" s="1"/>
  <c r="AH13" i="1" s="1"/>
  <c r="AB13" i="1"/>
  <c r="AC13" i="1" s="1"/>
  <c r="Q13" i="1"/>
  <c r="I13" i="1"/>
  <c r="B13" i="1"/>
  <c r="AM12" i="1"/>
  <c r="AO12" i="1" s="1"/>
  <c r="AJ12" i="1"/>
  <c r="AK12" i="1" s="1"/>
  <c r="F9" i="1" s="1"/>
  <c r="AD12" i="1"/>
  <c r="AE12" i="1" s="1"/>
  <c r="AG12" i="1" s="1"/>
  <c r="AH12" i="1" s="1"/>
  <c r="AC12" i="1"/>
  <c r="AB12" i="1"/>
  <c r="F4" i="1"/>
  <c r="F3" i="1" l="1"/>
  <c r="I16" i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F8" i="1"/>
  <c r="F6" i="1"/>
  <c r="F2" i="1" l="1"/>
  <c r="F5" i="1" s="1"/>
  <c r="F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Arya Augusta</author>
  </authors>
  <commentList>
    <comment ref="D117" authorId="0" shapeId="0" xr:uid="{8D1A3EED-6DEB-4F59-A7D1-244FC4A1423E}">
      <text>
        <r>
          <rPr>
            <b/>
            <sz val="9"/>
            <color indexed="81"/>
            <rFont val="Tahoma"/>
            <charset val="1"/>
          </rPr>
          <t>Arya Augusta:</t>
        </r>
        <r>
          <rPr>
            <sz val="9"/>
            <color indexed="81"/>
            <rFont val="Tahoma"/>
            <charset val="1"/>
          </rPr>
          <t xml:space="preserve">
tidak ada tgl lahir jadi disamakan</t>
        </r>
      </text>
    </comment>
    <comment ref="D118" authorId="0" shapeId="0" xr:uid="{D98E83E4-F866-415E-BF7C-C91ED9CD2FD7}">
      <text>
        <r>
          <rPr>
            <b/>
            <sz val="9"/>
            <color indexed="81"/>
            <rFont val="Tahoma"/>
            <charset val="1"/>
          </rPr>
          <t>Arya Augusta:</t>
        </r>
        <r>
          <rPr>
            <sz val="9"/>
            <color indexed="81"/>
            <rFont val="Tahoma"/>
            <charset val="1"/>
          </rPr>
          <t xml:space="preserve">
tidak ada tgl lahir jadi disamakan</t>
        </r>
      </text>
    </comment>
  </commentList>
</comments>
</file>

<file path=xl/sharedStrings.xml><?xml version="1.0" encoding="utf-8"?>
<sst xmlns="http://schemas.openxmlformats.org/spreadsheetml/2006/main" count="82" uniqueCount="53">
  <si>
    <t>KLIEN</t>
  </si>
  <si>
    <t>KRY LAMA</t>
  </si>
  <si>
    <t xml:space="preserve">KRY BARU </t>
  </si>
  <si>
    <t xml:space="preserve">KRY RESIGN </t>
  </si>
  <si>
    <t>KRY AKTIF</t>
  </si>
  <si>
    <t xml:space="preserve">HARUSNYA </t>
  </si>
  <si>
    <t xml:space="preserve">SELISIH </t>
  </si>
  <si>
    <t>N/A</t>
  </si>
  <si>
    <t>RSGN TAPI AKTIF</t>
  </si>
  <si>
    <t>Aktif 2025</t>
  </si>
  <si>
    <t>Tgl Lahir</t>
  </si>
  <si>
    <t>Tgl Masuk</t>
  </si>
  <si>
    <t>Gaji</t>
  </si>
  <si>
    <t>Aktif 2024</t>
  </si>
  <si>
    <t>PBO</t>
  </si>
  <si>
    <t>Diskonto</t>
  </si>
  <si>
    <t>Resign 2025</t>
  </si>
  <si>
    <t>Tgl Resign</t>
  </si>
  <si>
    <t>Alasan</t>
  </si>
  <si>
    <t>Pesangon</t>
  </si>
  <si>
    <t>Uang Pisah</t>
  </si>
  <si>
    <t>Tgl pembayaran</t>
  </si>
  <si>
    <t>Aktif 2025 vs Aktif 2024</t>
  </si>
  <si>
    <t>Aktif 2024 vs Aktif 2025</t>
  </si>
  <si>
    <t>Aktif 2025 vs Resign 2025</t>
  </si>
  <si>
    <t>Resign 2025 vs Aktif 2024</t>
  </si>
  <si>
    <t>Resign</t>
  </si>
  <si>
    <t>2 888 100 057</t>
  </si>
  <si>
    <t>2 888 144 093</t>
  </si>
  <si>
    <t>2 888 122 007</t>
  </si>
  <si>
    <t>2 888 113 105</t>
  </si>
  <si>
    <t>01/08/2024</t>
  </si>
  <si>
    <t>2 888 351 026</t>
  </si>
  <si>
    <t>2 888 111 006</t>
  </si>
  <si>
    <t>2 888 122 060</t>
  </si>
  <si>
    <t>2 888 130 062</t>
  </si>
  <si>
    <t>2 888 144 064</t>
  </si>
  <si>
    <t>2 888 144 074</t>
  </si>
  <si>
    <t>2 888 122 065</t>
  </si>
  <si>
    <t>2 888 133 066</t>
  </si>
  <si>
    <t>2 888 122 051</t>
  </si>
  <si>
    <t>2 888 122 029</t>
  </si>
  <si>
    <t>2 888 122 052</t>
  </si>
  <si>
    <t>2 888 122 056</t>
  </si>
  <si>
    <t>2 888 122 092</t>
  </si>
  <si>
    <t>2 888 111 082</t>
  </si>
  <si>
    <t>2 888 130 096</t>
  </si>
  <si>
    <t>2 888 122 100</t>
  </si>
  <si>
    <t>2 888 112 086</t>
  </si>
  <si>
    <t>2 888 111 097</t>
  </si>
  <si>
    <t>2 888 111 083</t>
  </si>
  <si>
    <t>2 888 133 116</t>
  </si>
  <si>
    <t>PT SOMA DAYA 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</si>
</sst>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7" formatCode="_-* #,##0.0_-;\-* #,##0.0_-;_-* &quot;-&quot;_-;_-@_-"/>
    <numFmt numFmtId="168" formatCode="dd/mm/yyyy;@"/>
    <numFmt numFmtId="169" formatCode="_-* #,##0_-;\-* #,##0_-;_-* &quot;-&quot;??_-;_-@_-"/>
    <numFmt numFmtId="170" formatCode="_(* #,##0_);_(* \(#,##0\);_(* &quot;-&quot;??_);_(@_)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16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12" fillId="0" borderId="0" applyFont="0" applyFill="0" applyBorder="0" applyAlignment="0" applyProtection="0"/>
  </cellStyleXfs>
  <cellXfs count="111">
    <xf numFmtId="0" fontId="0" fillId="0" borderId="0" xfId="0">
      <alignment vertical="center"/>
    </xf>
    <xf numFmtId="1" fontId="3" fillId="0" borderId="0" xfId="0" applyNumberFormat="1" applyFont="1" applyAlignment="1">
      <alignment horizontal="left"/>
    </xf>
    <xf numFmtId="0" fontId="4" fillId="0" borderId="0" xfId="0" applyFont="1" applyAlignment="1"/>
    <xf numFmtId="0" fontId="3" fillId="0" borderId="0" xfId="0" applyFont="1" applyAlignment="1"/>
    <xf numFmtId="167" fontId="5" fillId="0" borderId="0" xfId="5" applyNumberFormat="1" applyFont="1" applyFill="1"/>
    <xf numFmtId="49" fontId="5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14" fontId="7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/>
    <xf numFmtId="0" fontId="8" fillId="0" borderId="0" xfId="0" applyFont="1" applyAlignment="1"/>
    <xf numFmtId="165" fontId="8" fillId="0" borderId="0" xfId="3" applyFont="1" applyFill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/>
    <xf numFmtId="41" fontId="7" fillId="0" borderId="0" xfId="5" applyFont="1" applyFill="1" applyAlignment="1"/>
    <xf numFmtId="1" fontId="5" fillId="0" borderId="0" xfId="0" applyNumberFormat="1" applyFont="1" applyAlignment="1"/>
    <xf numFmtId="0" fontId="10" fillId="0" borderId="0" xfId="0" applyFont="1" applyAlignment="1"/>
    <xf numFmtId="1" fontId="3" fillId="0" borderId="0" xfId="0" applyNumberFormat="1" applyFont="1" applyAlignment="1"/>
    <xf numFmtId="10" fontId="11" fillId="0" borderId="0" xfId="2" applyNumberFormat="1" applyFont="1" applyFill="1" applyAlignment="1"/>
    <xf numFmtId="165" fontId="11" fillId="0" borderId="0" xfId="3" applyFont="1" applyFill="1" applyAlignment="1">
      <alignment horizontal="left"/>
    </xf>
    <xf numFmtId="10" fontId="8" fillId="0" borderId="0" xfId="2" applyNumberFormat="1" applyFont="1" applyFill="1" applyAlignment="1"/>
    <xf numFmtId="165" fontId="8" fillId="0" borderId="0" xfId="3" applyFont="1" applyFill="1" applyAlignment="1">
      <alignment horizontal="left" vertical="center"/>
    </xf>
    <xf numFmtId="0" fontId="5" fillId="0" borderId="0" xfId="0" applyFont="1" applyAlignment="1">
      <alignment horizontal="center" wrapText="1"/>
    </xf>
    <xf numFmtId="168" fontId="8" fillId="0" borderId="0" xfId="0" applyNumberFormat="1" applyFont="1">
      <alignment vertical="center"/>
    </xf>
    <xf numFmtId="1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" fontId="3" fillId="0" borderId="0" xfId="4" applyNumberFormat="1" applyFont="1" applyFill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>
      <alignment vertical="center"/>
    </xf>
    <xf numFmtId="168" fontId="8" fillId="0" borderId="0" xfId="0" applyNumberFormat="1" applyFont="1" applyAlignment="1">
      <alignment horizontal="left" vertical="center"/>
    </xf>
    <xf numFmtId="1" fontId="8" fillId="0" borderId="0" xfId="0" applyNumberFormat="1" applyFont="1">
      <alignment vertical="center"/>
    </xf>
    <xf numFmtId="14" fontId="6" fillId="0" borderId="0" xfId="0" quotePrefix="1" applyNumberFormat="1" applyFont="1">
      <alignment vertical="center"/>
    </xf>
    <xf numFmtId="0" fontId="8" fillId="0" borderId="0" xfId="0" quotePrefix="1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1" fontId="1" fillId="0" borderId="0" xfId="0" applyNumberFormat="1" applyFont="1" applyAlignment="1"/>
    <xf numFmtId="1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4" fontId="1" fillId="0" borderId="0" xfId="0" applyNumberFormat="1" applyFont="1" applyAlignment="1"/>
    <xf numFmtId="49" fontId="1" fillId="0" borderId="0" xfId="0" applyNumberFormat="1" applyFont="1" applyAlignment="1"/>
    <xf numFmtId="14" fontId="1" fillId="0" borderId="0" xfId="0" applyNumberFormat="1" applyFont="1" applyAlignment="1">
      <alignment horizontal="center"/>
    </xf>
    <xf numFmtId="168" fontId="1" fillId="0" borderId="0" xfId="0" applyNumberFormat="1" applyFont="1" applyAlignment="1"/>
    <xf numFmtId="0" fontId="8" fillId="0" borderId="0" xfId="0" quotePrefix="1" applyFont="1" applyAlignment="1">
      <alignment horizontal="left" vertical="center"/>
    </xf>
    <xf numFmtId="168" fontId="8" fillId="0" borderId="0" xfId="0" quotePrefix="1" applyNumberFormat="1" applyFont="1" applyAlignment="1"/>
    <xf numFmtId="168" fontId="8" fillId="0" borderId="0" xfId="0" applyNumberFormat="1" applyFont="1" applyAlignment="1"/>
    <xf numFmtId="165" fontId="1" fillId="0" borderId="0" xfId="3" quotePrefix="1" applyFont="1" applyFill="1" applyAlignment="1">
      <alignment horizontal="left" vertical="top" wrapText="1"/>
    </xf>
    <xf numFmtId="165" fontId="1" fillId="0" borderId="0" xfId="3" applyFont="1" applyFill="1" applyAlignment="1">
      <alignment horizontal="left" vertical="top" wrapText="1"/>
    </xf>
    <xf numFmtId="10" fontId="1" fillId="0" borderId="0" xfId="2" applyNumberFormat="1" applyFont="1" applyFill="1" applyAlignment="1">
      <alignment wrapText="1"/>
    </xf>
    <xf numFmtId="165" fontId="1" fillId="0" borderId="0" xfId="3" applyFont="1" applyAlignment="1">
      <alignment horizontal="left" vertical="top" wrapText="1"/>
    </xf>
    <xf numFmtId="168" fontId="8" fillId="0" borderId="0" xfId="0" quotePrefix="1" applyNumberFormat="1" applyFont="1">
      <alignment vertical="center"/>
    </xf>
    <xf numFmtId="165" fontId="8" fillId="0" borderId="0" xfId="3" applyFont="1" applyAlignment="1">
      <alignment vertical="center"/>
    </xf>
    <xf numFmtId="0" fontId="1" fillId="0" borderId="0" xfId="4" applyNumberFormat="1" applyFont="1" applyBorder="1" applyAlignment="1"/>
    <xf numFmtId="170" fontId="14" fillId="0" borderId="0" xfId="1" applyNumberFormat="1" applyFont="1" applyBorder="1" applyAlignment="1"/>
    <xf numFmtId="0" fontId="1" fillId="0" borderId="0" xfId="4" applyNumberFormat="1" applyFont="1" applyFill="1" applyAlignment="1"/>
    <xf numFmtId="0" fontId="1" fillId="0" borderId="0" xfId="4" applyNumberFormat="1" applyFont="1" applyFill="1" applyAlignment="1">
      <alignment horizontal="left"/>
    </xf>
    <xf numFmtId="10" fontId="1" fillId="0" borderId="0" xfId="2" quotePrefix="1" applyNumberFormat="1" applyFont="1" applyFill="1" applyAlignment="1">
      <alignment wrapText="1"/>
    </xf>
    <xf numFmtId="165" fontId="1" fillId="0" borderId="0" xfId="3" quotePrefix="1" applyFont="1" applyAlignment="1">
      <alignment horizontal="left" vertical="top" wrapText="1"/>
    </xf>
    <xf numFmtId="168" fontId="1" fillId="0" borderId="0" xfId="0" applyNumberFormat="1" applyFont="1">
      <alignment vertical="center"/>
    </xf>
    <xf numFmtId="165" fontId="1" fillId="0" borderId="0" xfId="3" applyFont="1" applyAlignment="1">
      <alignment vertical="center"/>
    </xf>
    <xf numFmtId="165" fontId="11" fillId="0" borderId="0" xfId="3" applyFont="1" applyAlignment="1">
      <alignment horizontal="left"/>
    </xf>
    <xf numFmtId="165" fontId="1" fillId="0" borderId="0" xfId="3" applyFont="1" applyAlignment="1"/>
    <xf numFmtId="14" fontId="1" fillId="0" borderId="0" xfId="4" applyNumberFormat="1" applyFont="1" applyFill="1" applyAlignment="1">
      <alignment horizontal="left"/>
    </xf>
    <xf numFmtId="1" fontId="1" fillId="0" borderId="0" xfId="0" applyNumberFormat="1" applyFont="1" applyAlignment="1">
      <alignment vertical="top" wrapText="1"/>
    </xf>
    <xf numFmtId="169" fontId="1" fillId="0" borderId="0" xfId="4" applyNumberFormat="1" applyFont="1" applyBorder="1" applyAlignment="1">
      <alignment horizontal="center" vertical="center"/>
    </xf>
    <xf numFmtId="168" fontId="1" fillId="0" borderId="0" xfId="3" applyNumberFormat="1" applyFont="1" applyAlignment="1"/>
    <xf numFmtId="165" fontId="8" fillId="0" borderId="0" xfId="3" applyFont="1" applyAlignment="1">
      <alignment horizontal="left" vertical="center"/>
    </xf>
    <xf numFmtId="49" fontId="1" fillId="0" borderId="0" xfId="0" applyNumberFormat="1" applyFont="1" applyAlignment="1">
      <alignment horizontal="left"/>
    </xf>
    <xf numFmtId="165" fontId="8" fillId="0" borderId="0" xfId="3" applyFont="1" applyBorder="1" applyAlignment="1">
      <alignment vertical="center"/>
    </xf>
    <xf numFmtId="165" fontId="1" fillId="0" borderId="0" xfId="3" applyFont="1" applyFill="1" applyAlignment="1"/>
    <xf numFmtId="165" fontId="1" fillId="0" borderId="0" xfId="3" applyFont="1" applyBorder="1" applyAlignment="1"/>
    <xf numFmtId="165" fontId="1" fillId="0" borderId="0" xfId="3" applyFont="1" applyFill="1" applyAlignment="1">
      <alignment horizontal="center"/>
    </xf>
    <xf numFmtId="165" fontId="1" fillId="0" borderId="0" xfId="3" applyFont="1" applyAlignment="1">
      <alignment horizontal="center"/>
    </xf>
    <xf numFmtId="49" fontId="1" fillId="0" borderId="0" xfId="0" applyNumberFormat="1" applyFont="1">
      <alignment vertical="center"/>
    </xf>
    <xf numFmtId="165" fontId="1" fillId="0" borderId="0" xfId="3" applyFont="1" applyFill="1" applyAlignment="1">
      <alignment horizontal="center" vertical="center"/>
    </xf>
    <xf numFmtId="49" fontId="1" fillId="0" borderId="0" xfId="0" quotePrefix="1" applyNumberFormat="1" applyFont="1">
      <alignment vertical="center"/>
    </xf>
    <xf numFmtId="168" fontId="1" fillId="0" borderId="0" xfId="0" quotePrefix="1" applyNumberFormat="1" applyFont="1">
      <alignment vertical="center"/>
    </xf>
    <xf numFmtId="49" fontId="1" fillId="0" borderId="0" xfId="0" applyNumberFormat="1" applyFont="1" applyAlignment="1">
      <alignment horizontal="left" vertical="center"/>
    </xf>
    <xf numFmtId="168" fontId="1" fillId="0" borderId="0" xfId="0" applyNumberFormat="1" applyFont="1" applyAlignment="1">
      <alignment horizontal="left" vertical="center"/>
    </xf>
    <xf numFmtId="165" fontId="1" fillId="0" borderId="0" xfId="3" applyFont="1" applyFill="1" applyAlignment="1">
      <alignment horizontal="left" vertical="center"/>
    </xf>
    <xf numFmtId="10" fontId="1" fillId="0" borderId="0" xfId="2" applyNumberFormat="1" applyFont="1" applyFill="1" applyAlignment="1"/>
    <xf numFmtId="165" fontId="1" fillId="0" borderId="0" xfId="3" applyFont="1" applyAlignment="1">
      <alignment horizontal="left" vertical="center"/>
    </xf>
    <xf numFmtId="49" fontId="1" fillId="0" borderId="0" xfId="0" quotePrefix="1" applyNumberFormat="1" applyFont="1" applyAlignment="1">
      <alignment horizontal="left" vertical="center"/>
    </xf>
    <xf numFmtId="168" fontId="1" fillId="0" borderId="0" xfId="0" quotePrefix="1" applyNumberFormat="1" applyFont="1" applyAlignment="1">
      <alignment horizontal="left" vertical="center"/>
    </xf>
    <xf numFmtId="165" fontId="1" fillId="0" borderId="0" xfId="3" quotePrefix="1" applyFont="1" applyFill="1" applyAlignment="1">
      <alignment horizontal="left" vertical="center"/>
    </xf>
    <xf numFmtId="10" fontId="1" fillId="0" borderId="0" xfId="2" quotePrefix="1" applyNumberFormat="1" applyFont="1" applyFill="1" applyAlignment="1"/>
    <xf numFmtId="165" fontId="1" fillId="0" borderId="0" xfId="3" applyFont="1" applyFill="1" applyBorder="1" applyAlignment="1"/>
    <xf numFmtId="49" fontId="8" fillId="0" borderId="0" xfId="0" quotePrefix="1" applyNumberFormat="1" applyFont="1">
      <alignment vertical="center"/>
    </xf>
    <xf numFmtId="49" fontId="8" fillId="0" borderId="0" xfId="0" quotePrefix="1" applyNumberFormat="1" applyFont="1" applyAlignment="1">
      <alignment horizontal="left" vertical="center"/>
    </xf>
    <xf numFmtId="168" fontId="8" fillId="0" borderId="0" xfId="0" quotePrefix="1" applyNumberFormat="1" applyFont="1" applyAlignment="1">
      <alignment horizontal="left" vertical="center"/>
    </xf>
    <xf numFmtId="165" fontId="8" fillId="0" borderId="0" xfId="3" quotePrefix="1" applyFont="1" applyFill="1" applyAlignment="1">
      <alignment horizontal="left" vertical="center"/>
    </xf>
    <xf numFmtId="10" fontId="8" fillId="0" borderId="0" xfId="2" quotePrefix="1" applyNumberFormat="1" applyFont="1" applyFill="1" applyAlignment="1"/>
    <xf numFmtId="165" fontId="8" fillId="0" borderId="0" xfId="3" quotePrefix="1" applyFont="1" applyAlignment="1">
      <alignment horizontal="left" vertical="center"/>
    </xf>
    <xf numFmtId="165" fontId="8" fillId="0" borderId="0" xfId="3" applyFont="1" applyAlignment="1">
      <alignment horizontal="center" vertical="center"/>
    </xf>
    <xf numFmtId="168" fontId="1" fillId="0" borderId="0" xfId="0" applyNumberFormat="1" applyFont="1" applyAlignment="1">
      <alignment horizontal="left"/>
    </xf>
    <xf numFmtId="165" fontId="1" fillId="0" borderId="0" xfId="3" applyFont="1" applyFill="1" applyAlignment="1">
      <alignment horizontal="left"/>
    </xf>
    <xf numFmtId="165" fontId="1" fillId="0" borderId="0" xfId="3" applyFont="1" applyAlignment="1">
      <alignment horizontal="left"/>
    </xf>
    <xf numFmtId="0" fontId="1" fillId="2" borderId="0" xfId="4" applyNumberFormat="1" applyFont="1" applyFill="1" applyAlignment="1">
      <alignment horizontal="left"/>
    </xf>
    <xf numFmtId="14" fontId="1" fillId="2" borderId="0" xfId="0" applyNumberFormat="1" applyFont="1" applyFill="1" applyAlignment="1"/>
    <xf numFmtId="0" fontId="1" fillId="2" borderId="0" xfId="0" applyFont="1" applyFill="1" applyAlignment="1"/>
    <xf numFmtId="1" fontId="1" fillId="0" borderId="0" xfId="4" applyNumberFormat="1" applyFont="1" applyFill="1" applyAlignment="1">
      <alignment horizontal="left"/>
    </xf>
    <xf numFmtId="14" fontId="5" fillId="0" borderId="0" xfId="0" applyNumberFormat="1" applyFont="1" applyAlignment="1"/>
  </cellXfs>
  <cellStyles count="7">
    <cellStyle name="Comma" xfId="1" builtinId="3"/>
    <cellStyle name="Comma [0]" xfId="3" builtinId="6"/>
    <cellStyle name="Comma [0] 4" xfId="5" xr:uid="{00000000-0005-0000-0000-000032000000}"/>
    <cellStyle name="Comma [0] 9 2" xfId="6" xr:uid="{00000000-0005-0000-0000-000033000000}"/>
    <cellStyle name="Comma 2 2" xfId="4" xr:uid="{00000000-0005-0000-0000-000031000000}"/>
    <cellStyle name="Normal" xfId="0" builtinId="0"/>
    <cellStyle name="Percent" xfId="2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935"/>
  <sheetViews>
    <sheetView tabSelected="1" workbookViewId="0">
      <selection activeCell="F2" sqref="F2"/>
    </sheetView>
  </sheetViews>
  <sheetFormatPr defaultRowHeight="15"/>
  <cols>
    <col min="1" max="1" width="1.85546875" style="43" customWidth="1"/>
    <col min="2" max="2" width="4" style="43" bestFit="1" customWidth="1"/>
    <col min="3" max="3" width="12.28515625" style="43" bestFit="1" customWidth="1"/>
    <col min="4" max="4" width="10.7109375" style="43" bestFit="1" customWidth="1"/>
    <col min="5" max="5" width="16" style="50" bestFit="1" customWidth="1"/>
    <col min="6" max="6" width="12.5703125" style="50" bestFit="1" customWidth="1"/>
    <col min="7" max="7" width="12.5703125" style="50" customWidth="1"/>
    <col min="8" max="8" width="3.7109375" style="50" customWidth="1"/>
    <col min="9" max="9" width="4" style="43" bestFit="1" customWidth="1"/>
    <col min="10" max="10" width="12.28515625" style="44" bestFit="1" customWidth="1"/>
    <col min="11" max="11" width="13.85546875" style="44" bestFit="1" customWidth="1"/>
    <col min="12" max="12" width="10.7109375" style="44" bestFit="1" customWidth="1"/>
    <col min="13" max="13" width="12.28515625" style="44" bestFit="1" customWidth="1"/>
    <col min="14" max="14" width="13.7109375" style="44" bestFit="1" customWidth="1"/>
    <col min="15" max="15" width="8.42578125" style="44" bestFit="1" customWidth="1"/>
    <col min="16" max="16" width="5" style="44" customWidth="1"/>
    <col min="17" max="17" width="4" style="45" bestFit="1" customWidth="1"/>
    <col min="18" max="18" width="12.28515625" style="43" bestFit="1" customWidth="1"/>
    <col min="19" max="19" width="10.85546875" style="43" bestFit="1" customWidth="1"/>
    <col min="20" max="20" width="10.5703125" style="43" bestFit="1" customWidth="1"/>
    <col min="21" max="21" width="10.7109375" style="43" bestFit="1" customWidth="1"/>
    <col min="22" max="22" width="12.5703125" style="43" bestFit="1" customWidth="1"/>
    <col min="23" max="23" width="13.7109375" style="43" bestFit="1" customWidth="1"/>
    <col min="24" max="24" width="12.5703125" style="43" bestFit="1" customWidth="1"/>
    <col min="25" max="25" width="13.7109375" style="43" customWidth="1"/>
    <col min="26" max="26" width="15.140625" style="43" bestFit="1" customWidth="1"/>
    <col min="27" max="27" width="3.7109375" style="43" customWidth="1"/>
    <col min="28" max="28" width="20.7109375" style="46" bestFit="1" customWidth="1"/>
    <col min="29" max="29" width="15.28515625" style="1" bestFit="1" customWidth="1"/>
    <col min="30" max="30" width="21.5703125" style="46" bestFit="1" customWidth="1"/>
    <col min="31" max="31" width="23.7109375" style="47" bestFit="1" customWidth="1"/>
    <col min="32" max="32" width="1.5703125" style="48" customWidth="1"/>
    <col min="33" max="33" width="17.42578125" style="43" bestFit="1" customWidth="1"/>
    <col min="34" max="34" width="13.85546875" style="43" bestFit="1" customWidth="1"/>
    <col min="35" max="35" width="3.140625" style="43" customWidth="1"/>
    <col min="36" max="36" width="23.140625" style="43" hidden="1" customWidth="1"/>
    <col min="37" max="37" width="5.5703125" style="2" hidden="1" customWidth="1"/>
    <col min="38" max="38" width="11" style="3" hidden="1" customWidth="1"/>
    <col min="39" max="39" width="26.28515625" style="43" hidden="1" customWidth="1"/>
    <col min="40" max="40" width="1.5703125" style="43" customWidth="1"/>
    <col min="41" max="41" width="19.85546875" style="43" bestFit="1" customWidth="1"/>
    <col min="42" max="42" width="1.140625" style="43" customWidth="1"/>
    <col min="43" max="256" width="9.140625" style="43"/>
    <col min="257" max="257" width="1.85546875" style="43" customWidth="1"/>
    <col min="258" max="258" width="4" style="43" bestFit="1" customWidth="1"/>
    <col min="259" max="259" width="12.28515625" style="43" bestFit="1" customWidth="1"/>
    <col min="260" max="260" width="10.7109375" style="43" bestFit="1" customWidth="1"/>
    <col min="261" max="261" width="16" style="43" bestFit="1" customWidth="1"/>
    <col min="262" max="262" width="12.5703125" style="43" bestFit="1" customWidth="1"/>
    <col min="263" max="263" width="12.5703125" style="43" customWidth="1"/>
    <col min="264" max="264" width="3.7109375" style="43" customWidth="1"/>
    <col min="265" max="265" width="4" style="43" bestFit="1" customWidth="1"/>
    <col min="266" max="266" width="12.28515625" style="43" bestFit="1" customWidth="1"/>
    <col min="267" max="267" width="13.85546875" style="43" bestFit="1" customWidth="1"/>
    <col min="268" max="268" width="10.7109375" style="43" bestFit="1" customWidth="1"/>
    <col min="269" max="269" width="12.28515625" style="43" bestFit="1" customWidth="1"/>
    <col min="270" max="270" width="13.7109375" style="43" bestFit="1" customWidth="1"/>
    <col min="271" max="271" width="8.42578125" style="43" bestFit="1" customWidth="1"/>
    <col min="272" max="272" width="5" style="43" customWidth="1"/>
    <col min="273" max="273" width="4" style="43" bestFit="1" customWidth="1"/>
    <col min="274" max="274" width="12.28515625" style="43" bestFit="1" customWidth="1"/>
    <col min="275" max="275" width="10.85546875" style="43" bestFit="1" customWidth="1"/>
    <col min="276" max="276" width="10.5703125" style="43" bestFit="1" customWidth="1"/>
    <col min="277" max="277" width="10.7109375" style="43" bestFit="1" customWidth="1"/>
    <col min="278" max="278" width="12.5703125" style="43" bestFit="1" customWidth="1"/>
    <col min="279" max="279" width="13.7109375" style="43" bestFit="1" customWidth="1"/>
    <col min="280" max="280" width="12.5703125" style="43" bestFit="1" customWidth="1"/>
    <col min="281" max="281" width="13.7109375" style="43" customWidth="1"/>
    <col min="282" max="282" width="15.140625" style="43" bestFit="1" customWidth="1"/>
    <col min="283" max="283" width="3.7109375" style="43" customWidth="1"/>
    <col min="284" max="284" width="20.7109375" style="43" bestFit="1" customWidth="1"/>
    <col min="285" max="285" width="15.28515625" style="43" bestFit="1" customWidth="1"/>
    <col min="286" max="286" width="21.5703125" style="43" bestFit="1" customWidth="1"/>
    <col min="287" max="287" width="23.7109375" style="43" bestFit="1" customWidth="1"/>
    <col min="288" max="288" width="1.5703125" style="43" customWidth="1"/>
    <col min="289" max="289" width="17.42578125" style="43" bestFit="1" customWidth="1"/>
    <col min="290" max="290" width="13.85546875" style="43" bestFit="1" customWidth="1"/>
    <col min="291" max="291" width="3.140625" style="43" customWidth="1"/>
    <col min="292" max="295" width="0" style="43" hidden="1" customWidth="1"/>
    <col min="296" max="296" width="1.5703125" style="43" customWidth="1"/>
    <col min="297" max="297" width="19.85546875" style="43" bestFit="1" customWidth="1"/>
    <col min="298" max="298" width="1.140625" style="43" customWidth="1"/>
    <col min="299" max="512" width="9.140625" style="43"/>
    <col min="513" max="513" width="1.85546875" style="43" customWidth="1"/>
    <col min="514" max="514" width="4" style="43" bestFit="1" customWidth="1"/>
    <col min="515" max="515" width="12.28515625" style="43" bestFit="1" customWidth="1"/>
    <col min="516" max="516" width="10.7109375" style="43" bestFit="1" customWidth="1"/>
    <col min="517" max="517" width="16" style="43" bestFit="1" customWidth="1"/>
    <col min="518" max="518" width="12.5703125" style="43" bestFit="1" customWidth="1"/>
    <col min="519" max="519" width="12.5703125" style="43" customWidth="1"/>
    <col min="520" max="520" width="3.7109375" style="43" customWidth="1"/>
    <col min="521" max="521" width="4" style="43" bestFit="1" customWidth="1"/>
    <col min="522" max="522" width="12.28515625" style="43" bestFit="1" customWidth="1"/>
    <col min="523" max="523" width="13.85546875" style="43" bestFit="1" customWidth="1"/>
    <col min="524" max="524" width="10.7109375" style="43" bestFit="1" customWidth="1"/>
    <col min="525" max="525" width="12.28515625" style="43" bestFit="1" customWidth="1"/>
    <col min="526" max="526" width="13.7109375" style="43" bestFit="1" customWidth="1"/>
    <col min="527" max="527" width="8.42578125" style="43" bestFit="1" customWidth="1"/>
    <col min="528" max="528" width="5" style="43" customWidth="1"/>
    <col min="529" max="529" width="4" style="43" bestFit="1" customWidth="1"/>
    <col min="530" max="530" width="12.28515625" style="43" bestFit="1" customWidth="1"/>
    <col min="531" max="531" width="10.85546875" style="43" bestFit="1" customWidth="1"/>
    <col min="532" max="532" width="10.5703125" style="43" bestFit="1" customWidth="1"/>
    <col min="533" max="533" width="10.7109375" style="43" bestFit="1" customWidth="1"/>
    <col min="534" max="534" width="12.5703125" style="43" bestFit="1" customWidth="1"/>
    <col min="535" max="535" width="13.7109375" style="43" bestFit="1" customWidth="1"/>
    <col min="536" max="536" width="12.5703125" style="43" bestFit="1" customWidth="1"/>
    <col min="537" max="537" width="13.7109375" style="43" customWidth="1"/>
    <col min="538" max="538" width="15.140625" style="43" bestFit="1" customWidth="1"/>
    <col min="539" max="539" width="3.7109375" style="43" customWidth="1"/>
    <col min="540" max="540" width="20.7109375" style="43" bestFit="1" customWidth="1"/>
    <col min="541" max="541" width="15.28515625" style="43" bestFit="1" customWidth="1"/>
    <col min="542" max="542" width="21.5703125" style="43" bestFit="1" customWidth="1"/>
    <col min="543" max="543" width="23.7109375" style="43" bestFit="1" customWidth="1"/>
    <col min="544" max="544" width="1.5703125" style="43" customWidth="1"/>
    <col min="545" max="545" width="17.42578125" style="43" bestFit="1" customWidth="1"/>
    <col min="546" max="546" width="13.85546875" style="43" bestFit="1" customWidth="1"/>
    <col min="547" max="547" width="3.140625" style="43" customWidth="1"/>
    <col min="548" max="551" width="0" style="43" hidden="1" customWidth="1"/>
    <col min="552" max="552" width="1.5703125" style="43" customWidth="1"/>
    <col min="553" max="553" width="19.85546875" style="43" bestFit="1" customWidth="1"/>
    <col min="554" max="554" width="1.140625" style="43" customWidth="1"/>
    <col min="555" max="768" width="9.140625" style="43"/>
    <col min="769" max="769" width="1.85546875" style="43" customWidth="1"/>
    <col min="770" max="770" width="4" style="43" bestFit="1" customWidth="1"/>
    <col min="771" max="771" width="12.28515625" style="43" bestFit="1" customWidth="1"/>
    <col min="772" max="772" width="10.7109375" style="43" bestFit="1" customWidth="1"/>
    <col min="773" max="773" width="16" style="43" bestFit="1" customWidth="1"/>
    <col min="774" max="774" width="12.5703125" style="43" bestFit="1" customWidth="1"/>
    <col min="775" max="775" width="12.5703125" style="43" customWidth="1"/>
    <col min="776" max="776" width="3.7109375" style="43" customWidth="1"/>
    <col min="777" max="777" width="4" style="43" bestFit="1" customWidth="1"/>
    <col min="778" max="778" width="12.28515625" style="43" bestFit="1" customWidth="1"/>
    <col min="779" max="779" width="13.85546875" style="43" bestFit="1" customWidth="1"/>
    <col min="780" max="780" width="10.7109375" style="43" bestFit="1" customWidth="1"/>
    <col min="781" max="781" width="12.28515625" style="43" bestFit="1" customWidth="1"/>
    <col min="782" max="782" width="13.7109375" style="43" bestFit="1" customWidth="1"/>
    <col min="783" max="783" width="8.42578125" style="43" bestFit="1" customWidth="1"/>
    <col min="784" max="784" width="5" style="43" customWidth="1"/>
    <col min="785" max="785" width="4" style="43" bestFit="1" customWidth="1"/>
    <col min="786" max="786" width="12.28515625" style="43" bestFit="1" customWidth="1"/>
    <col min="787" max="787" width="10.85546875" style="43" bestFit="1" customWidth="1"/>
    <col min="788" max="788" width="10.5703125" style="43" bestFit="1" customWidth="1"/>
    <col min="789" max="789" width="10.7109375" style="43" bestFit="1" customWidth="1"/>
    <col min="790" max="790" width="12.5703125" style="43" bestFit="1" customWidth="1"/>
    <col min="791" max="791" width="13.7109375" style="43" bestFit="1" customWidth="1"/>
    <col min="792" max="792" width="12.5703125" style="43" bestFit="1" customWidth="1"/>
    <col min="793" max="793" width="13.7109375" style="43" customWidth="1"/>
    <col min="794" max="794" width="15.140625" style="43" bestFit="1" customWidth="1"/>
    <col min="795" max="795" width="3.7109375" style="43" customWidth="1"/>
    <col min="796" max="796" width="20.7109375" style="43" bestFit="1" customWidth="1"/>
    <col min="797" max="797" width="15.28515625" style="43" bestFit="1" customWidth="1"/>
    <col min="798" max="798" width="21.5703125" style="43" bestFit="1" customWidth="1"/>
    <col min="799" max="799" width="23.7109375" style="43" bestFit="1" customWidth="1"/>
    <col min="800" max="800" width="1.5703125" style="43" customWidth="1"/>
    <col min="801" max="801" width="17.42578125" style="43" bestFit="1" customWidth="1"/>
    <col min="802" max="802" width="13.85546875" style="43" bestFit="1" customWidth="1"/>
    <col min="803" max="803" width="3.140625" style="43" customWidth="1"/>
    <col min="804" max="807" width="0" style="43" hidden="1" customWidth="1"/>
    <col min="808" max="808" width="1.5703125" style="43" customWidth="1"/>
    <col min="809" max="809" width="19.85546875" style="43" bestFit="1" customWidth="1"/>
    <col min="810" max="810" width="1.140625" style="43" customWidth="1"/>
    <col min="811" max="1024" width="9.140625" style="43"/>
    <col min="1025" max="1025" width="1.85546875" style="43" customWidth="1"/>
    <col min="1026" max="1026" width="4" style="43" bestFit="1" customWidth="1"/>
    <col min="1027" max="1027" width="12.28515625" style="43" bestFit="1" customWidth="1"/>
    <col min="1028" max="1028" width="10.7109375" style="43" bestFit="1" customWidth="1"/>
    <col min="1029" max="1029" width="16" style="43" bestFit="1" customWidth="1"/>
    <col min="1030" max="1030" width="12.5703125" style="43" bestFit="1" customWidth="1"/>
    <col min="1031" max="1031" width="12.5703125" style="43" customWidth="1"/>
    <col min="1032" max="1032" width="3.7109375" style="43" customWidth="1"/>
    <col min="1033" max="1033" width="4" style="43" bestFit="1" customWidth="1"/>
    <col min="1034" max="1034" width="12.28515625" style="43" bestFit="1" customWidth="1"/>
    <col min="1035" max="1035" width="13.85546875" style="43" bestFit="1" customWidth="1"/>
    <col min="1036" max="1036" width="10.7109375" style="43" bestFit="1" customWidth="1"/>
    <col min="1037" max="1037" width="12.28515625" style="43" bestFit="1" customWidth="1"/>
    <col min="1038" max="1038" width="13.7109375" style="43" bestFit="1" customWidth="1"/>
    <col min="1039" max="1039" width="8.42578125" style="43" bestFit="1" customWidth="1"/>
    <col min="1040" max="1040" width="5" style="43" customWidth="1"/>
    <col min="1041" max="1041" width="4" style="43" bestFit="1" customWidth="1"/>
    <col min="1042" max="1042" width="12.28515625" style="43" bestFit="1" customWidth="1"/>
    <col min="1043" max="1043" width="10.85546875" style="43" bestFit="1" customWidth="1"/>
    <col min="1044" max="1044" width="10.5703125" style="43" bestFit="1" customWidth="1"/>
    <col min="1045" max="1045" width="10.7109375" style="43" bestFit="1" customWidth="1"/>
    <col min="1046" max="1046" width="12.5703125" style="43" bestFit="1" customWidth="1"/>
    <col min="1047" max="1047" width="13.7109375" style="43" bestFit="1" customWidth="1"/>
    <col min="1048" max="1048" width="12.5703125" style="43" bestFit="1" customWidth="1"/>
    <col min="1049" max="1049" width="13.7109375" style="43" customWidth="1"/>
    <col min="1050" max="1050" width="15.140625" style="43" bestFit="1" customWidth="1"/>
    <col min="1051" max="1051" width="3.7109375" style="43" customWidth="1"/>
    <col min="1052" max="1052" width="20.7109375" style="43" bestFit="1" customWidth="1"/>
    <col min="1053" max="1053" width="15.28515625" style="43" bestFit="1" customWidth="1"/>
    <col min="1054" max="1054" width="21.5703125" style="43" bestFit="1" customWidth="1"/>
    <col min="1055" max="1055" width="23.7109375" style="43" bestFit="1" customWidth="1"/>
    <col min="1056" max="1056" width="1.5703125" style="43" customWidth="1"/>
    <col min="1057" max="1057" width="17.42578125" style="43" bestFit="1" customWidth="1"/>
    <col min="1058" max="1058" width="13.85546875" style="43" bestFit="1" customWidth="1"/>
    <col min="1059" max="1059" width="3.140625" style="43" customWidth="1"/>
    <col min="1060" max="1063" width="0" style="43" hidden="1" customWidth="1"/>
    <col min="1064" max="1064" width="1.5703125" style="43" customWidth="1"/>
    <col min="1065" max="1065" width="19.85546875" style="43" bestFit="1" customWidth="1"/>
    <col min="1066" max="1066" width="1.140625" style="43" customWidth="1"/>
    <col min="1067" max="1280" width="9.140625" style="43"/>
    <col min="1281" max="1281" width="1.85546875" style="43" customWidth="1"/>
    <col min="1282" max="1282" width="4" style="43" bestFit="1" customWidth="1"/>
    <col min="1283" max="1283" width="12.28515625" style="43" bestFit="1" customWidth="1"/>
    <col min="1284" max="1284" width="10.7109375" style="43" bestFit="1" customWidth="1"/>
    <col min="1285" max="1285" width="16" style="43" bestFit="1" customWidth="1"/>
    <col min="1286" max="1286" width="12.5703125" style="43" bestFit="1" customWidth="1"/>
    <col min="1287" max="1287" width="12.5703125" style="43" customWidth="1"/>
    <col min="1288" max="1288" width="3.7109375" style="43" customWidth="1"/>
    <col min="1289" max="1289" width="4" style="43" bestFit="1" customWidth="1"/>
    <col min="1290" max="1290" width="12.28515625" style="43" bestFit="1" customWidth="1"/>
    <col min="1291" max="1291" width="13.85546875" style="43" bestFit="1" customWidth="1"/>
    <col min="1292" max="1292" width="10.7109375" style="43" bestFit="1" customWidth="1"/>
    <col min="1293" max="1293" width="12.28515625" style="43" bestFit="1" customWidth="1"/>
    <col min="1294" max="1294" width="13.7109375" style="43" bestFit="1" customWidth="1"/>
    <col min="1295" max="1295" width="8.42578125" style="43" bestFit="1" customWidth="1"/>
    <col min="1296" max="1296" width="5" style="43" customWidth="1"/>
    <col min="1297" max="1297" width="4" style="43" bestFit="1" customWidth="1"/>
    <col min="1298" max="1298" width="12.28515625" style="43" bestFit="1" customWidth="1"/>
    <col min="1299" max="1299" width="10.85546875" style="43" bestFit="1" customWidth="1"/>
    <col min="1300" max="1300" width="10.5703125" style="43" bestFit="1" customWidth="1"/>
    <col min="1301" max="1301" width="10.7109375" style="43" bestFit="1" customWidth="1"/>
    <col min="1302" max="1302" width="12.5703125" style="43" bestFit="1" customWidth="1"/>
    <col min="1303" max="1303" width="13.7109375" style="43" bestFit="1" customWidth="1"/>
    <col min="1304" max="1304" width="12.5703125" style="43" bestFit="1" customWidth="1"/>
    <col min="1305" max="1305" width="13.7109375" style="43" customWidth="1"/>
    <col min="1306" max="1306" width="15.140625" style="43" bestFit="1" customWidth="1"/>
    <col min="1307" max="1307" width="3.7109375" style="43" customWidth="1"/>
    <col min="1308" max="1308" width="20.7109375" style="43" bestFit="1" customWidth="1"/>
    <col min="1309" max="1309" width="15.28515625" style="43" bestFit="1" customWidth="1"/>
    <col min="1310" max="1310" width="21.5703125" style="43" bestFit="1" customWidth="1"/>
    <col min="1311" max="1311" width="23.7109375" style="43" bestFit="1" customWidth="1"/>
    <col min="1312" max="1312" width="1.5703125" style="43" customWidth="1"/>
    <col min="1313" max="1313" width="17.42578125" style="43" bestFit="1" customWidth="1"/>
    <col min="1314" max="1314" width="13.85546875" style="43" bestFit="1" customWidth="1"/>
    <col min="1315" max="1315" width="3.140625" style="43" customWidth="1"/>
    <col min="1316" max="1319" width="0" style="43" hidden="1" customWidth="1"/>
    <col min="1320" max="1320" width="1.5703125" style="43" customWidth="1"/>
    <col min="1321" max="1321" width="19.85546875" style="43" bestFit="1" customWidth="1"/>
    <col min="1322" max="1322" width="1.140625" style="43" customWidth="1"/>
    <col min="1323" max="1536" width="9.140625" style="43"/>
    <col min="1537" max="1537" width="1.85546875" style="43" customWidth="1"/>
    <col min="1538" max="1538" width="4" style="43" bestFit="1" customWidth="1"/>
    <col min="1539" max="1539" width="12.28515625" style="43" bestFit="1" customWidth="1"/>
    <col min="1540" max="1540" width="10.7109375" style="43" bestFit="1" customWidth="1"/>
    <col min="1541" max="1541" width="16" style="43" bestFit="1" customWidth="1"/>
    <col min="1542" max="1542" width="12.5703125" style="43" bestFit="1" customWidth="1"/>
    <col min="1543" max="1543" width="12.5703125" style="43" customWidth="1"/>
    <col min="1544" max="1544" width="3.7109375" style="43" customWidth="1"/>
    <col min="1545" max="1545" width="4" style="43" bestFit="1" customWidth="1"/>
    <col min="1546" max="1546" width="12.28515625" style="43" bestFit="1" customWidth="1"/>
    <col min="1547" max="1547" width="13.85546875" style="43" bestFit="1" customWidth="1"/>
    <col min="1548" max="1548" width="10.7109375" style="43" bestFit="1" customWidth="1"/>
    <col min="1549" max="1549" width="12.28515625" style="43" bestFit="1" customWidth="1"/>
    <col min="1550" max="1550" width="13.7109375" style="43" bestFit="1" customWidth="1"/>
    <col min="1551" max="1551" width="8.42578125" style="43" bestFit="1" customWidth="1"/>
    <col min="1552" max="1552" width="5" style="43" customWidth="1"/>
    <col min="1553" max="1553" width="4" style="43" bestFit="1" customWidth="1"/>
    <col min="1554" max="1554" width="12.28515625" style="43" bestFit="1" customWidth="1"/>
    <col min="1555" max="1555" width="10.85546875" style="43" bestFit="1" customWidth="1"/>
    <col min="1556" max="1556" width="10.5703125" style="43" bestFit="1" customWidth="1"/>
    <col min="1557" max="1557" width="10.7109375" style="43" bestFit="1" customWidth="1"/>
    <col min="1558" max="1558" width="12.5703125" style="43" bestFit="1" customWidth="1"/>
    <col min="1559" max="1559" width="13.7109375" style="43" bestFit="1" customWidth="1"/>
    <col min="1560" max="1560" width="12.5703125" style="43" bestFit="1" customWidth="1"/>
    <col min="1561" max="1561" width="13.7109375" style="43" customWidth="1"/>
    <col min="1562" max="1562" width="15.140625" style="43" bestFit="1" customWidth="1"/>
    <col min="1563" max="1563" width="3.7109375" style="43" customWidth="1"/>
    <col min="1564" max="1564" width="20.7109375" style="43" bestFit="1" customWidth="1"/>
    <col min="1565" max="1565" width="15.28515625" style="43" bestFit="1" customWidth="1"/>
    <col min="1566" max="1566" width="21.5703125" style="43" bestFit="1" customWidth="1"/>
    <col min="1567" max="1567" width="23.7109375" style="43" bestFit="1" customWidth="1"/>
    <col min="1568" max="1568" width="1.5703125" style="43" customWidth="1"/>
    <col min="1569" max="1569" width="17.42578125" style="43" bestFit="1" customWidth="1"/>
    <col min="1570" max="1570" width="13.85546875" style="43" bestFit="1" customWidth="1"/>
    <col min="1571" max="1571" width="3.140625" style="43" customWidth="1"/>
    <col min="1572" max="1575" width="0" style="43" hidden="1" customWidth="1"/>
    <col min="1576" max="1576" width="1.5703125" style="43" customWidth="1"/>
    <col min="1577" max="1577" width="19.85546875" style="43" bestFit="1" customWidth="1"/>
    <col min="1578" max="1578" width="1.140625" style="43" customWidth="1"/>
    <col min="1579" max="1792" width="9.140625" style="43"/>
    <col min="1793" max="1793" width="1.85546875" style="43" customWidth="1"/>
    <col min="1794" max="1794" width="4" style="43" bestFit="1" customWidth="1"/>
    <col min="1795" max="1795" width="12.28515625" style="43" bestFit="1" customWidth="1"/>
    <col min="1796" max="1796" width="10.7109375" style="43" bestFit="1" customWidth="1"/>
    <col min="1797" max="1797" width="16" style="43" bestFit="1" customWidth="1"/>
    <col min="1798" max="1798" width="12.5703125" style="43" bestFit="1" customWidth="1"/>
    <col min="1799" max="1799" width="12.5703125" style="43" customWidth="1"/>
    <col min="1800" max="1800" width="3.7109375" style="43" customWidth="1"/>
    <col min="1801" max="1801" width="4" style="43" bestFit="1" customWidth="1"/>
    <col min="1802" max="1802" width="12.28515625" style="43" bestFit="1" customWidth="1"/>
    <col min="1803" max="1803" width="13.85546875" style="43" bestFit="1" customWidth="1"/>
    <col min="1804" max="1804" width="10.7109375" style="43" bestFit="1" customWidth="1"/>
    <col min="1805" max="1805" width="12.28515625" style="43" bestFit="1" customWidth="1"/>
    <col min="1806" max="1806" width="13.7109375" style="43" bestFit="1" customWidth="1"/>
    <col min="1807" max="1807" width="8.42578125" style="43" bestFit="1" customWidth="1"/>
    <col min="1808" max="1808" width="5" style="43" customWidth="1"/>
    <col min="1809" max="1809" width="4" style="43" bestFit="1" customWidth="1"/>
    <col min="1810" max="1810" width="12.28515625" style="43" bestFit="1" customWidth="1"/>
    <col min="1811" max="1811" width="10.85546875" style="43" bestFit="1" customWidth="1"/>
    <col min="1812" max="1812" width="10.5703125" style="43" bestFit="1" customWidth="1"/>
    <col min="1813" max="1813" width="10.7109375" style="43" bestFit="1" customWidth="1"/>
    <col min="1814" max="1814" width="12.5703125" style="43" bestFit="1" customWidth="1"/>
    <col min="1815" max="1815" width="13.7109375" style="43" bestFit="1" customWidth="1"/>
    <col min="1816" max="1816" width="12.5703125" style="43" bestFit="1" customWidth="1"/>
    <col min="1817" max="1817" width="13.7109375" style="43" customWidth="1"/>
    <col min="1818" max="1818" width="15.140625" style="43" bestFit="1" customWidth="1"/>
    <col min="1819" max="1819" width="3.7109375" style="43" customWidth="1"/>
    <col min="1820" max="1820" width="20.7109375" style="43" bestFit="1" customWidth="1"/>
    <col min="1821" max="1821" width="15.28515625" style="43" bestFit="1" customWidth="1"/>
    <col min="1822" max="1822" width="21.5703125" style="43" bestFit="1" customWidth="1"/>
    <col min="1823" max="1823" width="23.7109375" style="43" bestFit="1" customWidth="1"/>
    <col min="1824" max="1824" width="1.5703125" style="43" customWidth="1"/>
    <col min="1825" max="1825" width="17.42578125" style="43" bestFit="1" customWidth="1"/>
    <col min="1826" max="1826" width="13.85546875" style="43" bestFit="1" customWidth="1"/>
    <col min="1827" max="1827" width="3.140625" style="43" customWidth="1"/>
    <col min="1828" max="1831" width="0" style="43" hidden="1" customWidth="1"/>
    <col min="1832" max="1832" width="1.5703125" style="43" customWidth="1"/>
    <col min="1833" max="1833" width="19.85546875" style="43" bestFit="1" customWidth="1"/>
    <col min="1834" max="1834" width="1.140625" style="43" customWidth="1"/>
    <col min="1835" max="2048" width="9.140625" style="43"/>
    <col min="2049" max="2049" width="1.85546875" style="43" customWidth="1"/>
    <col min="2050" max="2050" width="4" style="43" bestFit="1" customWidth="1"/>
    <col min="2051" max="2051" width="12.28515625" style="43" bestFit="1" customWidth="1"/>
    <col min="2052" max="2052" width="10.7109375" style="43" bestFit="1" customWidth="1"/>
    <col min="2053" max="2053" width="16" style="43" bestFit="1" customWidth="1"/>
    <col min="2054" max="2054" width="12.5703125" style="43" bestFit="1" customWidth="1"/>
    <col min="2055" max="2055" width="12.5703125" style="43" customWidth="1"/>
    <col min="2056" max="2056" width="3.7109375" style="43" customWidth="1"/>
    <col min="2057" max="2057" width="4" style="43" bestFit="1" customWidth="1"/>
    <col min="2058" max="2058" width="12.28515625" style="43" bestFit="1" customWidth="1"/>
    <col min="2059" max="2059" width="13.85546875" style="43" bestFit="1" customWidth="1"/>
    <col min="2060" max="2060" width="10.7109375" style="43" bestFit="1" customWidth="1"/>
    <col min="2061" max="2061" width="12.28515625" style="43" bestFit="1" customWidth="1"/>
    <col min="2062" max="2062" width="13.7109375" style="43" bestFit="1" customWidth="1"/>
    <col min="2063" max="2063" width="8.42578125" style="43" bestFit="1" customWidth="1"/>
    <col min="2064" max="2064" width="5" style="43" customWidth="1"/>
    <col min="2065" max="2065" width="4" style="43" bestFit="1" customWidth="1"/>
    <col min="2066" max="2066" width="12.28515625" style="43" bestFit="1" customWidth="1"/>
    <col min="2067" max="2067" width="10.85546875" style="43" bestFit="1" customWidth="1"/>
    <col min="2068" max="2068" width="10.5703125" style="43" bestFit="1" customWidth="1"/>
    <col min="2069" max="2069" width="10.7109375" style="43" bestFit="1" customWidth="1"/>
    <col min="2070" max="2070" width="12.5703125" style="43" bestFit="1" customWidth="1"/>
    <col min="2071" max="2071" width="13.7109375" style="43" bestFit="1" customWidth="1"/>
    <col min="2072" max="2072" width="12.5703125" style="43" bestFit="1" customWidth="1"/>
    <col min="2073" max="2073" width="13.7109375" style="43" customWidth="1"/>
    <col min="2074" max="2074" width="15.140625" style="43" bestFit="1" customWidth="1"/>
    <col min="2075" max="2075" width="3.7109375" style="43" customWidth="1"/>
    <col min="2076" max="2076" width="20.7109375" style="43" bestFit="1" customWidth="1"/>
    <col min="2077" max="2077" width="15.28515625" style="43" bestFit="1" customWidth="1"/>
    <col min="2078" max="2078" width="21.5703125" style="43" bestFit="1" customWidth="1"/>
    <col min="2079" max="2079" width="23.7109375" style="43" bestFit="1" customWidth="1"/>
    <col min="2080" max="2080" width="1.5703125" style="43" customWidth="1"/>
    <col min="2081" max="2081" width="17.42578125" style="43" bestFit="1" customWidth="1"/>
    <col min="2082" max="2082" width="13.85546875" style="43" bestFit="1" customWidth="1"/>
    <col min="2083" max="2083" width="3.140625" style="43" customWidth="1"/>
    <col min="2084" max="2087" width="0" style="43" hidden="1" customWidth="1"/>
    <col min="2088" max="2088" width="1.5703125" style="43" customWidth="1"/>
    <col min="2089" max="2089" width="19.85546875" style="43" bestFit="1" customWidth="1"/>
    <col min="2090" max="2090" width="1.140625" style="43" customWidth="1"/>
    <col min="2091" max="2304" width="9.140625" style="43"/>
    <col min="2305" max="2305" width="1.85546875" style="43" customWidth="1"/>
    <col min="2306" max="2306" width="4" style="43" bestFit="1" customWidth="1"/>
    <col min="2307" max="2307" width="12.28515625" style="43" bestFit="1" customWidth="1"/>
    <col min="2308" max="2308" width="10.7109375" style="43" bestFit="1" customWidth="1"/>
    <col min="2309" max="2309" width="16" style="43" bestFit="1" customWidth="1"/>
    <col min="2310" max="2310" width="12.5703125" style="43" bestFit="1" customWidth="1"/>
    <col min="2311" max="2311" width="12.5703125" style="43" customWidth="1"/>
    <col min="2312" max="2312" width="3.7109375" style="43" customWidth="1"/>
    <col min="2313" max="2313" width="4" style="43" bestFit="1" customWidth="1"/>
    <col min="2314" max="2314" width="12.28515625" style="43" bestFit="1" customWidth="1"/>
    <col min="2315" max="2315" width="13.85546875" style="43" bestFit="1" customWidth="1"/>
    <col min="2316" max="2316" width="10.7109375" style="43" bestFit="1" customWidth="1"/>
    <col min="2317" max="2317" width="12.28515625" style="43" bestFit="1" customWidth="1"/>
    <col min="2318" max="2318" width="13.7109375" style="43" bestFit="1" customWidth="1"/>
    <col min="2319" max="2319" width="8.42578125" style="43" bestFit="1" customWidth="1"/>
    <col min="2320" max="2320" width="5" style="43" customWidth="1"/>
    <col min="2321" max="2321" width="4" style="43" bestFit="1" customWidth="1"/>
    <col min="2322" max="2322" width="12.28515625" style="43" bestFit="1" customWidth="1"/>
    <col min="2323" max="2323" width="10.85546875" style="43" bestFit="1" customWidth="1"/>
    <col min="2324" max="2324" width="10.5703125" style="43" bestFit="1" customWidth="1"/>
    <col min="2325" max="2325" width="10.7109375" style="43" bestFit="1" customWidth="1"/>
    <col min="2326" max="2326" width="12.5703125" style="43" bestFit="1" customWidth="1"/>
    <col min="2327" max="2327" width="13.7109375" style="43" bestFit="1" customWidth="1"/>
    <col min="2328" max="2328" width="12.5703125" style="43" bestFit="1" customWidth="1"/>
    <col min="2329" max="2329" width="13.7109375" style="43" customWidth="1"/>
    <col min="2330" max="2330" width="15.140625" style="43" bestFit="1" customWidth="1"/>
    <col min="2331" max="2331" width="3.7109375" style="43" customWidth="1"/>
    <col min="2332" max="2332" width="20.7109375" style="43" bestFit="1" customWidth="1"/>
    <col min="2333" max="2333" width="15.28515625" style="43" bestFit="1" customWidth="1"/>
    <col min="2334" max="2334" width="21.5703125" style="43" bestFit="1" customWidth="1"/>
    <col min="2335" max="2335" width="23.7109375" style="43" bestFit="1" customWidth="1"/>
    <col min="2336" max="2336" width="1.5703125" style="43" customWidth="1"/>
    <col min="2337" max="2337" width="17.42578125" style="43" bestFit="1" customWidth="1"/>
    <col min="2338" max="2338" width="13.85546875" style="43" bestFit="1" customWidth="1"/>
    <col min="2339" max="2339" width="3.140625" style="43" customWidth="1"/>
    <col min="2340" max="2343" width="0" style="43" hidden="1" customWidth="1"/>
    <col min="2344" max="2344" width="1.5703125" style="43" customWidth="1"/>
    <col min="2345" max="2345" width="19.85546875" style="43" bestFit="1" customWidth="1"/>
    <col min="2346" max="2346" width="1.140625" style="43" customWidth="1"/>
    <col min="2347" max="2560" width="9.140625" style="43"/>
    <col min="2561" max="2561" width="1.85546875" style="43" customWidth="1"/>
    <col min="2562" max="2562" width="4" style="43" bestFit="1" customWidth="1"/>
    <col min="2563" max="2563" width="12.28515625" style="43" bestFit="1" customWidth="1"/>
    <col min="2564" max="2564" width="10.7109375" style="43" bestFit="1" customWidth="1"/>
    <col min="2565" max="2565" width="16" style="43" bestFit="1" customWidth="1"/>
    <col min="2566" max="2566" width="12.5703125" style="43" bestFit="1" customWidth="1"/>
    <col min="2567" max="2567" width="12.5703125" style="43" customWidth="1"/>
    <col min="2568" max="2568" width="3.7109375" style="43" customWidth="1"/>
    <col min="2569" max="2569" width="4" style="43" bestFit="1" customWidth="1"/>
    <col min="2570" max="2570" width="12.28515625" style="43" bestFit="1" customWidth="1"/>
    <col min="2571" max="2571" width="13.85546875" style="43" bestFit="1" customWidth="1"/>
    <col min="2572" max="2572" width="10.7109375" style="43" bestFit="1" customWidth="1"/>
    <col min="2573" max="2573" width="12.28515625" style="43" bestFit="1" customWidth="1"/>
    <col min="2574" max="2574" width="13.7109375" style="43" bestFit="1" customWidth="1"/>
    <col min="2575" max="2575" width="8.42578125" style="43" bestFit="1" customWidth="1"/>
    <col min="2576" max="2576" width="5" style="43" customWidth="1"/>
    <col min="2577" max="2577" width="4" style="43" bestFit="1" customWidth="1"/>
    <col min="2578" max="2578" width="12.28515625" style="43" bestFit="1" customWidth="1"/>
    <col min="2579" max="2579" width="10.85546875" style="43" bestFit="1" customWidth="1"/>
    <col min="2580" max="2580" width="10.5703125" style="43" bestFit="1" customWidth="1"/>
    <col min="2581" max="2581" width="10.7109375" style="43" bestFit="1" customWidth="1"/>
    <col min="2582" max="2582" width="12.5703125" style="43" bestFit="1" customWidth="1"/>
    <col min="2583" max="2583" width="13.7109375" style="43" bestFit="1" customWidth="1"/>
    <col min="2584" max="2584" width="12.5703125" style="43" bestFit="1" customWidth="1"/>
    <col min="2585" max="2585" width="13.7109375" style="43" customWidth="1"/>
    <col min="2586" max="2586" width="15.140625" style="43" bestFit="1" customWidth="1"/>
    <col min="2587" max="2587" width="3.7109375" style="43" customWidth="1"/>
    <col min="2588" max="2588" width="20.7109375" style="43" bestFit="1" customWidth="1"/>
    <col min="2589" max="2589" width="15.28515625" style="43" bestFit="1" customWidth="1"/>
    <col min="2590" max="2590" width="21.5703125" style="43" bestFit="1" customWidth="1"/>
    <col min="2591" max="2591" width="23.7109375" style="43" bestFit="1" customWidth="1"/>
    <col min="2592" max="2592" width="1.5703125" style="43" customWidth="1"/>
    <col min="2593" max="2593" width="17.42578125" style="43" bestFit="1" customWidth="1"/>
    <col min="2594" max="2594" width="13.85546875" style="43" bestFit="1" customWidth="1"/>
    <col min="2595" max="2595" width="3.140625" style="43" customWidth="1"/>
    <col min="2596" max="2599" width="0" style="43" hidden="1" customWidth="1"/>
    <col min="2600" max="2600" width="1.5703125" style="43" customWidth="1"/>
    <col min="2601" max="2601" width="19.85546875" style="43" bestFit="1" customWidth="1"/>
    <col min="2602" max="2602" width="1.140625" style="43" customWidth="1"/>
    <col min="2603" max="2816" width="9.140625" style="43"/>
    <col min="2817" max="2817" width="1.85546875" style="43" customWidth="1"/>
    <col min="2818" max="2818" width="4" style="43" bestFit="1" customWidth="1"/>
    <col min="2819" max="2819" width="12.28515625" style="43" bestFit="1" customWidth="1"/>
    <col min="2820" max="2820" width="10.7109375" style="43" bestFit="1" customWidth="1"/>
    <col min="2821" max="2821" width="16" style="43" bestFit="1" customWidth="1"/>
    <col min="2822" max="2822" width="12.5703125" style="43" bestFit="1" customWidth="1"/>
    <col min="2823" max="2823" width="12.5703125" style="43" customWidth="1"/>
    <col min="2824" max="2824" width="3.7109375" style="43" customWidth="1"/>
    <col min="2825" max="2825" width="4" style="43" bestFit="1" customWidth="1"/>
    <col min="2826" max="2826" width="12.28515625" style="43" bestFit="1" customWidth="1"/>
    <col min="2827" max="2827" width="13.85546875" style="43" bestFit="1" customWidth="1"/>
    <col min="2828" max="2828" width="10.7109375" style="43" bestFit="1" customWidth="1"/>
    <col min="2829" max="2829" width="12.28515625" style="43" bestFit="1" customWidth="1"/>
    <col min="2830" max="2830" width="13.7109375" style="43" bestFit="1" customWidth="1"/>
    <col min="2831" max="2831" width="8.42578125" style="43" bestFit="1" customWidth="1"/>
    <col min="2832" max="2832" width="5" style="43" customWidth="1"/>
    <col min="2833" max="2833" width="4" style="43" bestFit="1" customWidth="1"/>
    <col min="2834" max="2834" width="12.28515625" style="43" bestFit="1" customWidth="1"/>
    <col min="2835" max="2835" width="10.85546875" style="43" bestFit="1" customWidth="1"/>
    <col min="2836" max="2836" width="10.5703125" style="43" bestFit="1" customWidth="1"/>
    <col min="2837" max="2837" width="10.7109375" style="43" bestFit="1" customWidth="1"/>
    <col min="2838" max="2838" width="12.5703125" style="43" bestFit="1" customWidth="1"/>
    <col min="2839" max="2839" width="13.7109375" style="43" bestFit="1" customWidth="1"/>
    <col min="2840" max="2840" width="12.5703125" style="43" bestFit="1" customWidth="1"/>
    <col min="2841" max="2841" width="13.7109375" style="43" customWidth="1"/>
    <col min="2842" max="2842" width="15.140625" style="43" bestFit="1" customWidth="1"/>
    <col min="2843" max="2843" width="3.7109375" style="43" customWidth="1"/>
    <col min="2844" max="2844" width="20.7109375" style="43" bestFit="1" customWidth="1"/>
    <col min="2845" max="2845" width="15.28515625" style="43" bestFit="1" customWidth="1"/>
    <col min="2846" max="2846" width="21.5703125" style="43" bestFit="1" customWidth="1"/>
    <col min="2847" max="2847" width="23.7109375" style="43" bestFit="1" customWidth="1"/>
    <col min="2848" max="2848" width="1.5703125" style="43" customWidth="1"/>
    <col min="2849" max="2849" width="17.42578125" style="43" bestFit="1" customWidth="1"/>
    <col min="2850" max="2850" width="13.85546875" style="43" bestFit="1" customWidth="1"/>
    <col min="2851" max="2851" width="3.140625" style="43" customWidth="1"/>
    <col min="2852" max="2855" width="0" style="43" hidden="1" customWidth="1"/>
    <col min="2856" max="2856" width="1.5703125" style="43" customWidth="1"/>
    <col min="2857" max="2857" width="19.85546875" style="43" bestFit="1" customWidth="1"/>
    <col min="2858" max="2858" width="1.140625" style="43" customWidth="1"/>
    <col min="2859" max="3072" width="9.140625" style="43"/>
    <col min="3073" max="3073" width="1.85546875" style="43" customWidth="1"/>
    <col min="3074" max="3074" width="4" style="43" bestFit="1" customWidth="1"/>
    <col min="3075" max="3075" width="12.28515625" style="43" bestFit="1" customWidth="1"/>
    <col min="3076" max="3076" width="10.7109375" style="43" bestFit="1" customWidth="1"/>
    <col min="3077" max="3077" width="16" style="43" bestFit="1" customWidth="1"/>
    <col min="3078" max="3078" width="12.5703125" style="43" bestFit="1" customWidth="1"/>
    <col min="3079" max="3079" width="12.5703125" style="43" customWidth="1"/>
    <col min="3080" max="3080" width="3.7109375" style="43" customWidth="1"/>
    <col min="3081" max="3081" width="4" style="43" bestFit="1" customWidth="1"/>
    <col min="3082" max="3082" width="12.28515625" style="43" bestFit="1" customWidth="1"/>
    <col min="3083" max="3083" width="13.85546875" style="43" bestFit="1" customWidth="1"/>
    <col min="3084" max="3084" width="10.7109375" style="43" bestFit="1" customWidth="1"/>
    <col min="3085" max="3085" width="12.28515625" style="43" bestFit="1" customWidth="1"/>
    <col min="3086" max="3086" width="13.7109375" style="43" bestFit="1" customWidth="1"/>
    <col min="3087" max="3087" width="8.42578125" style="43" bestFit="1" customWidth="1"/>
    <col min="3088" max="3088" width="5" style="43" customWidth="1"/>
    <col min="3089" max="3089" width="4" style="43" bestFit="1" customWidth="1"/>
    <col min="3090" max="3090" width="12.28515625" style="43" bestFit="1" customWidth="1"/>
    <col min="3091" max="3091" width="10.85546875" style="43" bestFit="1" customWidth="1"/>
    <col min="3092" max="3092" width="10.5703125" style="43" bestFit="1" customWidth="1"/>
    <col min="3093" max="3093" width="10.7109375" style="43" bestFit="1" customWidth="1"/>
    <col min="3094" max="3094" width="12.5703125" style="43" bestFit="1" customWidth="1"/>
    <col min="3095" max="3095" width="13.7109375" style="43" bestFit="1" customWidth="1"/>
    <col min="3096" max="3096" width="12.5703125" style="43" bestFit="1" customWidth="1"/>
    <col min="3097" max="3097" width="13.7109375" style="43" customWidth="1"/>
    <col min="3098" max="3098" width="15.140625" style="43" bestFit="1" customWidth="1"/>
    <col min="3099" max="3099" width="3.7109375" style="43" customWidth="1"/>
    <col min="3100" max="3100" width="20.7109375" style="43" bestFit="1" customWidth="1"/>
    <col min="3101" max="3101" width="15.28515625" style="43" bestFit="1" customWidth="1"/>
    <col min="3102" max="3102" width="21.5703125" style="43" bestFit="1" customWidth="1"/>
    <col min="3103" max="3103" width="23.7109375" style="43" bestFit="1" customWidth="1"/>
    <col min="3104" max="3104" width="1.5703125" style="43" customWidth="1"/>
    <col min="3105" max="3105" width="17.42578125" style="43" bestFit="1" customWidth="1"/>
    <col min="3106" max="3106" width="13.85546875" style="43" bestFit="1" customWidth="1"/>
    <col min="3107" max="3107" width="3.140625" style="43" customWidth="1"/>
    <col min="3108" max="3111" width="0" style="43" hidden="1" customWidth="1"/>
    <col min="3112" max="3112" width="1.5703125" style="43" customWidth="1"/>
    <col min="3113" max="3113" width="19.85546875" style="43" bestFit="1" customWidth="1"/>
    <col min="3114" max="3114" width="1.140625" style="43" customWidth="1"/>
    <col min="3115" max="3328" width="9.140625" style="43"/>
    <col min="3329" max="3329" width="1.85546875" style="43" customWidth="1"/>
    <col min="3330" max="3330" width="4" style="43" bestFit="1" customWidth="1"/>
    <col min="3331" max="3331" width="12.28515625" style="43" bestFit="1" customWidth="1"/>
    <col min="3332" max="3332" width="10.7109375" style="43" bestFit="1" customWidth="1"/>
    <col min="3333" max="3333" width="16" style="43" bestFit="1" customWidth="1"/>
    <col min="3334" max="3334" width="12.5703125" style="43" bestFit="1" customWidth="1"/>
    <col min="3335" max="3335" width="12.5703125" style="43" customWidth="1"/>
    <col min="3336" max="3336" width="3.7109375" style="43" customWidth="1"/>
    <col min="3337" max="3337" width="4" style="43" bestFit="1" customWidth="1"/>
    <col min="3338" max="3338" width="12.28515625" style="43" bestFit="1" customWidth="1"/>
    <col min="3339" max="3339" width="13.85546875" style="43" bestFit="1" customWidth="1"/>
    <col min="3340" max="3340" width="10.7109375" style="43" bestFit="1" customWidth="1"/>
    <col min="3341" max="3341" width="12.28515625" style="43" bestFit="1" customWidth="1"/>
    <col min="3342" max="3342" width="13.7109375" style="43" bestFit="1" customWidth="1"/>
    <col min="3343" max="3343" width="8.42578125" style="43" bestFit="1" customWidth="1"/>
    <col min="3344" max="3344" width="5" style="43" customWidth="1"/>
    <col min="3345" max="3345" width="4" style="43" bestFit="1" customWidth="1"/>
    <col min="3346" max="3346" width="12.28515625" style="43" bestFit="1" customWidth="1"/>
    <col min="3347" max="3347" width="10.85546875" style="43" bestFit="1" customWidth="1"/>
    <col min="3348" max="3348" width="10.5703125" style="43" bestFit="1" customWidth="1"/>
    <col min="3349" max="3349" width="10.7109375" style="43" bestFit="1" customWidth="1"/>
    <col min="3350" max="3350" width="12.5703125" style="43" bestFit="1" customWidth="1"/>
    <col min="3351" max="3351" width="13.7109375" style="43" bestFit="1" customWidth="1"/>
    <col min="3352" max="3352" width="12.5703125" style="43" bestFit="1" customWidth="1"/>
    <col min="3353" max="3353" width="13.7109375" style="43" customWidth="1"/>
    <col min="3354" max="3354" width="15.140625" style="43" bestFit="1" customWidth="1"/>
    <col min="3355" max="3355" width="3.7109375" style="43" customWidth="1"/>
    <col min="3356" max="3356" width="20.7109375" style="43" bestFit="1" customWidth="1"/>
    <col min="3357" max="3357" width="15.28515625" style="43" bestFit="1" customWidth="1"/>
    <col min="3358" max="3358" width="21.5703125" style="43" bestFit="1" customWidth="1"/>
    <col min="3359" max="3359" width="23.7109375" style="43" bestFit="1" customWidth="1"/>
    <col min="3360" max="3360" width="1.5703125" style="43" customWidth="1"/>
    <col min="3361" max="3361" width="17.42578125" style="43" bestFit="1" customWidth="1"/>
    <col min="3362" max="3362" width="13.85546875" style="43" bestFit="1" customWidth="1"/>
    <col min="3363" max="3363" width="3.140625" style="43" customWidth="1"/>
    <col min="3364" max="3367" width="0" style="43" hidden="1" customWidth="1"/>
    <col min="3368" max="3368" width="1.5703125" style="43" customWidth="1"/>
    <col min="3369" max="3369" width="19.85546875" style="43" bestFit="1" customWidth="1"/>
    <col min="3370" max="3370" width="1.140625" style="43" customWidth="1"/>
    <col min="3371" max="3584" width="9.140625" style="43"/>
    <col min="3585" max="3585" width="1.85546875" style="43" customWidth="1"/>
    <col min="3586" max="3586" width="4" style="43" bestFit="1" customWidth="1"/>
    <col min="3587" max="3587" width="12.28515625" style="43" bestFit="1" customWidth="1"/>
    <col min="3588" max="3588" width="10.7109375" style="43" bestFit="1" customWidth="1"/>
    <col min="3589" max="3589" width="16" style="43" bestFit="1" customWidth="1"/>
    <col min="3590" max="3590" width="12.5703125" style="43" bestFit="1" customWidth="1"/>
    <col min="3591" max="3591" width="12.5703125" style="43" customWidth="1"/>
    <col min="3592" max="3592" width="3.7109375" style="43" customWidth="1"/>
    <col min="3593" max="3593" width="4" style="43" bestFit="1" customWidth="1"/>
    <col min="3594" max="3594" width="12.28515625" style="43" bestFit="1" customWidth="1"/>
    <col min="3595" max="3595" width="13.85546875" style="43" bestFit="1" customWidth="1"/>
    <col min="3596" max="3596" width="10.7109375" style="43" bestFit="1" customWidth="1"/>
    <col min="3597" max="3597" width="12.28515625" style="43" bestFit="1" customWidth="1"/>
    <col min="3598" max="3598" width="13.7109375" style="43" bestFit="1" customWidth="1"/>
    <col min="3599" max="3599" width="8.42578125" style="43" bestFit="1" customWidth="1"/>
    <col min="3600" max="3600" width="5" style="43" customWidth="1"/>
    <col min="3601" max="3601" width="4" style="43" bestFit="1" customWidth="1"/>
    <col min="3602" max="3602" width="12.28515625" style="43" bestFit="1" customWidth="1"/>
    <col min="3603" max="3603" width="10.85546875" style="43" bestFit="1" customWidth="1"/>
    <col min="3604" max="3604" width="10.5703125" style="43" bestFit="1" customWidth="1"/>
    <col min="3605" max="3605" width="10.7109375" style="43" bestFit="1" customWidth="1"/>
    <col min="3606" max="3606" width="12.5703125" style="43" bestFit="1" customWidth="1"/>
    <col min="3607" max="3607" width="13.7109375" style="43" bestFit="1" customWidth="1"/>
    <col min="3608" max="3608" width="12.5703125" style="43" bestFit="1" customWidth="1"/>
    <col min="3609" max="3609" width="13.7109375" style="43" customWidth="1"/>
    <col min="3610" max="3610" width="15.140625" style="43" bestFit="1" customWidth="1"/>
    <col min="3611" max="3611" width="3.7109375" style="43" customWidth="1"/>
    <col min="3612" max="3612" width="20.7109375" style="43" bestFit="1" customWidth="1"/>
    <col min="3613" max="3613" width="15.28515625" style="43" bestFit="1" customWidth="1"/>
    <col min="3614" max="3614" width="21.5703125" style="43" bestFit="1" customWidth="1"/>
    <col min="3615" max="3615" width="23.7109375" style="43" bestFit="1" customWidth="1"/>
    <col min="3616" max="3616" width="1.5703125" style="43" customWidth="1"/>
    <col min="3617" max="3617" width="17.42578125" style="43" bestFit="1" customWidth="1"/>
    <col min="3618" max="3618" width="13.85546875" style="43" bestFit="1" customWidth="1"/>
    <col min="3619" max="3619" width="3.140625" style="43" customWidth="1"/>
    <col min="3620" max="3623" width="0" style="43" hidden="1" customWidth="1"/>
    <col min="3624" max="3624" width="1.5703125" style="43" customWidth="1"/>
    <col min="3625" max="3625" width="19.85546875" style="43" bestFit="1" customWidth="1"/>
    <col min="3626" max="3626" width="1.140625" style="43" customWidth="1"/>
    <col min="3627" max="3840" width="9.140625" style="43"/>
    <col min="3841" max="3841" width="1.85546875" style="43" customWidth="1"/>
    <col min="3842" max="3842" width="4" style="43" bestFit="1" customWidth="1"/>
    <col min="3843" max="3843" width="12.28515625" style="43" bestFit="1" customWidth="1"/>
    <col min="3844" max="3844" width="10.7109375" style="43" bestFit="1" customWidth="1"/>
    <col min="3845" max="3845" width="16" style="43" bestFit="1" customWidth="1"/>
    <col min="3846" max="3846" width="12.5703125" style="43" bestFit="1" customWidth="1"/>
    <col min="3847" max="3847" width="12.5703125" style="43" customWidth="1"/>
    <col min="3848" max="3848" width="3.7109375" style="43" customWidth="1"/>
    <col min="3849" max="3849" width="4" style="43" bestFit="1" customWidth="1"/>
    <col min="3850" max="3850" width="12.28515625" style="43" bestFit="1" customWidth="1"/>
    <col min="3851" max="3851" width="13.85546875" style="43" bestFit="1" customWidth="1"/>
    <col min="3852" max="3852" width="10.7109375" style="43" bestFit="1" customWidth="1"/>
    <col min="3853" max="3853" width="12.28515625" style="43" bestFit="1" customWidth="1"/>
    <col min="3854" max="3854" width="13.7109375" style="43" bestFit="1" customWidth="1"/>
    <col min="3855" max="3855" width="8.42578125" style="43" bestFit="1" customWidth="1"/>
    <col min="3856" max="3856" width="5" style="43" customWidth="1"/>
    <col min="3857" max="3857" width="4" style="43" bestFit="1" customWidth="1"/>
    <col min="3858" max="3858" width="12.28515625" style="43" bestFit="1" customWidth="1"/>
    <col min="3859" max="3859" width="10.85546875" style="43" bestFit="1" customWidth="1"/>
    <col min="3860" max="3860" width="10.5703125" style="43" bestFit="1" customWidth="1"/>
    <col min="3861" max="3861" width="10.7109375" style="43" bestFit="1" customWidth="1"/>
    <col min="3862" max="3862" width="12.5703125" style="43" bestFit="1" customWidth="1"/>
    <col min="3863" max="3863" width="13.7109375" style="43" bestFit="1" customWidth="1"/>
    <col min="3864" max="3864" width="12.5703125" style="43" bestFit="1" customWidth="1"/>
    <col min="3865" max="3865" width="13.7109375" style="43" customWidth="1"/>
    <col min="3866" max="3866" width="15.140625" style="43" bestFit="1" customWidth="1"/>
    <col min="3867" max="3867" width="3.7109375" style="43" customWidth="1"/>
    <col min="3868" max="3868" width="20.7109375" style="43" bestFit="1" customWidth="1"/>
    <col min="3869" max="3869" width="15.28515625" style="43" bestFit="1" customWidth="1"/>
    <col min="3870" max="3870" width="21.5703125" style="43" bestFit="1" customWidth="1"/>
    <col min="3871" max="3871" width="23.7109375" style="43" bestFit="1" customWidth="1"/>
    <col min="3872" max="3872" width="1.5703125" style="43" customWidth="1"/>
    <col min="3873" max="3873" width="17.42578125" style="43" bestFit="1" customWidth="1"/>
    <col min="3874" max="3874" width="13.85546875" style="43" bestFit="1" customWidth="1"/>
    <col min="3875" max="3875" width="3.140625" style="43" customWidth="1"/>
    <col min="3876" max="3879" width="0" style="43" hidden="1" customWidth="1"/>
    <col min="3880" max="3880" width="1.5703125" style="43" customWidth="1"/>
    <col min="3881" max="3881" width="19.85546875" style="43" bestFit="1" customWidth="1"/>
    <col min="3882" max="3882" width="1.140625" style="43" customWidth="1"/>
    <col min="3883" max="4096" width="9.140625" style="43"/>
    <col min="4097" max="4097" width="1.85546875" style="43" customWidth="1"/>
    <col min="4098" max="4098" width="4" style="43" bestFit="1" customWidth="1"/>
    <col min="4099" max="4099" width="12.28515625" style="43" bestFit="1" customWidth="1"/>
    <col min="4100" max="4100" width="10.7109375" style="43" bestFit="1" customWidth="1"/>
    <col min="4101" max="4101" width="16" style="43" bestFit="1" customWidth="1"/>
    <col min="4102" max="4102" width="12.5703125" style="43" bestFit="1" customWidth="1"/>
    <col min="4103" max="4103" width="12.5703125" style="43" customWidth="1"/>
    <col min="4104" max="4104" width="3.7109375" style="43" customWidth="1"/>
    <col min="4105" max="4105" width="4" style="43" bestFit="1" customWidth="1"/>
    <col min="4106" max="4106" width="12.28515625" style="43" bestFit="1" customWidth="1"/>
    <col min="4107" max="4107" width="13.85546875" style="43" bestFit="1" customWidth="1"/>
    <col min="4108" max="4108" width="10.7109375" style="43" bestFit="1" customWidth="1"/>
    <col min="4109" max="4109" width="12.28515625" style="43" bestFit="1" customWidth="1"/>
    <col min="4110" max="4110" width="13.7109375" style="43" bestFit="1" customWidth="1"/>
    <col min="4111" max="4111" width="8.42578125" style="43" bestFit="1" customWidth="1"/>
    <col min="4112" max="4112" width="5" style="43" customWidth="1"/>
    <col min="4113" max="4113" width="4" style="43" bestFit="1" customWidth="1"/>
    <col min="4114" max="4114" width="12.28515625" style="43" bestFit="1" customWidth="1"/>
    <col min="4115" max="4115" width="10.85546875" style="43" bestFit="1" customWidth="1"/>
    <col min="4116" max="4116" width="10.5703125" style="43" bestFit="1" customWidth="1"/>
    <col min="4117" max="4117" width="10.7109375" style="43" bestFit="1" customWidth="1"/>
    <col min="4118" max="4118" width="12.5703125" style="43" bestFit="1" customWidth="1"/>
    <col min="4119" max="4119" width="13.7109375" style="43" bestFit="1" customWidth="1"/>
    <col min="4120" max="4120" width="12.5703125" style="43" bestFit="1" customWidth="1"/>
    <col min="4121" max="4121" width="13.7109375" style="43" customWidth="1"/>
    <col min="4122" max="4122" width="15.140625" style="43" bestFit="1" customWidth="1"/>
    <col min="4123" max="4123" width="3.7109375" style="43" customWidth="1"/>
    <col min="4124" max="4124" width="20.7109375" style="43" bestFit="1" customWidth="1"/>
    <col min="4125" max="4125" width="15.28515625" style="43" bestFit="1" customWidth="1"/>
    <col min="4126" max="4126" width="21.5703125" style="43" bestFit="1" customWidth="1"/>
    <col min="4127" max="4127" width="23.7109375" style="43" bestFit="1" customWidth="1"/>
    <col min="4128" max="4128" width="1.5703125" style="43" customWidth="1"/>
    <col min="4129" max="4129" width="17.42578125" style="43" bestFit="1" customWidth="1"/>
    <col min="4130" max="4130" width="13.85546875" style="43" bestFit="1" customWidth="1"/>
    <col min="4131" max="4131" width="3.140625" style="43" customWidth="1"/>
    <col min="4132" max="4135" width="0" style="43" hidden="1" customWidth="1"/>
    <col min="4136" max="4136" width="1.5703125" style="43" customWidth="1"/>
    <col min="4137" max="4137" width="19.85546875" style="43" bestFit="1" customWidth="1"/>
    <col min="4138" max="4138" width="1.140625" style="43" customWidth="1"/>
    <col min="4139" max="4352" width="9.140625" style="43"/>
    <col min="4353" max="4353" width="1.85546875" style="43" customWidth="1"/>
    <col min="4354" max="4354" width="4" style="43" bestFit="1" customWidth="1"/>
    <col min="4355" max="4355" width="12.28515625" style="43" bestFit="1" customWidth="1"/>
    <col min="4356" max="4356" width="10.7109375" style="43" bestFit="1" customWidth="1"/>
    <col min="4357" max="4357" width="16" style="43" bestFit="1" customWidth="1"/>
    <col min="4358" max="4358" width="12.5703125" style="43" bestFit="1" customWidth="1"/>
    <col min="4359" max="4359" width="12.5703125" style="43" customWidth="1"/>
    <col min="4360" max="4360" width="3.7109375" style="43" customWidth="1"/>
    <col min="4361" max="4361" width="4" style="43" bestFit="1" customWidth="1"/>
    <col min="4362" max="4362" width="12.28515625" style="43" bestFit="1" customWidth="1"/>
    <col min="4363" max="4363" width="13.85546875" style="43" bestFit="1" customWidth="1"/>
    <col min="4364" max="4364" width="10.7109375" style="43" bestFit="1" customWidth="1"/>
    <col min="4365" max="4365" width="12.28515625" style="43" bestFit="1" customWidth="1"/>
    <col min="4366" max="4366" width="13.7109375" style="43" bestFit="1" customWidth="1"/>
    <col min="4367" max="4367" width="8.42578125" style="43" bestFit="1" customWidth="1"/>
    <col min="4368" max="4368" width="5" style="43" customWidth="1"/>
    <col min="4369" max="4369" width="4" style="43" bestFit="1" customWidth="1"/>
    <col min="4370" max="4370" width="12.28515625" style="43" bestFit="1" customWidth="1"/>
    <col min="4371" max="4371" width="10.85546875" style="43" bestFit="1" customWidth="1"/>
    <col min="4372" max="4372" width="10.5703125" style="43" bestFit="1" customWidth="1"/>
    <col min="4373" max="4373" width="10.7109375" style="43" bestFit="1" customWidth="1"/>
    <col min="4374" max="4374" width="12.5703125" style="43" bestFit="1" customWidth="1"/>
    <col min="4375" max="4375" width="13.7109375" style="43" bestFit="1" customWidth="1"/>
    <col min="4376" max="4376" width="12.5703125" style="43" bestFit="1" customWidth="1"/>
    <col min="4377" max="4377" width="13.7109375" style="43" customWidth="1"/>
    <col min="4378" max="4378" width="15.140625" style="43" bestFit="1" customWidth="1"/>
    <col min="4379" max="4379" width="3.7109375" style="43" customWidth="1"/>
    <col min="4380" max="4380" width="20.7109375" style="43" bestFit="1" customWidth="1"/>
    <col min="4381" max="4381" width="15.28515625" style="43" bestFit="1" customWidth="1"/>
    <col min="4382" max="4382" width="21.5703125" style="43" bestFit="1" customWidth="1"/>
    <col min="4383" max="4383" width="23.7109375" style="43" bestFit="1" customWidth="1"/>
    <col min="4384" max="4384" width="1.5703125" style="43" customWidth="1"/>
    <col min="4385" max="4385" width="17.42578125" style="43" bestFit="1" customWidth="1"/>
    <col min="4386" max="4386" width="13.85546875" style="43" bestFit="1" customWidth="1"/>
    <col min="4387" max="4387" width="3.140625" style="43" customWidth="1"/>
    <col min="4388" max="4391" width="0" style="43" hidden="1" customWidth="1"/>
    <col min="4392" max="4392" width="1.5703125" style="43" customWidth="1"/>
    <col min="4393" max="4393" width="19.85546875" style="43" bestFit="1" customWidth="1"/>
    <col min="4394" max="4394" width="1.140625" style="43" customWidth="1"/>
    <col min="4395" max="4608" width="9.140625" style="43"/>
    <col min="4609" max="4609" width="1.85546875" style="43" customWidth="1"/>
    <col min="4610" max="4610" width="4" style="43" bestFit="1" customWidth="1"/>
    <col min="4611" max="4611" width="12.28515625" style="43" bestFit="1" customWidth="1"/>
    <col min="4612" max="4612" width="10.7109375" style="43" bestFit="1" customWidth="1"/>
    <col min="4613" max="4613" width="16" style="43" bestFit="1" customWidth="1"/>
    <col min="4614" max="4614" width="12.5703125" style="43" bestFit="1" customWidth="1"/>
    <col min="4615" max="4615" width="12.5703125" style="43" customWidth="1"/>
    <col min="4616" max="4616" width="3.7109375" style="43" customWidth="1"/>
    <col min="4617" max="4617" width="4" style="43" bestFit="1" customWidth="1"/>
    <col min="4618" max="4618" width="12.28515625" style="43" bestFit="1" customWidth="1"/>
    <col min="4619" max="4619" width="13.85546875" style="43" bestFit="1" customWidth="1"/>
    <col min="4620" max="4620" width="10.7109375" style="43" bestFit="1" customWidth="1"/>
    <col min="4621" max="4621" width="12.28515625" style="43" bestFit="1" customWidth="1"/>
    <col min="4622" max="4622" width="13.7109375" style="43" bestFit="1" customWidth="1"/>
    <col min="4623" max="4623" width="8.42578125" style="43" bestFit="1" customWidth="1"/>
    <col min="4624" max="4624" width="5" style="43" customWidth="1"/>
    <col min="4625" max="4625" width="4" style="43" bestFit="1" customWidth="1"/>
    <col min="4626" max="4626" width="12.28515625" style="43" bestFit="1" customWidth="1"/>
    <col min="4627" max="4627" width="10.85546875" style="43" bestFit="1" customWidth="1"/>
    <col min="4628" max="4628" width="10.5703125" style="43" bestFit="1" customWidth="1"/>
    <col min="4629" max="4629" width="10.7109375" style="43" bestFit="1" customWidth="1"/>
    <col min="4630" max="4630" width="12.5703125" style="43" bestFit="1" customWidth="1"/>
    <col min="4631" max="4631" width="13.7109375" style="43" bestFit="1" customWidth="1"/>
    <col min="4632" max="4632" width="12.5703125" style="43" bestFit="1" customWidth="1"/>
    <col min="4633" max="4633" width="13.7109375" style="43" customWidth="1"/>
    <col min="4634" max="4634" width="15.140625" style="43" bestFit="1" customWidth="1"/>
    <col min="4635" max="4635" width="3.7109375" style="43" customWidth="1"/>
    <col min="4636" max="4636" width="20.7109375" style="43" bestFit="1" customWidth="1"/>
    <col min="4637" max="4637" width="15.28515625" style="43" bestFit="1" customWidth="1"/>
    <col min="4638" max="4638" width="21.5703125" style="43" bestFit="1" customWidth="1"/>
    <col min="4639" max="4639" width="23.7109375" style="43" bestFit="1" customWidth="1"/>
    <col min="4640" max="4640" width="1.5703125" style="43" customWidth="1"/>
    <col min="4641" max="4641" width="17.42578125" style="43" bestFit="1" customWidth="1"/>
    <col min="4642" max="4642" width="13.85546875" style="43" bestFit="1" customWidth="1"/>
    <col min="4643" max="4643" width="3.140625" style="43" customWidth="1"/>
    <col min="4644" max="4647" width="0" style="43" hidden="1" customWidth="1"/>
    <col min="4648" max="4648" width="1.5703125" style="43" customWidth="1"/>
    <col min="4649" max="4649" width="19.85546875" style="43" bestFit="1" customWidth="1"/>
    <col min="4650" max="4650" width="1.140625" style="43" customWidth="1"/>
    <col min="4651" max="4864" width="9.140625" style="43"/>
    <col min="4865" max="4865" width="1.85546875" style="43" customWidth="1"/>
    <col min="4866" max="4866" width="4" style="43" bestFit="1" customWidth="1"/>
    <col min="4867" max="4867" width="12.28515625" style="43" bestFit="1" customWidth="1"/>
    <col min="4868" max="4868" width="10.7109375" style="43" bestFit="1" customWidth="1"/>
    <col min="4869" max="4869" width="16" style="43" bestFit="1" customWidth="1"/>
    <col min="4870" max="4870" width="12.5703125" style="43" bestFit="1" customWidth="1"/>
    <col min="4871" max="4871" width="12.5703125" style="43" customWidth="1"/>
    <col min="4872" max="4872" width="3.7109375" style="43" customWidth="1"/>
    <col min="4873" max="4873" width="4" style="43" bestFit="1" customWidth="1"/>
    <col min="4874" max="4874" width="12.28515625" style="43" bestFit="1" customWidth="1"/>
    <col min="4875" max="4875" width="13.85546875" style="43" bestFit="1" customWidth="1"/>
    <col min="4876" max="4876" width="10.7109375" style="43" bestFit="1" customWidth="1"/>
    <col min="4877" max="4877" width="12.28515625" style="43" bestFit="1" customWidth="1"/>
    <col min="4878" max="4878" width="13.7109375" style="43" bestFit="1" customWidth="1"/>
    <col min="4879" max="4879" width="8.42578125" style="43" bestFit="1" customWidth="1"/>
    <col min="4880" max="4880" width="5" style="43" customWidth="1"/>
    <col min="4881" max="4881" width="4" style="43" bestFit="1" customWidth="1"/>
    <col min="4882" max="4882" width="12.28515625" style="43" bestFit="1" customWidth="1"/>
    <col min="4883" max="4883" width="10.85546875" style="43" bestFit="1" customWidth="1"/>
    <col min="4884" max="4884" width="10.5703125" style="43" bestFit="1" customWidth="1"/>
    <col min="4885" max="4885" width="10.7109375" style="43" bestFit="1" customWidth="1"/>
    <col min="4886" max="4886" width="12.5703125" style="43" bestFit="1" customWidth="1"/>
    <col min="4887" max="4887" width="13.7109375" style="43" bestFit="1" customWidth="1"/>
    <col min="4888" max="4888" width="12.5703125" style="43" bestFit="1" customWidth="1"/>
    <col min="4889" max="4889" width="13.7109375" style="43" customWidth="1"/>
    <col min="4890" max="4890" width="15.140625" style="43" bestFit="1" customWidth="1"/>
    <col min="4891" max="4891" width="3.7109375" style="43" customWidth="1"/>
    <col min="4892" max="4892" width="20.7109375" style="43" bestFit="1" customWidth="1"/>
    <col min="4893" max="4893" width="15.28515625" style="43" bestFit="1" customWidth="1"/>
    <col min="4894" max="4894" width="21.5703125" style="43" bestFit="1" customWidth="1"/>
    <col min="4895" max="4895" width="23.7109375" style="43" bestFit="1" customWidth="1"/>
    <col min="4896" max="4896" width="1.5703125" style="43" customWidth="1"/>
    <col min="4897" max="4897" width="17.42578125" style="43" bestFit="1" customWidth="1"/>
    <col min="4898" max="4898" width="13.85546875" style="43" bestFit="1" customWidth="1"/>
    <col min="4899" max="4899" width="3.140625" style="43" customWidth="1"/>
    <col min="4900" max="4903" width="0" style="43" hidden="1" customWidth="1"/>
    <col min="4904" max="4904" width="1.5703125" style="43" customWidth="1"/>
    <col min="4905" max="4905" width="19.85546875" style="43" bestFit="1" customWidth="1"/>
    <col min="4906" max="4906" width="1.140625" style="43" customWidth="1"/>
    <col min="4907" max="5120" width="9.140625" style="43"/>
    <col min="5121" max="5121" width="1.85546875" style="43" customWidth="1"/>
    <col min="5122" max="5122" width="4" style="43" bestFit="1" customWidth="1"/>
    <col min="5123" max="5123" width="12.28515625" style="43" bestFit="1" customWidth="1"/>
    <col min="5124" max="5124" width="10.7109375" style="43" bestFit="1" customWidth="1"/>
    <col min="5125" max="5125" width="16" style="43" bestFit="1" customWidth="1"/>
    <col min="5126" max="5126" width="12.5703125" style="43" bestFit="1" customWidth="1"/>
    <col min="5127" max="5127" width="12.5703125" style="43" customWidth="1"/>
    <col min="5128" max="5128" width="3.7109375" style="43" customWidth="1"/>
    <col min="5129" max="5129" width="4" style="43" bestFit="1" customWidth="1"/>
    <col min="5130" max="5130" width="12.28515625" style="43" bestFit="1" customWidth="1"/>
    <col min="5131" max="5131" width="13.85546875" style="43" bestFit="1" customWidth="1"/>
    <col min="5132" max="5132" width="10.7109375" style="43" bestFit="1" customWidth="1"/>
    <col min="5133" max="5133" width="12.28515625" style="43" bestFit="1" customWidth="1"/>
    <col min="5134" max="5134" width="13.7109375" style="43" bestFit="1" customWidth="1"/>
    <col min="5135" max="5135" width="8.42578125" style="43" bestFit="1" customWidth="1"/>
    <col min="5136" max="5136" width="5" style="43" customWidth="1"/>
    <col min="5137" max="5137" width="4" style="43" bestFit="1" customWidth="1"/>
    <col min="5138" max="5138" width="12.28515625" style="43" bestFit="1" customWidth="1"/>
    <col min="5139" max="5139" width="10.85546875" style="43" bestFit="1" customWidth="1"/>
    <col min="5140" max="5140" width="10.5703125" style="43" bestFit="1" customWidth="1"/>
    <col min="5141" max="5141" width="10.7109375" style="43" bestFit="1" customWidth="1"/>
    <col min="5142" max="5142" width="12.5703125" style="43" bestFit="1" customWidth="1"/>
    <col min="5143" max="5143" width="13.7109375" style="43" bestFit="1" customWidth="1"/>
    <col min="5144" max="5144" width="12.5703125" style="43" bestFit="1" customWidth="1"/>
    <col min="5145" max="5145" width="13.7109375" style="43" customWidth="1"/>
    <col min="5146" max="5146" width="15.140625" style="43" bestFit="1" customWidth="1"/>
    <col min="5147" max="5147" width="3.7109375" style="43" customWidth="1"/>
    <col min="5148" max="5148" width="20.7109375" style="43" bestFit="1" customWidth="1"/>
    <col min="5149" max="5149" width="15.28515625" style="43" bestFit="1" customWidth="1"/>
    <col min="5150" max="5150" width="21.5703125" style="43" bestFit="1" customWidth="1"/>
    <col min="5151" max="5151" width="23.7109375" style="43" bestFit="1" customWidth="1"/>
    <col min="5152" max="5152" width="1.5703125" style="43" customWidth="1"/>
    <col min="5153" max="5153" width="17.42578125" style="43" bestFit="1" customWidth="1"/>
    <col min="5154" max="5154" width="13.85546875" style="43" bestFit="1" customWidth="1"/>
    <col min="5155" max="5155" width="3.140625" style="43" customWidth="1"/>
    <col min="5156" max="5159" width="0" style="43" hidden="1" customWidth="1"/>
    <col min="5160" max="5160" width="1.5703125" style="43" customWidth="1"/>
    <col min="5161" max="5161" width="19.85546875" style="43" bestFit="1" customWidth="1"/>
    <col min="5162" max="5162" width="1.140625" style="43" customWidth="1"/>
    <col min="5163" max="5376" width="9.140625" style="43"/>
    <col min="5377" max="5377" width="1.85546875" style="43" customWidth="1"/>
    <col min="5378" max="5378" width="4" style="43" bestFit="1" customWidth="1"/>
    <col min="5379" max="5379" width="12.28515625" style="43" bestFit="1" customWidth="1"/>
    <col min="5380" max="5380" width="10.7109375" style="43" bestFit="1" customWidth="1"/>
    <col min="5381" max="5381" width="16" style="43" bestFit="1" customWidth="1"/>
    <col min="5382" max="5382" width="12.5703125" style="43" bestFit="1" customWidth="1"/>
    <col min="5383" max="5383" width="12.5703125" style="43" customWidth="1"/>
    <col min="5384" max="5384" width="3.7109375" style="43" customWidth="1"/>
    <col min="5385" max="5385" width="4" style="43" bestFit="1" customWidth="1"/>
    <col min="5386" max="5386" width="12.28515625" style="43" bestFit="1" customWidth="1"/>
    <col min="5387" max="5387" width="13.85546875" style="43" bestFit="1" customWidth="1"/>
    <col min="5388" max="5388" width="10.7109375" style="43" bestFit="1" customWidth="1"/>
    <col min="5389" max="5389" width="12.28515625" style="43" bestFit="1" customWidth="1"/>
    <col min="5390" max="5390" width="13.7109375" style="43" bestFit="1" customWidth="1"/>
    <col min="5391" max="5391" width="8.42578125" style="43" bestFit="1" customWidth="1"/>
    <col min="5392" max="5392" width="5" style="43" customWidth="1"/>
    <col min="5393" max="5393" width="4" style="43" bestFit="1" customWidth="1"/>
    <col min="5394" max="5394" width="12.28515625" style="43" bestFit="1" customWidth="1"/>
    <col min="5395" max="5395" width="10.85546875" style="43" bestFit="1" customWidth="1"/>
    <col min="5396" max="5396" width="10.5703125" style="43" bestFit="1" customWidth="1"/>
    <col min="5397" max="5397" width="10.7109375" style="43" bestFit="1" customWidth="1"/>
    <col min="5398" max="5398" width="12.5703125" style="43" bestFit="1" customWidth="1"/>
    <col min="5399" max="5399" width="13.7109375" style="43" bestFit="1" customWidth="1"/>
    <col min="5400" max="5400" width="12.5703125" style="43" bestFit="1" customWidth="1"/>
    <col min="5401" max="5401" width="13.7109375" style="43" customWidth="1"/>
    <col min="5402" max="5402" width="15.140625" style="43" bestFit="1" customWidth="1"/>
    <col min="5403" max="5403" width="3.7109375" style="43" customWidth="1"/>
    <col min="5404" max="5404" width="20.7109375" style="43" bestFit="1" customWidth="1"/>
    <col min="5405" max="5405" width="15.28515625" style="43" bestFit="1" customWidth="1"/>
    <col min="5406" max="5406" width="21.5703125" style="43" bestFit="1" customWidth="1"/>
    <col min="5407" max="5407" width="23.7109375" style="43" bestFit="1" customWidth="1"/>
    <col min="5408" max="5408" width="1.5703125" style="43" customWidth="1"/>
    <col min="5409" max="5409" width="17.42578125" style="43" bestFit="1" customWidth="1"/>
    <col min="5410" max="5410" width="13.85546875" style="43" bestFit="1" customWidth="1"/>
    <col min="5411" max="5411" width="3.140625" style="43" customWidth="1"/>
    <col min="5412" max="5415" width="0" style="43" hidden="1" customWidth="1"/>
    <col min="5416" max="5416" width="1.5703125" style="43" customWidth="1"/>
    <col min="5417" max="5417" width="19.85546875" style="43" bestFit="1" customWidth="1"/>
    <col min="5418" max="5418" width="1.140625" style="43" customWidth="1"/>
    <col min="5419" max="5632" width="9.140625" style="43"/>
    <col min="5633" max="5633" width="1.85546875" style="43" customWidth="1"/>
    <col min="5634" max="5634" width="4" style="43" bestFit="1" customWidth="1"/>
    <col min="5635" max="5635" width="12.28515625" style="43" bestFit="1" customWidth="1"/>
    <col min="5636" max="5636" width="10.7109375" style="43" bestFit="1" customWidth="1"/>
    <col min="5637" max="5637" width="16" style="43" bestFit="1" customWidth="1"/>
    <col min="5638" max="5638" width="12.5703125" style="43" bestFit="1" customWidth="1"/>
    <col min="5639" max="5639" width="12.5703125" style="43" customWidth="1"/>
    <col min="5640" max="5640" width="3.7109375" style="43" customWidth="1"/>
    <col min="5641" max="5641" width="4" style="43" bestFit="1" customWidth="1"/>
    <col min="5642" max="5642" width="12.28515625" style="43" bestFit="1" customWidth="1"/>
    <col min="5643" max="5643" width="13.85546875" style="43" bestFit="1" customWidth="1"/>
    <col min="5644" max="5644" width="10.7109375" style="43" bestFit="1" customWidth="1"/>
    <col min="5645" max="5645" width="12.28515625" style="43" bestFit="1" customWidth="1"/>
    <col min="5646" max="5646" width="13.7109375" style="43" bestFit="1" customWidth="1"/>
    <col min="5647" max="5647" width="8.42578125" style="43" bestFit="1" customWidth="1"/>
    <col min="5648" max="5648" width="5" style="43" customWidth="1"/>
    <col min="5649" max="5649" width="4" style="43" bestFit="1" customWidth="1"/>
    <col min="5650" max="5650" width="12.28515625" style="43" bestFit="1" customWidth="1"/>
    <col min="5651" max="5651" width="10.85546875" style="43" bestFit="1" customWidth="1"/>
    <col min="5652" max="5652" width="10.5703125" style="43" bestFit="1" customWidth="1"/>
    <col min="5653" max="5653" width="10.7109375" style="43" bestFit="1" customWidth="1"/>
    <col min="5654" max="5654" width="12.5703125" style="43" bestFit="1" customWidth="1"/>
    <col min="5655" max="5655" width="13.7109375" style="43" bestFit="1" customWidth="1"/>
    <col min="5656" max="5656" width="12.5703125" style="43" bestFit="1" customWidth="1"/>
    <col min="5657" max="5657" width="13.7109375" style="43" customWidth="1"/>
    <col min="5658" max="5658" width="15.140625" style="43" bestFit="1" customWidth="1"/>
    <col min="5659" max="5659" width="3.7109375" style="43" customWidth="1"/>
    <col min="5660" max="5660" width="20.7109375" style="43" bestFit="1" customWidth="1"/>
    <col min="5661" max="5661" width="15.28515625" style="43" bestFit="1" customWidth="1"/>
    <col min="5662" max="5662" width="21.5703125" style="43" bestFit="1" customWidth="1"/>
    <col min="5663" max="5663" width="23.7109375" style="43" bestFit="1" customWidth="1"/>
    <col min="5664" max="5664" width="1.5703125" style="43" customWidth="1"/>
    <col min="5665" max="5665" width="17.42578125" style="43" bestFit="1" customWidth="1"/>
    <col min="5666" max="5666" width="13.85546875" style="43" bestFit="1" customWidth="1"/>
    <col min="5667" max="5667" width="3.140625" style="43" customWidth="1"/>
    <col min="5668" max="5671" width="0" style="43" hidden="1" customWidth="1"/>
    <col min="5672" max="5672" width="1.5703125" style="43" customWidth="1"/>
    <col min="5673" max="5673" width="19.85546875" style="43" bestFit="1" customWidth="1"/>
    <col min="5674" max="5674" width="1.140625" style="43" customWidth="1"/>
    <col min="5675" max="5888" width="9.140625" style="43"/>
    <col min="5889" max="5889" width="1.85546875" style="43" customWidth="1"/>
    <col min="5890" max="5890" width="4" style="43" bestFit="1" customWidth="1"/>
    <col min="5891" max="5891" width="12.28515625" style="43" bestFit="1" customWidth="1"/>
    <col min="5892" max="5892" width="10.7109375" style="43" bestFit="1" customWidth="1"/>
    <col min="5893" max="5893" width="16" style="43" bestFit="1" customWidth="1"/>
    <col min="5894" max="5894" width="12.5703125" style="43" bestFit="1" customWidth="1"/>
    <col min="5895" max="5895" width="12.5703125" style="43" customWidth="1"/>
    <col min="5896" max="5896" width="3.7109375" style="43" customWidth="1"/>
    <col min="5897" max="5897" width="4" style="43" bestFit="1" customWidth="1"/>
    <col min="5898" max="5898" width="12.28515625" style="43" bestFit="1" customWidth="1"/>
    <col min="5899" max="5899" width="13.85546875" style="43" bestFit="1" customWidth="1"/>
    <col min="5900" max="5900" width="10.7109375" style="43" bestFit="1" customWidth="1"/>
    <col min="5901" max="5901" width="12.28515625" style="43" bestFit="1" customWidth="1"/>
    <col min="5902" max="5902" width="13.7109375" style="43" bestFit="1" customWidth="1"/>
    <col min="5903" max="5903" width="8.42578125" style="43" bestFit="1" customWidth="1"/>
    <col min="5904" max="5904" width="5" style="43" customWidth="1"/>
    <col min="5905" max="5905" width="4" style="43" bestFit="1" customWidth="1"/>
    <col min="5906" max="5906" width="12.28515625" style="43" bestFit="1" customWidth="1"/>
    <col min="5907" max="5907" width="10.85546875" style="43" bestFit="1" customWidth="1"/>
    <col min="5908" max="5908" width="10.5703125" style="43" bestFit="1" customWidth="1"/>
    <col min="5909" max="5909" width="10.7109375" style="43" bestFit="1" customWidth="1"/>
    <col min="5910" max="5910" width="12.5703125" style="43" bestFit="1" customWidth="1"/>
    <col min="5911" max="5911" width="13.7109375" style="43" bestFit="1" customWidth="1"/>
    <col min="5912" max="5912" width="12.5703125" style="43" bestFit="1" customWidth="1"/>
    <col min="5913" max="5913" width="13.7109375" style="43" customWidth="1"/>
    <col min="5914" max="5914" width="15.140625" style="43" bestFit="1" customWidth="1"/>
    <col min="5915" max="5915" width="3.7109375" style="43" customWidth="1"/>
    <col min="5916" max="5916" width="20.7109375" style="43" bestFit="1" customWidth="1"/>
    <col min="5917" max="5917" width="15.28515625" style="43" bestFit="1" customWidth="1"/>
    <col min="5918" max="5918" width="21.5703125" style="43" bestFit="1" customWidth="1"/>
    <col min="5919" max="5919" width="23.7109375" style="43" bestFit="1" customWidth="1"/>
    <col min="5920" max="5920" width="1.5703125" style="43" customWidth="1"/>
    <col min="5921" max="5921" width="17.42578125" style="43" bestFit="1" customWidth="1"/>
    <col min="5922" max="5922" width="13.85546875" style="43" bestFit="1" customWidth="1"/>
    <col min="5923" max="5923" width="3.140625" style="43" customWidth="1"/>
    <col min="5924" max="5927" width="0" style="43" hidden="1" customWidth="1"/>
    <col min="5928" max="5928" width="1.5703125" style="43" customWidth="1"/>
    <col min="5929" max="5929" width="19.85546875" style="43" bestFit="1" customWidth="1"/>
    <col min="5930" max="5930" width="1.140625" style="43" customWidth="1"/>
    <col min="5931" max="6144" width="9.140625" style="43"/>
    <col min="6145" max="6145" width="1.85546875" style="43" customWidth="1"/>
    <col min="6146" max="6146" width="4" style="43" bestFit="1" customWidth="1"/>
    <col min="6147" max="6147" width="12.28515625" style="43" bestFit="1" customWidth="1"/>
    <col min="6148" max="6148" width="10.7109375" style="43" bestFit="1" customWidth="1"/>
    <col min="6149" max="6149" width="16" style="43" bestFit="1" customWidth="1"/>
    <col min="6150" max="6150" width="12.5703125" style="43" bestFit="1" customWidth="1"/>
    <col min="6151" max="6151" width="12.5703125" style="43" customWidth="1"/>
    <col min="6152" max="6152" width="3.7109375" style="43" customWidth="1"/>
    <col min="6153" max="6153" width="4" style="43" bestFit="1" customWidth="1"/>
    <col min="6154" max="6154" width="12.28515625" style="43" bestFit="1" customWidth="1"/>
    <col min="6155" max="6155" width="13.85546875" style="43" bestFit="1" customWidth="1"/>
    <col min="6156" max="6156" width="10.7109375" style="43" bestFit="1" customWidth="1"/>
    <col min="6157" max="6157" width="12.28515625" style="43" bestFit="1" customWidth="1"/>
    <col min="6158" max="6158" width="13.7109375" style="43" bestFit="1" customWidth="1"/>
    <col min="6159" max="6159" width="8.42578125" style="43" bestFit="1" customWidth="1"/>
    <col min="6160" max="6160" width="5" style="43" customWidth="1"/>
    <col min="6161" max="6161" width="4" style="43" bestFit="1" customWidth="1"/>
    <col min="6162" max="6162" width="12.28515625" style="43" bestFit="1" customWidth="1"/>
    <col min="6163" max="6163" width="10.85546875" style="43" bestFit="1" customWidth="1"/>
    <col min="6164" max="6164" width="10.5703125" style="43" bestFit="1" customWidth="1"/>
    <col min="6165" max="6165" width="10.7109375" style="43" bestFit="1" customWidth="1"/>
    <col min="6166" max="6166" width="12.5703125" style="43" bestFit="1" customWidth="1"/>
    <col min="6167" max="6167" width="13.7109375" style="43" bestFit="1" customWidth="1"/>
    <col min="6168" max="6168" width="12.5703125" style="43" bestFit="1" customWidth="1"/>
    <col min="6169" max="6169" width="13.7109375" style="43" customWidth="1"/>
    <col min="6170" max="6170" width="15.140625" style="43" bestFit="1" customWidth="1"/>
    <col min="6171" max="6171" width="3.7109375" style="43" customWidth="1"/>
    <col min="6172" max="6172" width="20.7109375" style="43" bestFit="1" customWidth="1"/>
    <col min="6173" max="6173" width="15.28515625" style="43" bestFit="1" customWidth="1"/>
    <col min="6174" max="6174" width="21.5703125" style="43" bestFit="1" customWidth="1"/>
    <col min="6175" max="6175" width="23.7109375" style="43" bestFit="1" customWidth="1"/>
    <col min="6176" max="6176" width="1.5703125" style="43" customWidth="1"/>
    <col min="6177" max="6177" width="17.42578125" style="43" bestFit="1" customWidth="1"/>
    <col min="6178" max="6178" width="13.85546875" style="43" bestFit="1" customWidth="1"/>
    <col min="6179" max="6179" width="3.140625" style="43" customWidth="1"/>
    <col min="6180" max="6183" width="0" style="43" hidden="1" customWidth="1"/>
    <col min="6184" max="6184" width="1.5703125" style="43" customWidth="1"/>
    <col min="6185" max="6185" width="19.85546875" style="43" bestFit="1" customWidth="1"/>
    <col min="6186" max="6186" width="1.140625" style="43" customWidth="1"/>
    <col min="6187" max="6400" width="9.140625" style="43"/>
    <col min="6401" max="6401" width="1.85546875" style="43" customWidth="1"/>
    <col min="6402" max="6402" width="4" style="43" bestFit="1" customWidth="1"/>
    <col min="6403" max="6403" width="12.28515625" style="43" bestFit="1" customWidth="1"/>
    <col min="6404" max="6404" width="10.7109375" style="43" bestFit="1" customWidth="1"/>
    <col min="6405" max="6405" width="16" style="43" bestFit="1" customWidth="1"/>
    <col min="6406" max="6406" width="12.5703125" style="43" bestFit="1" customWidth="1"/>
    <col min="6407" max="6407" width="12.5703125" style="43" customWidth="1"/>
    <col min="6408" max="6408" width="3.7109375" style="43" customWidth="1"/>
    <col min="6409" max="6409" width="4" style="43" bestFit="1" customWidth="1"/>
    <col min="6410" max="6410" width="12.28515625" style="43" bestFit="1" customWidth="1"/>
    <col min="6411" max="6411" width="13.85546875" style="43" bestFit="1" customWidth="1"/>
    <col min="6412" max="6412" width="10.7109375" style="43" bestFit="1" customWidth="1"/>
    <col min="6413" max="6413" width="12.28515625" style="43" bestFit="1" customWidth="1"/>
    <col min="6414" max="6414" width="13.7109375" style="43" bestFit="1" customWidth="1"/>
    <col min="6415" max="6415" width="8.42578125" style="43" bestFit="1" customWidth="1"/>
    <col min="6416" max="6416" width="5" style="43" customWidth="1"/>
    <col min="6417" max="6417" width="4" style="43" bestFit="1" customWidth="1"/>
    <col min="6418" max="6418" width="12.28515625" style="43" bestFit="1" customWidth="1"/>
    <col min="6419" max="6419" width="10.85546875" style="43" bestFit="1" customWidth="1"/>
    <col min="6420" max="6420" width="10.5703125" style="43" bestFit="1" customWidth="1"/>
    <col min="6421" max="6421" width="10.7109375" style="43" bestFit="1" customWidth="1"/>
    <col min="6422" max="6422" width="12.5703125" style="43" bestFit="1" customWidth="1"/>
    <col min="6423" max="6423" width="13.7109375" style="43" bestFit="1" customWidth="1"/>
    <col min="6424" max="6424" width="12.5703125" style="43" bestFit="1" customWidth="1"/>
    <col min="6425" max="6425" width="13.7109375" style="43" customWidth="1"/>
    <col min="6426" max="6426" width="15.140625" style="43" bestFit="1" customWidth="1"/>
    <col min="6427" max="6427" width="3.7109375" style="43" customWidth="1"/>
    <col min="6428" max="6428" width="20.7109375" style="43" bestFit="1" customWidth="1"/>
    <col min="6429" max="6429" width="15.28515625" style="43" bestFit="1" customWidth="1"/>
    <col min="6430" max="6430" width="21.5703125" style="43" bestFit="1" customWidth="1"/>
    <col min="6431" max="6431" width="23.7109375" style="43" bestFit="1" customWidth="1"/>
    <col min="6432" max="6432" width="1.5703125" style="43" customWidth="1"/>
    <col min="6433" max="6433" width="17.42578125" style="43" bestFit="1" customWidth="1"/>
    <col min="6434" max="6434" width="13.85546875" style="43" bestFit="1" customWidth="1"/>
    <col min="6435" max="6435" width="3.140625" style="43" customWidth="1"/>
    <col min="6436" max="6439" width="0" style="43" hidden="1" customWidth="1"/>
    <col min="6440" max="6440" width="1.5703125" style="43" customWidth="1"/>
    <col min="6441" max="6441" width="19.85546875" style="43" bestFit="1" customWidth="1"/>
    <col min="6442" max="6442" width="1.140625" style="43" customWidth="1"/>
    <col min="6443" max="6656" width="9.140625" style="43"/>
    <col min="6657" max="6657" width="1.85546875" style="43" customWidth="1"/>
    <col min="6658" max="6658" width="4" style="43" bestFit="1" customWidth="1"/>
    <col min="6659" max="6659" width="12.28515625" style="43" bestFit="1" customWidth="1"/>
    <col min="6660" max="6660" width="10.7109375" style="43" bestFit="1" customWidth="1"/>
    <col min="6661" max="6661" width="16" style="43" bestFit="1" customWidth="1"/>
    <col min="6662" max="6662" width="12.5703125" style="43" bestFit="1" customWidth="1"/>
    <col min="6663" max="6663" width="12.5703125" style="43" customWidth="1"/>
    <col min="6664" max="6664" width="3.7109375" style="43" customWidth="1"/>
    <col min="6665" max="6665" width="4" style="43" bestFit="1" customWidth="1"/>
    <col min="6666" max="6666" width="12.28515625" style="43" bestFit="1" customWidth="1"/>
    <col min="6667" max="6667" width="13.85546875" style="43" bestFit="1" customWidth="1"/>
    <col min="6668" max="6668" width="10.7109375" style="43" bestFit="1" customWidth="1"/>
    <col min="6669" max="6669" width="12.28515625" style="43" bestFit="1" customWidth="1"/>
    <col min="6670" max="6670" width="13.7109375" style="43" bestFit="1" customWidth="1"/>
    <col min="6671" max="6671" width="8.42578125" style="43" bestFit="1" customWidth="1"/>
    <col min="6672" max="6672" width="5" style="43" customWidth="1"/>
    <col min="6673" max="6673" width="4" style="43" bestFit="1" customWidth="1"/>
    <col min="6674" max="6674" width="12.28515625" style="43" bestFit="1" customWidth="1"/>
    <col min="6675" max="6675" width="10.85546875" style="43" bestFit="1" customWidth="1"/>
    <col min="6676" max="6676" width="10.5703125" style="43" bestFit="1" customWidth="1"/>
    <col min="6677" max="6677" width="10.7109375" style="43" bestFit="1" customWidth="1"/>
    <col min="6678" max="6678" width="12.5703125" style="43" bestFit="1" customWidth="1"/>
    <col min="6679" max="6679" width="13.7109375" style="43" bestFit="1" customWidth="1"/>
    <col min="6680" max="6680" width="12.5703125" style="43" bestFit="1" customWidth="1"/>
    <col min="6681" max="6681" width="13.7109375" style="43" customWidth="1"/>
    <col min="6682" max="6682" width="15.140625" style="43" bestFit="1" customWidth="1"/>
    <col min="6683" max="6683" width="3.7109375" style="43" customWidth="1"/>
    <col min="6684" max="6684" width="20.7109375" style="43" bestFit="1" customWidth="1"/>
    <col min="6685" max="6685" width="15.28515625" style="43" bestFit="1" customWidth="1"/>
    <col min="6686" max="6686" width="21.5703125" style="43" bestFit="1" customWidth="1"/>
    <col min="6687" max="6687" width="23.7109375" style="43" bestFit="1" customWidth="1"/>
    <col min="6688" max="6688" width="1.5703125" style="43" customWidth="1"/>
    <col min="6689" max="6689" width="17.42578125" style="43" bestFit="1" customWidth="1"/>
    <col min="6690" max="6690" width="13.85546875" style="43" bestFit="1" customWidth="1"/>
    <col min="6691" max="6691" width="3.140625" style="43" customWidth="1"/>
    <col min="6692" max="6695" width="0" style="43" hidden="1" customWidth="1"/>
    <col min="6696" max="6696" width="1.5703125" style="43" customWidth="1"/>
    <col min="6697" max="6697" width="19.85546875" style="43" bestFit="1" customWidth="1"/>
    <col min="6698" max="6698" width="1.140625" style="43" customWidth="1"/>
    <col min="6699" max="6912" width="9.140625" style="43"/>
    <col min="6913" max="6913" width="1.85546875" style="43" customWidth="1"/>
    <col min="6914" max="6914" width="4" style="43" bestFit="1" customWidth="1"/>
    <col min="6915" max="6915" width="12.28515625" style="43" bestFit="1" customWidth="1"/>
    <col min="6916" max="6916" width="10.7109375" style="43" bestFit="1" customWidth="1"/>
    <col min="6917" max="6917" width="16" style="43" bestFit="1" customWidth="1"/>
    <col min="6918" max="6918" width="12.5703125" style="43" bestFit="1" customWidth="1"/>
    <col min="6919" max="6919" width="12.5703125" style="43" customWidth="1"/>
    <col min="6920" max="6920" width="3.7109375" style="43" customWidth="1"/>
    <col min="6921" max="6921" width="4" style="43" bestFit="1" customWidth="1"/>
    <col min="6922" max="6922" width="12.28515625" style="43" bestFit="1" customWidth="1"/>
    <col min="6923" max="6923" width="13.85546875" style="43" bestFit="1" customWidth="1"/>
    <col min="6924" max="6924" width="10.7109375" style="43" bestFit="1" customWidth="1"/>
    <col min="6925" max="6925" width="12.28515625" style="43" bestFit="1" customWidth="1"/>
    <col min="6926" max="6926" width="13.7109375" style="43" bestFit="1" customWidth="1"/>
    <col min="6927" max="6927" width="8.42578125" style="43" bestFit="1" customWidth="1"/>
    <col min="6928" max="6928" width="5" style="43" customWidth="1"/>
    <col min="6929" max="6929" width="4" style="43" bestFit="1" customWidth="1"/>
    <col min="6930" max="6930" width="12.28515625" style="43" bestFit="1" customWidth="1"/>
    <col min="6931" max="6931" width="10.85546875" style="43" bestFit="1" customWidth="1"/>
    <col min="6932" max="6932" width="10.5703125" style="43" bestFit="1" customWidth="1"/>
    <col min="6933" max="6933" width="10.7109375" style="43" bestFit="1" customWidth="1"/>
    <col min="6934" max="6934" width="12.5703125" style="43" bestFit="1" customWidth="1"/>
    <col min="6935" max="6935" width="13.7109375" style="43" bestFit="1" customWidth="1"/>
    <col min="6936" max="6936" width="12.5703125" style="43" bestFit="1" customWidth="1"/>
    <col min="6937" max="6937" width="13.7109375" style="43" customWidth="1"/>
    <col min="6938" max="6938" width="15.140625" style="43" bestFit="1" customWidth="1"/>
    <col min="6939" max="6939" width="3.7109375" style="43" customWidth="1"/>
    <col min="6940" max="6940" width="20.7109375" style="43" bestFit="1" customWidth="1"/>
    <col min="6941" max="6941" width="15.28515625" style="43" bestFit="1" customWidth="1"/>
    <col min="6942" max="6942" width="21.5703125" style="43" bestFit="1" customWidth="1"/>
    <col min="6943" max="6943" width="23.7109375" style="43" bestFit="1" customWidth="1"/>
    <col min="6944" max="6944" width="1.5703125" style="43" customWidth="1"/>
    <col min="6945" max="6945" width="17.42578125" style="43" bestFit="1" customWidth="1"/>
    <col min="6946" max="6946" width="13.85546875" style="43" bestFit="1" customWidth="1"/>
    <col min="6947" max="6947" width="3.140625" style="43" customWidth="1"/>
    <col min="6948" max="6951" width="0" style="43" hidden="1" customWidth="1"/>
    <col min="6952" max="6952" width="1.5703125" style="43" customWidth="1"/>
    <col min="6953" max="6953" width="19.85546875" style="43" bestFit="1" customWidth="1"/>
    <col min="6954" max="6954" width="1.140625" style="43" customWidth="1"/>
    <col min="6955" max="7168" width="9.140625" style="43"/>
    <col min="7169" max="7169" width="1.85546875" style="43" customWidth="1"/>
    <col min="7170" max="7170" width="4" style="43" bestFit="1" customWidth="1"/>
    <col min="7171" max="7171" width="12.28515625" style="43" bestFit="1" customWidth="1"/>
    <col min="7172" max="7172" width="10.7109375" style="43" bestFit="1" customWidth="1"/>
    <col min="7173" max="7173" width="16" style="43" bestFit="1" customWidth="1"/>
    <col min="7174" max="7174" width="12.5703125" style="43" bestFit="1" customWidth="1"/>
    <col min="7175" max="7175" width="12.5703125" style="43" customWidth="1"/>
    <col min="7176" max="7176" width="3.7109375" style="43" customWidth="1"/>
    <col min="7177" max="7177" width="4" style="43" bestFit="1" customWidth="1"/>
    <col min="7178" max="7178" width="12.28515625" style="43" bestFit="1" customWidth="1"/>
    <col min="7179" max="7179" width="13.85546875" style="43" bestFit="1" customWidth="1"/>
    <col min="7180" max="7180" width="10.7109375" style="43" bestFit="1" customWidth="1"/>
    <col min="7181" max="7181" width="12.28515625" style="43" bestFit="1" customWidth="1"/>
    <col min="7182" max="7182" width="13.7109375" style="43" bestFit="1" customWidth="1"/>
    <col min="7183" max="7183" width="8.42578125" style="43" bestFit="1" customWidth="1"/>
    <col min="7184" max="7184" width="5" style="43" customWidth="1"/>
    <col min="7185" max="7185" width="4" style="43" bestFit="1" customWidth="1"/>
    <col min="7186" max="7186" width="12.28515625" style="43" bestFit="1" customWidth="1"/>
    <col min="7187" max="7187" width="10.85546875" style="43" bestFit="1" customWidth="1"/>
    <col min="7188" max="7188" width="10.5703125" style="43" bestFit="1" customWidth="1"/>
    <col min="7189" max="7189" width="10.7109375" style="43" bestFit="1" customWidth="1"/>
    <col min="7190" max="7190" width="12.5703125" style="43" bestFit="1" customWidth="1"/>
    <col min="7191" max="7191" width="13.7109375" style="43" bestFit="1" customWidth="1"/>
    <col min="7192" max="7192" width="12.5703125" style="43" bestFit="1" customWidth="1"/>
    <col min="7193" max="7193" width="13.7109375" style="43" customWidth="1"/>
    <col min="7194" max="7194" width="15.140625" style="43" bestFit="1" customWidth="1"/>
    <col min="7195" max="7195" width="3.7109375" style="43" customWidth="1"/>
    <col min="7196" max="7196" width="20.7109375" style="43" bestFit="1" customWidth="1"/>
    <col min="7197" max="7197" width="15.28515625" style="43" bestFit="1" customWidth="1"/>
    <col min="7198" max="7198" width="21.5703125" style="43" bestFit="1" customWidth="1"/>
    <col min="7199" max="7199" width="23.7109375" style="43" bestFit="1" customWidth="1"/>
    <col min="7200" max="7200" width="1.5703125" style="43" customWidth="1"/>
    <col min="7201" max="7201" width="17.42578125" style="43" bestFit="1" customWidth="1"/>
    <col min="7202" max="7202" width="13.85546875" style="43" bestFit="1" customWidth="1"/>
    <col min="7203" max="7203" width="3.140625" style="43" customWidth="1"/>
    <col min="7204" max="7207" width="0" style="43" hidden="1" customWidth="1"/>
    <col min="7208" max="7208" width="1.5703125" style="43" customWidth="1"/>
    <col min="7209" max="7209" width="19.85546875" style="43" bestFit="1" customWidth="1"/>
    <col min="7210" max="7210" width="1.140625" style="43" customWidth="1"/>
    <col min="7211" max="7424" width="9.140625" style="43"/>
    <col min="7425" max="7425" width="1.85546875" style="43" customWidth="1"/>
    <col min="7426" max="7426" width="4" style="43" bestFit="1" customWidth="1"/>
    <col min="7427" max="7427" width="12.28515625" style="43" bestFit="1" customWidth="1"/>
    <col min="7428" max="7428" width="10.7109375" style="43" bestFit="1" customWidth="1"/>
    <col min="7429" max="7429" width="16" style="43" bestFit="1" customWidth="1"/>
    <col min="7430" max="7430" width="12.5703125" style="43" bestFit="1" customWidth="1"/>
    <col min="7431" max="7431" width="12.5703125" style="43" customWidth="1"/>
    <col min="7432" max="7432" width="3.7109375" style="43" customWidth="1"/>
    <col min="7433" max="7433" width="4" style="43" bestFit="1" customWidth="1"/>
    <col min="7434" max="7434" width="12.28515625" style="43" bestFit="1" customWidth="1"/>
    <col min="7435" max="7435" width="13.85546875" style="43" bestFit="1" customWidth="1"/>
    <col min="7436" max="7436" width="10.7109375" style="43" bestFit="1" customWidth="1"/>
    <col min="7437" max="7437" width="12.28515625" style="43" bestFit="1" customWidth="1"/>
    <col min="7438" max="7438" width="13.7109375" style="43" bestFit="1" customWidth="1"/>
    <col min="7439" max="7439" width="8.42578125" style="43" bestFit="1" customWidth="1"/>
    <col min="7440" max="7440" width="5" style="43" customWidth="1"/>
    <col min="7441" max="7441" width="4" style="43" bestFit="1" customWidth="1"/>
    <col min="7442" max="7442" width="12.28515625" style="43" bestFit="1" customWidth="1"/>
    <col min="7443" max="7443" width="10.85546875" style="43" bestFit="1" customWidth="1"/>
    <col min="7444" max="7444" width="10.5703125" style="43" bestFit="1" customWidth="1"/>
    <col min="7445" max="7445" width="10.7109375" style="43" bestFit="1" customWidth="1"/>
    <col min="7446" max="7446" width="12.5703125" style="43" bestFit="1" customWidth="1"/>
    <col min="7447" max="7447" width="13.7109375" style="43" bestFit="1" customWidth="1"/>
    <col min="7448" max="7448" width="12.5703125" style="43" bestFit="1" customWidth="1"/>
    <col min="7449" max="7449" width="13.7109375" style="43" customWidth="1"/>
    <col min="7450" max="7450" width="15.140625" style="43" bestFit="1" customWidth="1"/>
    <col min="7451" max="7451" width="3.7109375" style="43" customWidth="1"/>
    <col min="7452" max="7452" width="20.7109375" style="43" bestFit="1" customWidth="1"/>
    <col min="7453" max="7453" width="15.28515625" style="43" bestFit="1" customWidth="1"/>
    <col min="7454" max="7454" width="21.5703125" style="43" bestFit="1" customWidth="1"/>
    <col min="7455" max="7455" width="23.7109375" style="43" bestFit="1" customWidth="1"/>
    <col min="7456" max="7456" width="1.5703125" style="43" customWidth="1"/>
    <col min="7457" max="7457" width="17.42578125" style="43" bestFit="1" customWidth="1"/>
    <col min="7458" max="7458" width="13.85546875" style="43" bestFit="1" customWidth="1"/>
    <col min="7459" max="7459" width="3.140625" style="43" customWidth="1"/>
    <col min="7460" max="7463" width="0" style="43" hidden="1" customWidth="1"/>
    <col min="7464" max="7464" width="1.5703125" style="43" customWidth="1"/>
    <col min="7465" max="7465" width="19.85546875" style="43" bestFit="1" customWidth="1"/>
    <col min="7466" max="7466" width="1.140625" style="43" customWidth="1"/>
    <col min="7467" max="7680" width="9.140625" style="43"/>
    <col min="7681" max="7681" width="1.85546875" style="43" customWidth="1"/>
    <col min="7682" max="7682" width="4" style="43" bestFit="1" customWidth="1"/>
    <col min="7683" max="7683" width="12.28515625" style="43" bestFit="1" customWidth="1"/>
    <col min="7684" max="7684" width="10.7109375" style="43" bestFit="1" customWidth="1"/>
    <col min="7685" max="7685" width="16" style="43" bestFit="1" customWidth="1"/>
    <col min="7686" max="7686" width="12.5703125" style="43" bestFit="1" customWidth="1"/>
    <col min="7687" max="7687" width="12.5703125" style="43" customWidth="1"/>
    <col min="7688" max="7688" width="3.7109375" style="43" customWidth="1"/>
    <col min="7689" max="7689" width="4" style="43" bestFit="1" customWidth="1"/>
    <col min="7690" max="7690" width="12.28515625" style="43" bestFit="1" customWidth="1"/>
    <col min="7691" max="7691" width="13.85546875" style="43" bestFit="1" customWidth="1"/>
    <col min="7692" max="7692" width="10.7109375" style="43" bestFit="1" customWidth="1"/>
    <col min="7693" max="7693" width="12.28515625" style="43" bestFit="1" customWidth="1"/>
    <col min="7694" max="7694" width="13.7109375" style="43" bestFit="1" customWidth="1"/>
    <col min="7695" max="7695" width="8.42578125" style="43" bestFit="1" customWidth="1"/>
    <col min="7696" max="7696" width="5" style="43" customWidth="1"/>
    <col min="7697" max="7697" width="4" style="43" bestFit="1" customWidth="1"/>
    <col min="7698" max="7698" width="12.28515625" style="43" bestFit="1" customWidth="1"/>
    <col min="7699" max="7699" width="10.85546875" style="43" bestFit="1" customWidth="1"/>
    <col min="7700" max="7700" width="10.5703125" style="43" bestFit="1" customWidth="1"/>
    <col min="7701" max="7701" width="10.7109375" style="43" bestFit="1" customWidth="1"/>
    <col min="7702" max="7702" width="12.5703125" style="43" bestFit="1" customWidth="1"/>
    <col min="7703" max="7703" width="13.7109375" style="43" bestFit="1" customWidth="1"/>
    <col min="7704" max="7704" width="12.5703125" style="43" bestFit="1" customWidth="1"/>
    <col min="7705" max="7705" width="13.7109375" style="43" customWidth="1"/>
    <col min="7706" max="7706" width="15.140625" style="43" bestFit="1" customWidth="1"/>
    <col min="7707" max="7707" width="3.7109375" style="43" customWidth="1"/>
    <col min="7708" max="7708" width="20.7109375" style="43" bestFit="1" customWidth="1"/>
    <col min="7709" max="7709" width="15.28515625" style="43" bestFit="1" customWidth="1"/>
    <col min="7710" max="7710" width="21.5703125" style="43" bestFit="1" customWidth="1"/>
    <col min="7711" max="7711" width="23.7109375" style="43" bestFit="1" customWidth="1"/>
    <col min="7712" max="7712" width="1.5703125" style="43" customWidth="1"/>
    <col min="7713" max="7713" width="17.42578125" style="43" bestFit="1" customWidth="1"/>
    <col min="7714" max="7714" width="13.85546875" style="43" bestFit="1" customWidth="1"/>
    <col min="7715" max="7715" width="3.140625" style="43" customWidth="1"/>
    <col min="7716" max="7719" width="0" style="43" hidden="1" customWidth="1"/>
    <col min="7720" max="7720" width="1.5703125" style="43" customWidth="1"/>
    <col min="7721" max="7721" width="19.85546875" style="43" bestFit="1" customWidth="1"/>
    <col min="7722" max="7722" width="1.140625" style="43" customWidth="1"/>
    <col min="7723" max="7936" width="9.140625" style="43"/>
    <col min="7937" max="7937" width="1.85546875" style="43" customWidth="1"/>
    <col min="7938" max="7938" width="4" style="43" bestFit="1" customWidth="1"/>
    <col min="7939" max="7939" width="12.28515625" style="43" bestFit="1" customWidth="1"/>
    <col min="7940" max="7940" width="10.7109375" style="43" bestFit="1" customWidth="1"/>
    <col min="7941" max="7941" width="16" style="43" bestFit="1" customWidth="1"/>
    <col min="7942" max="7942" width="12.5703125" style="43" bestFit="1" customWidth="1"/>
    <col min="7943" max="7943" width="12.5703125" style="43" customWidth="1"/>
    <col min="7944" max="7944" width="3.7109375" style="43" customWidth="1"/>
    <col min="7945" max="7945" width="4" style="43" bestFit="1" customWidth="1"/>
    <col min="7946" max="7946" width="12.28515625" style="43" bestFit="1" customWidth="1"/>
    <col min="7947" max="7947" width="13.85546875" style="43" bestFit="1" customWidth="1"/>
    <col min="7948" max="7948" width="10.7109375" style="43" bestFit="1" customWidth="1"/>
    <col min="7949" max="7949" width="12.28515625" style="43" bestFit="1" customWidth="1"/>
    <col min="7950" max="7950" width="13.7109375" style="43" bestFit="1" customWidth="1"/>
    <col min="7951" max="7951" width="8.42578125" style="43" bestFit="1" customWidth="1"/>
    <col min="7952" max="7952" width="5" style="43" customWidth="1"/>
    <col min="7953" max="7953" width="4" style="43" bestFit="1" customWidth="1"/>
    <col min="7954" max="7954" width="12.28515625" style="43" bestFit="1" customWidth="1"/>
    <col min="7955" max="7955" width="10.85546875" style="43" bestFit="1" customWidth="1"/>
    <col min="7956" max="7956" width="10.5703125" style="43" bestFit="1" customWidth="1"/>
    <col min="7957" max="7957" width="10.7109375" style="43" bestFit="1" customWidth="1"/>
    <col min="7958" max="7958" width="12.5703125" style="43" bestFit="1" customWidth="1"/>
    <col min="7959" max="7959" width="13.7109375" style="43" bestFit="1" customWidth="1"/>
    <col min="7960" max="7960" width="12.5703125" style="43" bestFit="1" customWidth="1"/>
    <col min="7961" max="7961" width="13.7109375" style="43" customWidth="1"/>
    <col min="7962" max="7962" width="15.140625" style="43" bestFit="1" customWidth="1"/>
    <col min="7963" max="7963" width="3.7109375" style="43" customWidth="1"/>
    <col min="7964" max="7964" width="20.7109375" style="43" bestFit="1" customWidth="1"/>
    <col min="7965" max="7965" width="15.28515625" style="43" bestFit="1" customWidth="1"/>
    <col min="7966" max="7966" width="21.5703125" style="43" bestFit="1" customWidth="1"/>
    <col min="7967" max="7967" width="23.7109375" style="43" bestFit="1" customWidth="1"/>
    <col min="7968" max="7968" width="1.5703125" style="43" customWidth="1"/>
    <col min="7969" max="7969" width="17.42578125" style="43" bestFit="1" customWidth="1"/>
    <col min="7970" max="7970" width="13.85546875" style="43" bestFit="1" customWidth="1"/>
    <col min="7971" max="7971" width="3.140625" style="43" customWidth="1"/>
    <col min="7972" max="7975" width="0" style="43" hidden="1" customWidth="1"/>
    <col min="7976" max="7976" width="1.5703125" style="43" customWidth="1"/>
    <col min="7977" max="7977" width="19.85546875" style="43" bestFit="1" customWidth="1"/>
    <col min="7978" max="7978" width="1.140625" style="43" customWidth="1"/>
    <col min="7979" max="8192" width="9.140625" style="43"/>
    <col min="8193" max="8193" width="1.85546875" style="43" customWidth="1"/>
    <col min="8194" max="8194" width="4" style="43" bestFit="1" customWidth="1"/>
    <col min="8195" max="8195" width="12.28515625" style="43" bestFit="1" customWidth="1"/>
    <col min="8196" max="8196" width="10.7109375" style="43" bestFit="1" customWidth="1"/>
    <col min="8197" max="8197" width="16" style="43" bestFit="1" customWidth="1"/>
    <col min="8198" max="8198" width="12.5703125" style="43" bestFit="1" customWidth="1"/>
    <col min="8199" max="8199" width="12.5703125" style="43" customWidth="1"/>
    <col min="8200" max="8200" width="3.7109375" style="43" customWidth="1"/>
    <col min="8201" max="8201" width="4" style="43" bestFit="1" customWidth="1"/>
    <col min="8202" max="8202" width="12.28515625" style="43" bestFit="1" customWidth="1"/>
    <col min="8203" max="8203" width="13.85546875" style="43" bestFit="1" customWidth="1"/>
    <col min="8204" max="8204" width="10.7109375" style="43" bestFit="1" customWidth="1"/>
    <col min="8205" max="8205" width="12.28515625" style="43" bestFit="1" customWidth="1"/>
    <col min="8206" max="8206" width="13.7109375" style="43" bestFit="1" customWidth="1"/>
    <col min="8207" max="8207" width="8.42578125" style="43" bestFit="1" customWidth="1"/>
    <col min="8208" max="8208" width="5" style="43" customWidth="1"/>
    <col min="8209" max="8209" width="4" style="43" bestFit="1" customWidth="1"/>
    <col min="8210" max="8210" width="12.28515625" style="43" bestFit="1" customWidth="1"/>
    <col min="8211" max="8211" width="10.85546875" style="43" bestFit="1" customWidth="1"/>
    <col min="8212" max="8212" width="10.5703125" style="43" bestFit="1" customWidth="1"/>
    <col min="8213" max="8213" width="10.7109375" style="43" bestFit="1" customWidth="1"/>
    <col min="8214" max="8214" width="12.5703125" style="43" bestFit="1" customWidth="1"/>
    <col min="8215" max="8215" width="13.7109375" style="43" bestFit="1" customWidth="1"/>
    <col min="8216" max="8216" width="12.5703125" style="43" bestFit="1" customWidth="1"/>
    <col min="8217" max="8217" width="13.7109375" style="43" customWidth="1"/>
    <col min="8218" max="8218" width="15.140625" style="43" bestFit="1" customWidth="1"/>
    <col min="8219" max="8219" width="3.7109375" style="43" customWidth="1"/>
    <col min="8220" max="8220" width="20.7109375" style="43" bestFit="1" customWidth="1"/>
    <col min="8221" max="8221" width="15.28515625" style="43" bestFit="1" customWidth="1"/>
    <col min="8222" max="8222" width="21.5703125" style="43" bestFit="1" customWidth="1"/>
    <col min="8223" max="8223" width="23.7109375" style="43" bestFit="1" customWidth="1"/>
    <col min="8224" max="8224" width="1.5703125" style="43" customWidth="1"/>
    <col min="8225" max="8225" width="17.42578125" style="43" bestFit="1" customWidth="1"/>
    <col min="8226" max="8226" width="13.85546875" style="43" bestFit="1" customWidth="1"/>
    <col min="8227" max="8227" width="3.140625" style="43" customWidth="1"/>
    <col min="8228" max="8231" width="0" style="43" hidden="1" customWidth="1"/>
    <col min="8232" max="8232" width="1.5703125" style="43" customWidth="1"/>
    <col min="8233" max="8233" width="19.85546875" style="43" bestFit="1" customWidth="1"/>
    <col min="8234" max="8234" width="1.140625" style="43" customWidth="1"/>
    <col min="8235" max="8448" width="9.140625" style="43"/>
    <col min="8449" max="8449" width="1.85546875" style="43" customWidth="1"/>
    <col min="8450" max="8450" width="4" style="43" bestFit="1" customWidth="1"/>
    <col min="8451" max="8451" width="12.28515625" style="43" bestFit="1" customWidth="1"/>
    <col min="8452" max="8452" width="10.7109375" style="43" bestFit="1" customWidth="1"/>
    <col min="8453" max="8453" width="16" style="43" bestFit="1" customWidth="1"/>
    <col min="8454" max="8454" width="12.5703125" style="43" bestFit="1" customWidth="1"/>
    <col min="8455" max="8455" width="12.5703125" style="43" customWidth="1"/>
    <col min="8456" max="8456" width="3.7109375" style="43" customWidth="1"/>
    <col min="8457" max="8457" width="4" style="43" bestFit="1" customWidth="1"/>
    <col min="8458" max="8458" width="12.28515625" style="43" bestFit="1" customWidth="1"/>
    <col min="8459" max="8459" width="13.85546875" style="43" bestFit="1" customWidth="1"/>
    <col min="8460" max="8460" width="10.7109375" style="43" bestFit="1" customWidth="1"/>
    <col min="8461" max="8461" width="12.28515625" style="43" bestFit="1" customWidth="1"/>
    <col min="8462" max="8462" width="13.7109375" style="43" bestFit="1" customWidth="1"/>
    <col min="8463" max="8463" width="8.42578125" style="43" bestFit="1" customWidth="1"/>
    <col min="8464" max="8464" width="5" style="43" customWidth="1"/>
    <col min="8465" max="8465" width="4" style="43" bestFit="1" customWidth="1"/>
    <col min="8466" max="8466" width="12.28515625" style="43" bestFit="1" customWidth="1"/>
    <col min="8467" max="8467" width="10.85546875" style="43" bestFit="1" customWidth="1"/>
    <col min="8468" max="8468" width="10.5703125" style="43" bestFit="1" customWidth="1"/>
    <col min="8469" max="8469" width="10.7109375" style="43" bestFit="1" customWidth="1"/>
    <col min="8470" max="8470" width="12.5703125" style="43" bestFit="1" customWidth="1"/>
    <col min="8471" max="8471" width="13.7109375" style="43" bestFit="1" customWidth="1"/>
    <col min="8472" max="8472" width="12.5703125" style="43" bestFit="1" customWidth="1"/>
    <col min="8473" max="8473" width="13.7109375" style="43" customWidth="1"/>
    <col min="8474" max="8474" width="15.140625" style="43" bestFit="1" customWidth="1"/>
    <col min="8475" max="8475" width="3.7109375" style="43" customWidth="1"/>
    <col min="8476" max="8476" width="20.7109375" style="43" bestFit="1" customWidth="1"/>
    <col min="8477" max="8477" width="15.28515625" style="43" bestFit="1" customWidth="1"/>
    <col min="8478" max="8478" width="21.5703125" style="43" bestFit="1" customWidth="1"/>
    <col min="8479" max="8479" width="23.7109375" style="43" bestFit="1" customWidth="1"/>
    <col min="8480" max="8480" width="1.5703125" style="43" customWidth="1"/>
    <col min="8481" max="8481" width="17.42578125" style="43" bestFit="1" customWidth="1"/>
    <col min="8482" max="8482" width="13.85546875" style="43" bestFit="1" customWidth="1"/>
    <col min="8483" max="8483" width="3.140625" style="43" customWidth="1"/>
    <col min="8484" max="8487" width="0" style="43" hidden="1" customWidth="1"/>
    <col min="8488" max="8488" width="1.5703125" style="43" customWidth="1"/>
    <col min="8489" max="8489" width="19.85546875" style="43" bestFit="1" customWidth="1"/>
    <col min="8490" max="8490" width="1.140625" style="43" customWidth="1"/>
    <col min="8491" max="8704" width="9.140625" style="43"/>
    <col min="8705" max="8705" width="1.85546875" style="43" customWidth="1"/>
    <col min="8706" max="8706" width="4" style="43" bestFit="1" customWidth="1"/>
    <col min="8707" max="8707" width="12.28515625" style="43" bestFit="1" customWidth="1"/>
    <col min="8708" max="8708" width="10.7109375" style="43" bestFit="1" customWidth="1"/>
    <col min="8709" max="8709" width="16" style="43" bestFit="1" customWidth="1"/>
    <col min="8710" max="8710" width="12.5703125" style="43" bestFit="1" customWidth="1"/>
    <col min="8711" max="8711" width="12.5703125" style="43" customWidth="1"/>
    <col min="8712" max="8712" width="3.7109375" style="43" customWidth="1"/>
    <col min="8713" max="8713" width="4" style="43" bestFit="1" customWidth="1"/>
    <col min="8714" max="8714" width="12.28515625" style="43" bestFit="1" customWidth="1"/>
    <col min="8715" max="8715" width="13.85546875" style="43" bestFit="1" customWidth="1"/>
    <col min="8716" max="8716" width="10.7109375" style="43" bestFit="1" customWidth="1"/>
    <col min="8717" max="8717" width="12.28515625" style="43" bestFit="1" customWidth="1"/>
    <col min="8718" max="8718" width="13.7109375" style="43" bestFit="1" customWidth="1"/>
    <col min="8719" max="8719" width="8.42578125" style="43" bestFit="1" customWidth="1"/>
    <col min="8720" max="8720" width="5" style="43" customWidth="1"/>
    <col min="8721" max="8721" width="4" style="43" bestFit="1" customWidth="1"/>
    <col min="8722" max="8722" width="12.28515625" style="43" bestFit="1" customWidth="1"/>
    <col min="8723" max="8723" width="10.85546875" style="43" bestFit="1" customWidth="1"/>
    <col min="8724" max="8724" width="10.5703125" style="43" bestFit="1" customWidth="1"/>
    <col min="8725" max="8725" width="10.7109375" style="43" bestFit="1" customWidth="1"/>
    <col min="8726" max="8726" width="12.5703125" style="43" bestFit="1" customWidth="1"/>
    <col min="8727" max="8727" width="13.7109375" style="43" bestFit="1" customWidth="1"/>
    <col min="8728" max="8728" width="12.5703125" style="43" bestFit="1" customWidth="1"/>
    <col min="8729" max="8729" width="13.7109375" style="43" customWidth="1"/>
    <col min="8730" max="8730" width="15.140625" style="43" bestFit="1" customWidth="1"/>
    <col min="8731" max="8731" width="3.7109375" style="43" customWidth="1"/>
    <col min="8732" max="8732" width="20.7109375" style="43" bestFit="1" customWidth="1"/>
    <col min="8733" max="8733" width="15.28515625" style="43" bestFit="1" customWidth="1"/>
    <col min="8734" max="8734" width="21.5703125" style="43" bestFit="1" customWidth="1"/>
    <col min="8735" max="8735" width="23.7109375" style="43" bestFit="1" customWidth="1"/>
    <col min="8736" max="8736" width="1.5703125" style="43" customWidth="1"/>
    <col min="8737" max="8737" width="17.42578125" style="43" bestFit="1" customWidth="1"/>
    <col min="8738" max="8738" width="13.85546875" style="43" bestFit="1" customWidth="1"/>
    <col min="8739" max="8739" width="3.140625" style="43" customWidth="1"/>
    <col min="8740" max="8743" width="0" style="43" hidden="1" customWidth="1"/>
    <col min="8744" max="8744" width="1.5703125" style="43" customWidth="1"/>
    <col min="8745" max="8745" width="19.85546875" style="43" bestFit="1" customWidth="1"/>
    <col min="8746" max="8746" width="1.140625" style="43" customWidth="1"/>
    <col min="8747" max="8960" width="9.140625" style="43"/>
    <col min="8961" max="8961" width="1.85546875" style="43" customWidth="1"/>
    <col min="8962" max="8962" width="4" style="43" bestFit="1" customWidth="1"/>
    <col min="8963" max="8963" width="12.28515625" style="43" bestFit="1" customWidth="1"/>
    <col min="8964" max="8964" width="10.7109375" style="43" bestFit="1" customWidth="1"/>
    <col min="8965" max="8965" width="16" style="43" bestFit="1" customWidth="1"/>
    <col min="8966" max="8966" width="12.5703125" style="43" bestFit="1" customWidth="1"/>
    <col min="8967" max="8967" width="12.5703125" style="43" customWidth="1"/>
    <col min="8968" max="8968" width="3.7109375" style="43" customWidth="1"/>
    <col min="8969" max="8969" width="4" style="43" bestFit="1" customWidth="1"/>
    <col min="8970" max="8970" width="12.28515625" style="43" bestFit="1" customWidth="1"/>
    <col min="8971" max="8971" width="13.85546875" style="43" bestFit="1" customWidth="1"/>
    <col min="8972" max="8972" width="10.7109375" style="43" bestFit="1" customWidth="1"/>
    <col min="8973" max="8973" width="12.28515625" style="43" bestFit="1" customWidth="1"/>
    <col min="8974" max="8974" width="13.7109375" style="43" bestFit="1" customWidth="1"/>
    <col min="8975" max="8975" width="8.42578125" style="43" bestFit="1" customWidth="1"/>
    <col min="8976" max="8976" width="5" style="43" customWidth="1"/>
    <col min="8977" max="8977" width="4" style="43" bestFit="1" customWidth="1"/>
    <col min="8978" max="8978" width="12.28515625" style="43" bestFit="1" customWidth="1"/>
    <col min="8979" max="8979" width="10.85546875" style="43" bestFit="1" customWidth="1"/>
    <col min="8980" max="8980" width="10.5703125" style="43" bestFit="1" customWidth="1"/>
    <col min="8981" max="8981" width="10.7109375" style="43" bestFit="1" customWidth="1"/>
    <col min="8982" max="8982" width="12.5703125" style="43" bestFit="1" customWidth="1"/>
    <col min="8983" max="8983" width="13.7109375" style="43" bestFit="1" customWidth="1"/>
    <col min="8984" max="8984" width="12.5703125" style="43" bestFit="1" customWidth="1"/>
    <col min="8985" max="8985" width="13.7109375" style="43" customWidth="1"/>
    <col min="8986" max="8986" width="15.140625" style="43" bestFit="1" customWidth="1"/>
    <col min="8987" max="8987" width="3.7109375" style="43" customWidth="1"/>
    <col min="8988" max="8988" width="20.7109375" style="43" bestFit="1" customWidth="1"/>
    <col min="8989" max="8989" width="15.28515625" style="43" bestFit="1" customWidth="1"/>
    <col min="8990" max="8990" width="21.5703125" style="43" bestFit="1" customWidth="1"/>
    <col min="8991" max="8991" width="23.7109375" style="43" bestFit="1" customWidth="1"/>
    <col min="8992" max="8992" width="1.5703125" style="43" customWidth="1"/>
    <col min="8993" max="8993" width="17.42578125" style="43" bestFit="1" customWidth="1"/>
    <col min="8994" max="8994" width="13.85546875" style="43" bestFit="1" customWidth="1"/>
    <col min="8995" max="8995" width="3.140625" style="43" customWidth="1"/>
    <col min="8996" max="8999" width="0" style="43" hidden="1" customWidth="1"/>
    <col min="9000" max="9000" width="1.5703125" style="43" customWidth="1"/>
    <col min="9001" max="9001" width="19.85546875" style="43" bestFit="1" customWidth="1"/>
    <col min="9002" max="9002" width="1.140625" style="43" customWidth="1"/>
    <col min="9003" max="9216" width="9.140625" style="43"/>
    <col min="9217" max="9217" width="1.85546875" style="43" customWidth="1"/>
    <col min="9218" max="9218" width="4" style="43" bestFit="1" customWidth="1"/>
    <col min="9219" max="9219" width="12.28515625" style="43" bestFit="1" customWidth="1"/>
    <col min="9220" max="9220" width="10.7109375" style="43" bestFit="1" customWidth="1"/>
    <col min="9221" max="9221" width="16" style="43" bestFit="1" customWidth="1"/>
    <col min="9222" max="9222" width="12.5703125" style="43" bestFit="1" customWidth="1"/>
    <col min="9223" max="9223" width="12.5703125" style="43" customWidth="1"/>
    <col min="9224" max="9224" width="3.7109375" style="43" customWidth="1"/>
    <col min="9225" max="9225" width="4" style="43" bestFit="1" customWidth="1"/>
    <col min="9226" max="9226" width="12.28515625" style="43" bestFit="1" customWidth="1"/>
    <col min="9227" max="9227" width="13.85546875" style="43" bestFit="1" customWidth="1"/>
    <col min="9228" max="9228" width="10.7109375" style="43" bestFit="1" customWidth="1"/>
    <col min="9229" max="9229" width="12.28515625" style="43" bestFit="1" customWidth="1"/>
    <col min="9230" max="9230" width="13.7109375" style="43" bestFit="1" customWidth="1"/>
    <col min="9231" max="9231" width="8.42578125" style="43" bestFit="1" customWidth="1"/>
    <col min="9232" max="9232" width="5" style="43" customWidth="1"/>
    <col min="9233" max="9233" width="4" style="43" bestFit="1" customWidth="1"/>
    <col min="9234" max="9234" width="12.28515625" style="43" bestFit="1" customWidth="1"/>
    <col min="9235" max="9235" width="10.85546875" style="43" bestFit="1" customWidth="1"/>
    <col min="9236" max="9236" width="10.5703125" style="43" bestFit="1" customWidth="1"/>
    <col min="9237" max="9237" width="10.7109375" style="43" bestFit="1" customWidth="1"/>
    <col min="9238" max="9238" width="12.5703125" style="43" bestFit="1" customWidth="1"/>
    <col min="9239" max="9239" width="13.7109375" style="43" bestFit="1" customWidth="1"/>
    <col min="9240" max="9240" width="12.5703125" style="43" bestFit="1" customWidth="1"/>
    <col min="9241" max="9241" width="13.7109375" style="43" customWidth="1"/>
    <col min="9242" max="9242" width="15.140625" style="43" bestFit="1" customWidth="1"/>
    <col min="9243" max="9243" width="3.7109375" style="43" customWidth="1"/>
    <col min="9244" max="9244" width="20.7109375" style="43" bestFit="1" customWidth="1"/>
    <col min="9245" max="9245" width="15.28515625" style="43" bestFit="1" customWidth="1"/>
    <col min="9246" max="9246" width="21.5703125" style="43" bestFit="1" customWidth="1"/>
    <col min="9247" max="9247" width="23.7109375" style="43" bestFit="1" customWidth="1"/>
    <col min="9248" max="9248" width="1.5703125" style="43" customWidth="1"/>
    <col min="9249" max="9249" width="17.42578125" style="43" bestFit="1" customWidth="1"/>
    <col min="9250" max="9250" width="13.85546875" style="43" bestFit="1" customWidth="1"/>
    <col min="9251" max="9251" width="3.140625" style="43" customWidth="1"/>
    <col min="9252" max="9255" width="0" style="43" hidden="1" customWidth="1"/>
    <col min="9256" max="9256" width="1.5703125" style="43" customWidth="1"/>
    <col min="9257" max="9257" width="19.85546875" style="43" bestFit="1" customWidth="1"/>
    <col min="9258" max="9258" width="1.140625" style="43" customWidth="1"/>
    <col min="9259" max="9472" width="9.140625" style="43"/>
    <col min="9473" max="9473" width="1.85546875" style="43" customWidth="1"/>
    <col min="9474" max="9474" width="4" style="43" bestFit="1" customWidth="1"/>
    <col min="9475" max="9475" width="12.28515625" style="43" bestFit="1" customWidth="1"/>
    <col min="9476" max="9476" width="10.7109375" style="43" bestFit="1" customWidth="1"/>
    <col min="9477" max="9477" width="16" style="43" bestFit="1" customWidth="1"/>
    <col min="9478" max="9478" width="12.5703125" style="43" bestFit="1" customWidth="1"/>
    <col min="9479" max="9479" width="12.5703125" style="43" customWidth="1"/>
    <col min="9480" max="9480" width="3.7109375" style="43" customWidth="1"/>
    <col min="9481" max="9481" width="4" style="43" bestFit="1" customWidth="1"/>
    <col min="9482" max="9482" width="12.28515625" style="43" bestFit="1" customWidth="1"/>
    <col min="9483" max="9483" width="13.85546875" style="43" bestFit="1" customWidth="1"/>
    <col min="9484" max="9484" width="10.7109375" style="43" bestFit="1" customWidth="1"/>
    <col min="9485" max="9485" width="12.28515625" style="43" bestFit="1" customWidth="1"/>
    <col min="9486" max="9486" width="13.7109375" style="43" bestFit="1" customWidth="1"/>
    <col min="9487" max="9487" width="8.42578125" style="43" bestFit="1" customWidth="1"/>
    <col min="9488" max="9488" width="5" style="43" customWidth="1"/>
    <col min="9489" max="9489" width="4" style="43" bestFit="1" customWidth="1"/>
    <col min="9490" max="9490" width="12.28515625" style="43" bestFit="1" customWidth="1"/>
    <col min="9491" max="9491" width="10.85546875" style="43" bestFit="1" customWidth="1"/>
    <col min="9492" max="9492" width="10.5703125" style="43" bestFit="1" customWidth="1"/>
    <col min="9493" max="9493" width="10.7109375" style="43" bestFit="1" customWidth="1"/>
    <col min="9494" max="9494" width="12.5703125" style="43" bestFit="1" customWidth="1"/>
    <col min="9495" max="9495" width="13.7109375" style="43" bestFit="1" customWidth="1"/>
    <col min="9496" max="9496" width="12.5703125" style="43" bestFit="1" customWidth="1"/>
    <col min="9497" max="9497" width="13.7109375" style="43" customWidth="1"/>
    <col min="9498" max="9498" width="15.140625" style="43" bestFit="1" customWidth="1"/>
    <col min="9499" max="9499" width="3.7109375" style="43" customWidth="1"/>
    <col min="9500" max="9500" width="20.7109375" style="43" bestFit="1" customWidth="1"/>
    <col min="9501" max="9501" width="15.28515625" style="43" bestFit="1" customWidth="1"/>
    <col min="9502" max="9502" width="21.5703125" style="43" bestFit="1" customWidth="1"/>
    <col min="9503" max="9503" width="23.7109375" style="43" bestFit="1" customWidth="1"/>
    <col min="9504" max="9504" width="1.5703125" style="43" customWidth="1"/>
    <col min="9505" max="9505" width="17.42578125" style="43" bestFit="1" customWidth="1"/>
    <col min="9506" max="9506" width="13.85546875" style="43" bestFit="1" customWidth="1"/>
    <col min="9507" max="9507" width="3.140625" style="43" customWidth="1"/>
    <col min="9508" max="9511" width="0" style="43" hidden="1" customWidth="1"/>
    <col min="9512" max="9512" width="1.5703125" style="43" customWidth="1"/>
    <col min="9513" max="9513" width="19.85546875" style="43" bestFit="1" customWidth="1"/>
    <col min="9514" max="9514" width="1.140625" style="43" customWidth="1"/>
    <col min="9515" max="9728" width="9.140625" style="43"/>
    <col min="9729" max="9729" width="1.85546875" style="43" customWidth="1"/>
    <col min="9730" max="9730" width="4" style="43" bestFit="1" customWidth="1"/>
    <col min="9731" max="9731" width="12.28515625" style="43" bestFit="1" customWidth="1"/>
    <col min="9732" max="9732" width="10.7109375" style="43" bestFit="1" customWidth="1"/>
    <col min="9733" max="9733" width="16" style="43" bestFit="1" customWidth="1"/>
    <col min="9734" max="9734" width="12.5703125" style="43" bestFit="1" customWidth="1"/>
    <col min="9735" max="9735" width="12.5703125" style="43" customWidth="1"/>
    <col min="9736" max="9736" width="3.7109375" style="43" customWidth="1"/>
    <col min="9737" max="9737" width="4" style="43" bestFit="1" customWidth="1"/>
    <col min="9738" max="9738" width="12.28515625" style="43" bestFit="1" customWidth="1"/>
    <col min="9739" max="9739" width="13.85546875" style="43" bestFit="1" customWidth="1"/>
    <col min="9740" max="9740" width="10.7109375" style="43" bestFit="1" customWidth="1"/>
    <col min="9741" max="9741" width="12.28515625" style="43" bestFit="1" customWidth="1"/>
    <col min="9742" max="9742" width="13.7109375" style="43" bestFit="1" customWidth="1"/>
    <col min="9743" max="9743" width="8.42578125" style="43" bestFit="1" customWidth="1"/>
    <col min="9744" max="9744" width="5" style="43" customWidth="1"/>
    <col min="9745" max="9745" width="4" style="43" bestFit="1" customWidth="1"/>
    <col min="9746" max="9746" width="12.28515625" style="43" bestFit="1" customWidth="1"/>
    <col min="9747" max="9747" width="10.85546875" style="43" bestFit="1" customWidth="1"/>
    <col min="9748" max="9748" width="10.5703125" style="43" bestFit="1" customWidth="1"/>
    <col min="9749" max="9749" width="10.7109375" style="43" bestFit="1" customWidth="1"/>
    <col min="9750" max="9750" width="12.5703125" style="43" bestFit="1" customWidth="1"/>
    <col min="9751" max="9751" width="13.7109375" style="43" bestFit="1" customWidth="1"/>
    <col min="9752" max="9752" width="12.5703125" style="43" bestFit="1" customWidth="1"/>
    <col min="9753" max="9753" width="13.7109375" style="43" customWidth="1"/>
    <col min="9754" max="9754" width="15.140625" style="43" bestFit="1" customWidth="1"/>
    <col min="9755" max="9755" width="3.7109375" style="43" customWidth="1"/>
    <col min="9756" max="9756" width="20.7109375" style="43" bestFit="1" customWidth="1"/>
    <col min="9757" max="9757" width="15.28515625" style="43" bestFit="1" customWidth="1"/>
    <col min="9758" max="9758" width="21.5703125" style="43" bestFit="1" customWidth="1"/>
    <col min="9759" max="9759" width="23.7109375" style="43" bestFit="1" customWidth="1"/>
    <col min="9760" max="9760" width="1.5703125" style="43" customWidth="1"/>
    <col min="9761" max="9761" width="17.42578125" style="43" bestFit="1" customWidth="1"/>
    <col min="9762" max="9762" width="13.85546875" style="43" bestFit="1" customWidth="1"/>
    <col min="9763" max="9763" width="3.140625" style="43" customWidth="1"/>
    <col min="9764" max="9767" width="0" style="43" hidden="1" customWidth="1"/>
    <col min="9768" max="9768" width="1.5703125" style="43" customWidth="1"/>
    <col min="9769" max="9769" width="19.85546875" style="43" bestFit="1" customWidth="1"/>
    <col min="9770" max="9770" width="1.140625" style="43" customWidth="1"/>
    <col min="9771" max="9984" width="9.140625" style="43"/>
    <col min="9985" max="9985" width="1.85546875" style="43" customWidth="1"/>
    <col min="9986" max="9986" width="4" style="43" bestFit="1" customWidth="1"/>
    <col min="9987" max="9987" width="12.28515625" style="43" bestFit="1" customWidth="1"/>
    <col min="9988" max="9988" width="10.7109375" style="43" bestFit="1" customWidth="1"/>
    <col min="9989" max="9989" width="16" style="43" bestFit="1" customWidth="1"/>
    <col min="9990" max="9990" width="12.5703125" style="43" bestFit="1" customWidth="1"/>
    <col min="9991" max="9991" width="12.5703125" style="43" customWidth="1"/>
    <col min="9992" max="9992" width="3.7109375" style="43" customWidth="1"/>
    <col min="9993" max="9993" width="4" style="43" bestFit="1" customWidth="1"/>
    <col min="9994" max="9994" width="12.28515625" style="43" bestFit="1" customWidth="1"/>
    <col min="9995" max="9995" width="13.85546875" style="43" bestFit="1" customWidth="1"/>
    <col min="9996" max="9996" width="10.7109375" style="43" bestFit="1" customWidth="1"/>
    <col min="9997" max="9997" width="12.28515625" style="43" bestFit="1" customWidth="1"/>
    <col min="9998" max="9998" width="13.7109375" style="43" bestFit="1" customWidth="1"/>
    <col min="9999" max="9999" width="8.42578125" style="43" bestFit="1" customWidth="1"/>
    <col min="10000" max="10000" width="5" style="43" customWidth="1"/>
    <col min="10001" max="10001" width="4" style="43" bestFit="1" customWidth="1"/>
    <col min="10002" max="10002" width="12.28515625" style="43" bestFit="1" customWidth="1"/>
    <col min="10003" max="10003" width="10.85546875" style="43" bestFit="1" customWidth="1"/>
    <col min="10004" max="10004" width="10.5703125" style="43" bestFit="1" customWidth="1"/>
    <col min="10005" max="10005" width="10.7109375" style="43" bestFit="1" customWidth="1"/>
    <col min="10006" max="10006" width="12.5703125" style="43" bestFit="1" customWidth="1"/>
    <col min="10007" max="10007" width="13.7109375" style="43" bestFit="1" customWidth="1"/>
    <col min="10008" max="10008" width="12.5703125" style="43" bestFit="1" customWidth="1"/>
    <col min="10009" max="10009" width="13.7109375" style="43" customWidth="1"/>
    <col min="10010" max="10010" width="15.140625" style="43" bestFit="1" customWidth="1"/>
    <col min="10011" max="10011" width="3.7109375" style="43" customWidth="1"/>
    <col min="10012" max="10012" width="20.7109375" style="43" bestFit="1" customWidth="1"/>
    <col min="10013" max="10013" width="15.28515625" style="43" bestFit="1" customWidth="1"/>
    <col min="10014" max="10014" width="21.5703125" style="43" bestFit="1" customWidth="1"/>
    <col min="10015" max="10015" width="23.7109375" style="43" bestFit="1" customWidth="1"/>
    <col min="10016" max="10016" width="1.5703125" style="43" customWidth="1"/>
    <col min="10017" max="10017" width="17.42578125" style="43" bestFit="1" customWidth="1"/>
    <col min="10018" max="10018" width="13.85546875" style="43" bestFit="1" customWidth="1"/>
    <col min="10019" max="10019" width="3.140625" style="43" customWidth="1"/>
    <col min="10020" max="10023" width="0" style="43" hidden="1" customWidth="1"/>
    <col min="10024" max="10024" width="1.5703125" style="43" customWidth="1"/>
    <col min="10025" max="10025" width="19.85546875" style="43" bestFit="1" customWidth="1"/>
    <col min="10026" max="10026" width="1.140625" style="43" customWidth="1"/>
    <col min="10027" max="10240" width="9.140625" style="43"/>
    <col min="10241" max="10241" width="1.85546875" style="43" customWidth="1"/>
    <col min="10242" max="10242" width="4" style="43" bestFit="1" customWidth="1"/>
    <col min="10243" max="10243" width="12.28515625" style="43" bestFit="1" customWidth="1"/>
    <col min="10244" max="10244" width="10.7109375" style="43" bestFit="1" customWidth="1"/>
    <col min="10245" max="10245" width="16" style="43" bestFit="1" customWidth="1"/>
    <col min="10246" max="10246" width="12.5703125" style="43" bestFit="1" customWidth="1"/>
    <col min="10247" max="10247" width="12.5703125" style="43" customWidth="1"/>
    <col min="10248" max="10248" width="3.7109375" style="43" customWidth="1"/>
    <col min="10249" max="10249" width="4" style="43" bestFit="1" customWidth="1"/>
    <col min="10250" max="10250" width="12.28515625" style="43" bestFit="1" customWidth="1"/>
    <col min="10251" max="10251" width="13.85546875" style="43" bestFit="1" customWidth="1"/>
    <col min="10252" max="10252" width="10.7109375" style="43" bestFit="1" customWidth="1"/>
    <col min="10253" max="10253" width="12.28515625" style="43" bestFit="1" customWidth="1"/>
    <col min="10254" max="10254" width="13.7109375" style="43" bestFit="1" customWidth="1"/>
    <col min="10255" max="10255" width="8.42578125" style="43" bestFit="1" customWidth="1"/>
    <col min="10256" max="10256" width="5" style="43" customWidth="1"/>
    <col min="10257" max="10257" width="4" style="43" bestFit="1" customWidth="1"/>
    <col min="10258" max="10258" width="12.28515625" style="43" bestFit="1" customWidth="1"/>
    <col min="10259" max="10259" width="10.85546875" style="43" bestFit="1" customWidth="1"/>
    <col min="10260" max="10260" width="10.5703125" style="43" bestFit="1" customWidth="1"/>
    <col min="10261" max="10261" width="10.7109375" style="43" bestFit="1" customWidth="1"/>
    <col min="10262" max="10262" width="12.5703125" style="43" bestFit="1" customWidth="1"/>
    <col min="10263" max="10263" width="13.7109375" style="43" bestFit="1" customWidth="1"/>
    <col min="10264" max="10264" width="12.5703125" style="43" bestFit="1" customWidth="1"/>
    <col min="10265" max="10265" width="13.7109375" style="43" customWidth="1"/>
    <col min="10266" max="10266" width="15.140625" style="43" bestFit="1" customWidth="1"/>
    <col min="10267" max="10267" width="3.7109375" style="43" customWidth="1"/>
    <col min="10268" max="10268" width="20.7109375" style="43" bestFit="1" customWidth="1"/>
    <col min="10269" max="10269" width="15.28515625" style="43" bestFit="1" customWidth="1"/>
    <col min="10270" max="10270" width="21.5703125" style="43" bestFit="1" customWidth="1"/>
    <col min="10271" max="10271" width="23.7109375" style="43" bestFit="1" customWidth="1"/>
    <col min="10272" max="10272" width="1.5703125" style="43" customWidth="1"/>
    <col min="10273" max="10273" width="17.42578125" style="43" bestFit="1" customWidth="1"/>
    <col min="10274" max="10274" width="13.85546875" style="43" bestFit="1" customWidth="1"/>
    <col min="10275" max="10275" width="3.140625" style="43" customWidth="1"/>
    <col min="10276" max="10279" width="0" style="43" hidden="1" customWidth="1"/>
    <col min="10280" max="10280" width="1.5703125" style="43" customWidth="1"/>
    <col min="10281" max="10281" width="19.85546875" style="43" bestFit="1" customWidth="1"/>
    <col min="10282" max="10282" width="1.140625" style="43" customWidth="1"/>
    <col min="10283" max="10496" width="9.140625" style="43"/>
    <col min="10497" max="10497" width="1.85546875" style="43" customWidth="1"/>
    <col min="10498" max="10498" width="4" style="43" bestFit="1" customWidth="1"/>
    <col min="10499" max="10499" width="12.28515625" style="43" bestFit="1" customWidth="1"/>
    <col min="10500" max="10500" width="10.7109375" style="43" bestFit="1" customWidth="1"/>
    <col min="10501" max="10501" width="16" style="43" bestFit="1" customWidth="1"/>
    <col min="10502" max="10502" width="12.5703125" style="43" bestFit="1" customWidth="1"/>
    <col min="10503" max="10503" width="12.5703125" style="43" customWidth="1"/>
    <col min="10504" max="10504" width="3.7109375" style="43" customWidth="1"/>
    <col min="10505" max="10505" width="4" style="43" bestFit="1" customWidth="1"/>
    <col min="10506" max="10506" width="12.28515625" style="43" bestFit="1" customWidth="1"/>
    <col min="10507" max="10507" width="13.85546875" style="43" bestFit="1" customWidth="1"/>
    <col min="10508" max="10508" width="10.7109375" style="43" bestFit="1" customWidth="1"/>
    <col min="10509" max="10509" width="12.28515625" style="43" bestFit="1" customWidth="1"/>
    <col min="10510" max="10510" width="13.7109375" style="43" bestFit="1" customWidth="1"/>
    <col min="10511" max="10511" width="8.42578125" style="43" bestFit="1" customWidth="1"/>
    <col min="10512" max="10512" width="5" style="43" customWidth="1"/>
    <col min="10513" max="10513" width="4" style="43" bestFit="1" customWidth="1"/>
    <col min="10514" max="10514" width="12.28515625" style="43" bestFit="1" customWidth="1"/>
    <col min="10515" max="10515" width="10.85546875" style="43" bestFit="1" customWidth="1"/>
    <col min="10516" max="10516" width="10.5703125" style="43" bestFit="1" customWidth="1"/>
    <col min="10517" max="10517" width="10.7109375" style="43" bestFit="1" customWidth="1"/>
    <col min="10518" max="10518" width="12.5703125" style="43" bestFit="1" customWidth="1"/>
    <col min="10519" max="10519" width="13.7109375" style="43" bestFit="1" customWidth="1"/>
    <col min="10520" max="10520" width="12.5703125" style="43" bestFit="1" customWidth="1"/>
    <col min="10521" max="10521" width="13.7109375" style="43" customWidth="1"/>
    <col min="10522" max="10522" width="15.140625" style="43" bestFit="1" customWidth="1"/>
    <col min="10523" max="10523" width="3.7109375" style="43" customWidth="1"/>
    <col min="10524" max="10524" width="20.7109375" style="43" bestFit="1" customWidth="1"/>
    <col min="10525" max="10525" width="15.28515625" style="43" bestFit="1" customWidth="1"/>
    <col min="10526" max="10526" width="21.5703125" style="43" bestFit="1" customWidth="1"/>
    <col min="10527" max="10527" width="23.7109375" style="43" bestFit="1" customWidth="1"/>
    <col min="10528" max="10528" width="1.5703125" style="43" customWidth="1"/>
    <col min="10529" max="10529" width="17.42578125" style="43" bestFit="1" customWidth="1"/>
    <col min="10530" max="10530" width="13.85546875" style="43" bestFit="1" customWidth="1"/>
    <col min="10531" max="10531" width="3.140625" style="43" customWidth="1"/>
    <col min="10532" max="10535" width="0" style="43" hidden="1" customWidth="1"/>
    <col min="10536" max="10536" width="1.5703125" style="43" customWidth="1"/>
    <col min="10537" max="10537" width="19.85546875" style="43" bestFit="1" customWidth="1"/>
    <col min="10538" max="10538" width="1.140625" style="43" customWidth="1"/>
    <col min="10539" max="10752" width="9.140625" style="43"/>
    <col min="10753" max="10753" width="1.85546875" style="43" customWidth="1"/>
    <col min="10754" max="10754" width="4" style="43" bestFit="1" customWidth="1"/>
    <col min="10755" max="10755" width="12.28515625" style="43" bestFit="1" customWidth="1"/>
    <col min="10756" max="10756" width="10.7109375" style="43" bestFit="1" customWidth="1"/>
    <col min="10757" max="10757" width="16" style="43" bestFit="1" customWidth="1"/>
    <col min="10758" max="10758" width="12.5703125" style="43" bestFit="1" customWidth="1"/>
    <col min="10759" max="10759" width="12.5703125" style="43" customWidth="1"/>
    <col min="10760" max="10760" width="3.7109375" style="43" customWidth="1"/>
    <col min="10761" max="10761" width="4" style="43" bestFit="1" customWidth="1"/>
    <col min="10762" max="10762" width="12.28515625" style="43" bestFit="1" customWidth="1"/>
    <col min="10763" max="10763" width="13.85546875" style="43" bestFit="1" customWidth="1"/>
    <col min="10764" max="10764" width="10.7109375" style="43" bestFit="1" customWidth="1"/>
    <col min="10765" max="10765" width="12.28515625" style="43" bestFit="1" customWidth="1"/>
    <col min="10766" max="10766" width="13.7109375" style="43" bestFit="1" customWidth="1"/>
    <col min="10767" max="10767" width="8.42578125" style="43" bestFit="1" customWidth="1"/>
    <col min="10768" max="10768" width="5" style="43" customWidth="1"/>
    <col min="10769" max="10769" width="4" style="43" bestFit="1" customWidth="1"/>
    <col min="10770" max="10770" width="12.28515625" style="43" bestFit="1" customWidth="1"/>
    <col min="10771" max="10771" width="10.85546875" style="43" bestFit="1" customWidth="1"/>
    <col min="10772" max="10772" width="10.5703125" style="43" bestFit="1" customWidth="1"/>
    <col min="10773" max="10773" width="10.7109375" style="43" bestFit="1" customWidth="1"/>
    <col min="10774" max="10774" width="12.5703125" style="43" bestFit="1" customWidth="1"/>
    <col min="10775" max="10775" width="13.7109375" style="43" bestFit="1" customWidth="1"/>
    <col min="10776" max="10776" width="12.5703125" style="43" bestFit="1" customWidth="1"/>
    <col min="10777" max="10777" width="13.7109375" style="43" customWidth="1"/>
    <col min="10778" max="10778" width="15.140625" style="43" bestFit="1" customWidth="1"/>
    <col min="10779" max="10779" width="3.7109375" style="43" customWidth="1"/>
    <col min="10780" max="10780" width="20.7109375" style="43" bestFit="1" customWidth="1"/>
    <col min="10781" max="10781" width="15.28515625" style="43" bestFit="1" customWidth="1"/>
    <col min="10782" max="10782" width="21.5703125" style="43" bestFit="1" customWidth="1"/>
    <col min="10783" max="10783" width="23.7109375" style="43" bestFit="1" customWidth="1"/>
    <col min="10784" max="10784" width="1.5703125" style="43" customWidth="1"/>
    <col min="10785" max="10785" width="17.42578125" style="43" bestFit="1" customWidth="1"/>
    <col min="10786" max="10786" width="13.85546875" style="43" bestFit="1" customWidth="1"/>
    <col min="10787" max="10787" width="3.140625" style="43" customWidth="1"/>
    <col min="10788" max="10791" width="0" style="43" hidden="1" customWidth="1"/>
    <col min="10792" max="10792" width="1.5703125" style="43" customWidth="1"/>
    <col min="10793" max="10793" width="19.85546875" style="43" bestFit="1" customWidth="1"/>
    <col min="10794" max="10794" width="1.140625" style="43" customWidth="1"/>
    <col min="10795" max="11008" width="9.140625" style="43"/>
    <col min="11009" max="11009" width="1.85546875" style="43" customWidth="1"/>
    <col min="11010" max="11010" width="4" style="43" bestFit="1" customWidth="1"/>
    <col min="11011" max="11011" width="12.28515625" style="43" bestFit="1" customWidth="1"/>
    <col min="11012" max="11012" width="10.7109375" style="43" bestFit="1" customWidth="1"/>
    <col min="11013" max="11013" width="16" style="43" bestFit="1" customWidth="1"/>
    <col min="11014" max="11014" width="12.5703125" style="43" bestFit="1" customWidth="1"/>
    <col min="11015" max="11015" width="12.5703125" style="43" customWidth="1"/>
    <col min="11016" max="11016" width="3.7109375" style="43" customWidth="1"/>
    <col min="11017" max="11017" width="4" style="43" bestFit="1" customWidth="1"/>
    <col min="11018" max="11018" width="12.28515625" style="43" bestFit="1" customWidth="1"/>
    <col min="11019" max="11019" width="13.85546875" style="43" bestFit="1" customWidth="1"/>
    <col min="11020" max="11020" width="10.7109375" style="43" bestFit="1" customWidth="1"/>
    <col min="11021" max="11021" width="12.28515625" style="43" bestFit="1" customWidth="1"/>
    <col min="11022" max="11022" width="13.7109375" style="43" bestFit="1" customWidth="1"/>
    <col min="11023" max="11023" width="8.42578125" style="43" bestFit="1" customWidth="1"/>
    <col min="11024" max="11024" width="5" style="43" customWidth="1"/>
    <col min="11025" max="11025" width="4" style="43" bestFit="1" customWidth="1"/>
    <col min="11026" max="11026" width="12.28515625" style="43" bestFit="1" customWidth="1"/>
    <col min="11027" max="11027" width="10.85546875" style="43" bestFit="1" customWidth="1"/>
    <col min="11028" max="11028" width="10.5703125" style="43" bestFit="1" customWidth="1"/>
    <col min="11029" max="11029" width="10.7109375" style="43" bestFit="1" customWidth="1"/>
    <col min="11030" max="11030" width="12.5703125" style="43" bestFit="1" customWidth="1"/>
    <col min="11031" max="11031" width="13.7109375" style="43" bestFit="1" customWidth="1"/>
    <col min="11032" max="11032" width="12.5703125" style="43" bestFit="1" customWidth="1"/>
    <col min="11033" max="11033" width="13.7109375" style="43" customWidth="1"/>
    <col min="11034" max="11034" width="15.140625" style="43" bestFit="1" customWidth="1"/>
    <col min="11035" max="11035" width="3.7109375" style="43" customWidth="1"/>
    <col min="11036" max="11036" width="20.7109375" style="43" bestFit="1" customWidth="1"/>
    <col min="11037" max="11037" width="15.28515625" style="43" bestFit="1" customWidth="1"/>
    <col min="11038" max="11038" width="21.5703125" style="43" bestFit="1" customWidth="1"/>
    <col min="11039" max="11039" width="23.7109375" style="43" bestFit="1" customWidth="1"/>
    <col min="11040" max="11040" width="1.5703125" style="43" customWidth="1"/>
    <col min="11041" max="11041" width="17.42578125" style="43" bestFit="1" customWidth="1"/>
    <col min="11042" max="11042" width="13.85546875" style="43" bestFit="1" customWidth="1"/>
    <col min="11043" max="11043" width="3.140625" style="43" customWidth="1"/>
    <col min="11044" max="11047" width="0" style="43" hidden="1" customWidth="1"/>
    <col min="11048" max="11048" width="1.5703125" style="43" customWidth="1"/>
    <col min="11049" max="11049" width="19.85546875" style="43" bestFit="1" customWidth="1"/>
    <col min="11050" max="11050" width="1.140625" style="43" customWidth="1"/>
    <col min="11051" max="11264" width="9.140625" style="43"/>
    <col min="11265" max="11265" width="1.85546875" style="43" customWidth="1"/>
    <col min="11266" max="11266" width="4" style="43" bestFit="1" customWidth="1"/>
    <col min="11267" max="11267" width="12.28515625" style="43" bestFit="1" customWidth="1"/>
    <col min="11268" max="11268" width="10.7109375" style="43" bestFit="1" customWidth="1"/>
    <col min="11269" max="11269" width="16" style="43" bestFit="1" customWidth="1"/>
    <col min="11270" max="11270" width="12.5703125" style="43" bestFit="1" customWidth="1"/>
    <col min="11271" max="11271" width="12.5703125" style="43" customWidth="1"/>
    <col min="11272" max="11272" width="3.7109375" style="43" customWidth="1"/>
    <col min="11273" max="11273" width="4" style="43" bestFit="1" customWidth="1"/>
    <col min="11274" max="11274" width="12.28515625" style="43" bestFit="1" customWidth="1"/>
    <col min="11275" max="11275" width="13.85546875" style="43" bestFit="1" customWidth="1"/>
    <col min="11276" max="11276" width="10.7109375" style="43" bestFit="1" customWidth="1"/>
    <col min="11277" max="11277" width="12.28515625" style="43" bestFit="1" customWidth="1"/>
    <col min="11278" max="11278" width="13.7109375" style="43" bestFit="1" customWidth="1"/>
    <col min="11279" max="11279" width="8.42578125" style="43" bestFit="1" customWidth="1"/>
    <col min="11280" max="11280" width="5" style="43" customWidth="1"/>
    <col min="11281" max="11281" width="4" style="43" bestFit="1" customWidth="1"/>
    <col min="11282" max="11282" width="12.28515625" style="43" bestFit="1" customWidth="1"/>
    <col min="11283" max="11283" width="10.85546875" style="43" bestFit="1" customWidth="1"/>
    <col min="11284" max="11284" width="10.5703125" style="43" bestFit="1" customWidth="1"/>
    <col min="11285" max="11285" width="10.7109375" style="43" bestFit="1" customWidth="1"/>
    <col min="11286" max="11286" width="12.5703125" style="43" bestFit="1" customWidth="1"/>
    <col min="11287" max="11287" width="13.7109375" style="43" bestFit="1" customWidth="1"/>
    <col min="11288" max="11288" width="12.5703125" style="43" bestFit="1" customWidth="1"/>
    <col min="11289" max="11289" width="13.7109375" style="43" customWidth="1"/>
    <col min="11290" max="11290" width="15.140625" style="43" bestFit="1" customWidth="1"/>
    <col min="11291" max="11291" width="3.7109375" style="43" customWidth="1"/>
    <col min="11292" max="11292" width="20.7109375" style="43" bestFit="1" customWidth="1"/>
    <col min="11293" max="11293" width="15.28515625" style="43" bestFit="1" customWidth="1"/>
    <col min="11294" max="11294" width="21.5703125" style="43" bestFit="1" customWidth="1"/>
    <col min="11295" max="11295" width="23.7109375" style="43" bestFit="1" customWidth="1"/>
    <col min="11296" max="11296" width="1.5703125" style="43" customWidth="1"/>
    <col min="11297" max="11297" width="17.42578125" style="43" bestFit="1" customWidth="1"/>
    <col min="11298" max="11298" width="13.85546875" style="43" bestFit="1" customWidth="1"/>
    <col min="11299" max="11299" width="3.140625" style="43" customWidth="1"/>
    <col min="11300" max="11303" width="0" style="43" hidden="1" customWidth="1"/>
    <col min="11304" max="11304" width="1.5703125" style="43" customWidth="1"/>
    <col min="11305" max="11305" width="19.85546875" style="43" bestFit="1" customWidth="1"/>
    <col min="11306" max="11306" width="1.140625" style="43" customWidth="1"/>
    <col min="11307" max="11520" width="9.140625" style="43"/>
    <col min="11521" max="11521" width="1.85546875" style="43" customWidth="1"/>
    <col min="11522" max="11522" width="4" style="43" bestFit="1" customWidth="1"/>
    <col min="11523" max="11523" width="12.28515625" style="43" bestFit="1" customWidth="1"/>
    <col min="11524" max="11524" width="10.7109375" style="43" bestFit="1" customWidth="1"/>
    <col min="11525" max="11525" width="16" style="43" bestFit="1" customWidth="1"/>
    <col min="11526" max="11526" width="12.5703125" style="43" bestFit="1" customWidth="1"/>
    <col min="11527" max="11527" width="12.5703125" style="43" customWidth="1"/>
    <col min="11528" max="11528" width="3.7109375" style="43" customWidth="1"/>
    <col min="11529" max="11529" width="4" style="43" bestFit="1" customWidth="1"/>
    <col min="11530" max="11530" width="12.28515625" style="43" bestFit="1" customWidth="1"/>
    <col min="11531" max="11531" width="13.85546875" style="43" bestFit="1" customWidth="1"/>
    <col min="11532" max="11532" width="10.7109375" style="43" bestFit="1" customWidth="1"/>
    <col min="11533" max="11533" width="12.28515625" style="43" bestFit="1" customWidth="1"/>
    <col min="11534" max="11534" width="13.7109375" style="43" bestFit="1" customWidth="1"/>
    <col min="11535" max="11535" width="8.42578125" style="43" bestFit="1" customWidth="1"/>
    <col min="11536" max="11536" width="5" style="43" customWidth="1"/>
    <col min="11537" max="11537" width="4" style="43" bestFit="1" customWidth="1"/>
    <col min="11538" max="11538" width="12.28515625" style="43" bestFit="1" customWidth="1"/>
    <col min="11539" max="11539" width="10.85546875" style="43" bestFit="1" customWidth="1"/>
    <col min="11540" max="11540" width="10.5703125" style="43" bestFit="1" customWidth="1"/>
    <col min="11541" max="11541" width="10.7109375" style="43" bestFit="1" customWidth="1"/>
    <col min="11542" max="11542" width="12.5703125" style="43" bestFit="1" customWidth="1"/>
    <col min="11543" max="11543" width="13.7109375" style="43" bestFit="1" customWidth="1"/>
    <col min="11544" max="11544" width="12.5703125" style="43" bestFit="1" customWidth="1"/>
    <col min="11545" max="11545" width="13.7109375" style="43" customWidth="1"/>
    <col min="11546" max="11546" width="15.140625" style="43" bestFit="1" customWidth="1"/>
    <col min="11547" max="11547" width="3.7109375" style="43" customWidth="1"/>
    <col min="11548" max="11548" width="20.7109375" style="43" bestFit="1" customWidth="1"/>
    <col min="11549" max="11549" width="15.28515625" style="43" bestFit="1" customWidth="1"/>
    <col min="11550" max="11550" width="21.5703125" style="43" bestFit="1" customWidth="1"/>
    <col min="11551" max="11551" width="23.7109375" style="43" bestFit="1" customWidth="1"/>
    <col min="11552" max="11552" width="1.5703125" style="43" customWidth="1"/>
    <col min="11553" max="11553" width="17.42578125" style="43" bestFit="1" customWidth="1"/>
    <col min="11554" max="11554" width="13.85546875" style="43" bestFit="1" customWidth="1"/>
    <col min="11555" max="11555" width="3.140625" style="43" customWidth="1"/>
    <col min="11556" max="11559" width="0" style="43" hidden="1" customWidth="1"/>
    <col min="11560" max="11560" width="1.5703125" style="43" customWidth="1"/>
    <col min="11561" max="11561" width="19.85546875" style="43" bestFit="1" customWidth="1"/>
    <col min="11562" max="11562" width="1.140625" style="43" customWidth="1"/>
    <col min="11563" max="11776" width="9.140625" style="43"/>
    <col min="11777" max="11777" width="1.85546875" style="43" customWidth="1"/>
    <col min="11778" max="11778" width="4" style="43" bestFit="1" customWidth="1"/>
    <col min="11779" max="11779" width="12.28515625" style="43" bestFit="1" customWidth="1"/>
    <col min="11780" max="11780" width="10.7109375" style="43" bestFit="1" customWidth="1"/>
    <col min="11781" max="11781" width="16" style="43" bestFit="1" customWidth="1"/>
    <col min="11782" max="11782" width="12.5703125" style="43" bestFit="1" customWidth="1"/>
    <col min="11783" max="11783" width="12.5703125" style="43" customWidth="1"/>
    <col min="11784" max="11784" width="3.7109375" style="43" customWidth="1"/>
    <col min="11785" max="11785" width="4" style="43" bestFit="1" customWidth="1"/>
    <col min="11786" max="11786" width="12.28515625" style="43" bestFit="1" customWidth="1"/>
    <col min="11787" max="11787" width="13.85546875" style="43" bestFit="1" customWidth="1"/>
    <col min="11788" max="11788" width="10.7109375" style="43" bestFit="1" customWidth="1"/>
    <col min="11789" max="11789" width="12.28515625" style="43" bestFit="1" customWidth="1"/>
    <col min="11790" max="11790" width="13.7109375" style="43" bestFit="1" customWidth="1"/>
    <col min="11791" max="11791" width="8.42578125" style="43" bestFit="1" customWidth="1"/>
    <col min="11792" max="11792" width="5" style="43" customWidth="1"/>
    <col min="11793" max="11793" width="4" style="43" bestFit="1" customWidth="1"/>
    <col min="11794" max="11794" width="12.28515625" style="43" bestFit="1" customWidth="1"/>
    <col min="11795" max="11795" width="10.85546875" style="43" bestFit="1" customWidth="1"/>
    <col min="11796" max="11796" width="10.5703125" style="43" bestFit="1" customWidth="1"/>
    <col min="11797" max="11797" width="10.7109375" style="43" bestFit="1" customWidth="1"/>
    <col min="11798" max="11798" width="12.5703125" style="43" bestFit="1" customWidth="1"/>
    <col min="11799" max="11799" width="13.7109375" style="43" bestFit="1" customWidth="1"/>
    <col min="11800" max="11800" width="12.5703125" style="43" bestFit="1" customWidth="1"/>
    <col min="11801" max="11801" width="13.7109375" style="43" customWidth="1"/>
    <col min="11802" max="11802" width="15.140625" style="43" bestFit="1" customWidth="1"/>
    <col min="11803" max="11803" width="3.7109375" style="43" customWidth="1"/>
    <col min="11804" max="11804" width="20.7109375" style="43" bestFit="1" customWidth="1"/>
    <col min="11805" max="11805" width="15.28515625" style="43" bestFit="1" customWidth="1"/>
    <col min="11806" max="11806" width="21.5703125" style="43" bestFit="1" customWidth="1"/>
    <col min="11807" max="11807" width="23.7109375" style="43" bestFit="1" customWidth="1"/>
    <col min="11808" max="11808" width="1.5703125" style="43" customWidth="1"/>
    <col min="11809" max="11809" width="17.42578125" style="43" bestFit="1" customWidth="1"/>
    <col min="11810" max="11810" width="13.85546875" style="43" bestFit="1" customWidth="1"/>
    <col min="11811" max="11811" width="3.140625" style="43" customWidth="1"/>
    <col min="11812" max="11815" width="0" style="43" hidden="1" customWidth="1"/>
    <col min="11816" max="11816" width="1.5703125" style="43" customWidth="1"/>
    <col min="11817" max="11817" width="19.85546875" style="43" bestFit="1" customWidth="1"/>
    <col min="11818" max="11818" width="1.140625" style="43" customWidth="1"/>
    <col min="11819" max="12032" width="9.140625" style="43"/>
    <col min="12033" max="12033" width="1.85546875" style="43" customWidth="1"/>
    <col min="12034" max="12034" width="4" style="43" bestFit="1" customWidth="1"/>
    <col min="12035" max="12035" width="12.28515625" style="43" bestFit="1" customWidth="1"/>
    <col min="12036" max="12036" width="10.7109375" style="43" bestFit="1" customWidth="1"/>
    <col min="12037" max="12037" width="16" style="43" bestFit="1" customWidth="1"/>
    <col min="12038" max="12038" width="12.5703125" style="43" bestFit="1" customWidth="1"/>
    <col min="12039" max="12039" width="12.5703125" style="43" customWidth="1"/>
    <col min="12040" max="12040" width="3.7109375" style="43" customWidth="1"/>
    <col min="12041" max="12041" width="4" style="43" bestFit="1" customWidth="1"/>
    <col min="12042" max="12042" width="12.28515625" style="43" bestFit="1" customWidth="1"/>
    <col min="12043" max="12043" width="13.85546875" style="43" bestFit="1" customWidth="1"/>
    <col min="12044" max="12044" width="10.7109375" style="43" bestFit="1" customWidth="1"/>
    <col min="12045" max="12045" width="12.28515625" style="43" bestFit="1" customWidth="1"/>
    <col min="12046" max="12046" width="13.7109375" style="43" bestFit="1" customWidth="1"/>
    <col min="12047" max="12047" width="8.42578125" style="43" bestFit="1" customWidth="1"/>
    <col min="12048" max="12048" width="5" style="43" customWidth="1"/>
    <col min="12049" max="12049" width="4" style="43" bestFit="1" customWidth="1"/>
    <col min="12050" max="12050" width="12.28515625" style="43" bestFit="1" customWidth="1"/>
    <col min="12051" max="12051" width="10.85546875" style="43" bestFit="1" customWidth="1"/>
    <col min="12052" max="12052" width="10.5703125" style="43" bestFit="1" customWidth="1"/>
    <col min="12053" max="12053" width="10.7109375" style="43" bestFit="1" customWidth="1"/>
    <col min="12054" max="12054" width="12.5703125" style="43" bestFit="1" customWidth="1"/>
    <col min="12055" max="12055" width="13.7109375" style="43" bestFit="1" customWidth="1"/>
    <col min="12056" max="12056" width="12.5703125" style="43" bestFit="1" customWidth="1"/>
    <col min="12057" max="12057" width="13.7109375" style="43" customWidth="1"/>
    <col min="12058" max="12058" width="15.140625" style="43" bestFit="1" customWidth="1"/>
    <col min="12059" max="12059" width="3.7109375" style="43" customWidth="1"/>
    <col min="12060" max="12060" width="20.7109375" style="43" bestFit="1" customWidth="1"/>
    <col min="12061" max="12061" width="15.28515625" style="43" bestFit="1" customWidth="1"/>
    <col min="12062" max="12062" width="21.5703125" style="43" bestFit="1" customWidth="1"/>
    <col min="12063" max="12063" width="23.7109375" style="43" bestFit="1" customWidth="1"/>
    <col min="12064" max="12064" width="1.5703125" style="43" customWidth="1"/>
    <col min="12065" max="12065" width="17.42578125" style="43" bestFit="1" customWidth="1"/>
    <col min="12066" max="12066" width="13.85546875" style="43" bestFit="1" customWidth="1"/>
    <col min="12067" max="12067" width="3.140625" style="43" customWidth="1"/>
    <col min="12068" max="12071" width="0" style="43" hidden="1" customWidth="1"/>
    <col min="12072" max="12072" width="1.5703125" style="43" customWidth="1"/>
    <col min="12073" max="12073" width="19.85546875" style="43" bestFit="1" customWidth="1"/>
    <col min="12074" max="12074" width="1.140625" style="43" customWidth="1"/>
    <col min="12075" max="12288" width="9.140625" style="43"/>
    <col min="12289" max="12289" width="1.85546875" style="43" customWidth="1"/>
    <col min="12290" max="12290" width="4" style="43" bestFit="1" customWidth="1"/>
    <col min="12291" max="12291" width="12.28515625" style="43" bestFit="1" customWidth="1"/>
    <col min="12292" max="12292" width="10.7109375" style="43" bestFit="1" customWidth="1"/>
    <col min="12293" max="12293" width="16" style="43" bestFit="1" customWidth="1"/>
    <col min="12294" max="12294" width="12.5703125" style="43" bestFit="1" customWidth="1"/>
    <col min="12295" max="12295" width="12.5703125" style="43" customWidth="1"/>
    <col min="12296" max="12296" width="3.7109375" style="43" customWidth="1"/>
    <col min="12297" max="12297" width="4" style="43" bestFit="1" customWidth="1"/>
    <col min="12298" max="12298" width="12.28515625" style="43" bestFit="1" customWidth="1"/>
    <col min="12299" max="12299" width="13.85546875" style="43" bestFit="1" customWidth="1"/>
    <col min="12300" max="12300" width="10.7109375" style="43" bestFit="1" customWidth="1"/>
    <col min="12301" max="12301" width="12.28515625" style="43" bestFit="1" customWidth="1"/>
    <col min="12302" max="12302" width="13.7109375" style="43" bestFit="1" customWidth="1"/>
    <col min="12303" max="12303" width="8.42578125" style="43" bestFit="1" customWidth="1"/>
    <col min="12304" max="12304" width="5" style="43" customWidth="1"/>
    <col min="12305" max="12305" width="4" style="43" bestFit="1" customWidth="1"/>
    <col min="12306" max="12306" width="12.28515625" style="43" bestFit="1" customWidth="1"/>
    <col min="12307" max="12307" width="10.85546875" style="43" bestFit="1" customWidth="1"/>
    <col min="12308" max="12308" width="10.5703125" style="43" bestFit="1" customWidth="1"/>
    <col min="12309" max="12309" width="10.7109375" style="43" bestFit="1" customWidth="1"/>
    <col min="12310" max="12310" width="12.5703125" style="43" bestFit="1" customWidth="1"/>
    <col min="12311" max="12311" width="13.7109375" style="43" bestFit="1" customWidth="1"/>
    <col min="12312" max="12312" width="12.5703125" style="43" bestFit="1" customWidth="1"/>
    <col min="12313" max="12313" width="13.7109375" style="43" customWidth="1"/>
    <col min="12314" max="12314" width="15.140625" style="43" bestFit="1" customWidth="1"/>
    <col min="12315" max="12315" width="3.7109375" style="43" customWidth="1"/>
    <col min="12316" max="12316" width="20.7109375" style="43" bestFit="1" customWidth="1"/>
    <col min="12317" max="12317" width="15.28515625" style="43" bestFit="1" customWidth="1"/>
    <col min="12318" max="12318" width="21.5703125" style="43" bestFit="1" customWidth="1"/>
    <col min="12319" max="12319" width="23.7109375" style="43" bestFit="1" customWidth="1"/>
    <col min="12320" max="12320" width="1.5703125" style="43" customWidth="1"/>
    <col min="12321" max="12321" width="17.42578125" style="43" bestFit="1" customWidth="1"/>
    <col min="12322" max="12322" width="13.85546875" style="43" bestFit="1" customWidth="1"/>
    <col min="12323" max="12323" width="3.140625" style="43" customWidth="1"/>
    <col min="12324" max="12327" width="0" style="43" hidden="1" customWidth="1"/>
    <col min="12328" max="12328" width="1.5703125" style="43" customWidth="1"/>
    <col min="12329" max="12329" width="19.85546875" style="43" bestFit="1" customWidth="1"/>
    <col min="12330" max="12330" width="1.140625" style="43" customWidth="1"/>
    <col min="12331" max="12544" width="9.140625" style="43"/>
    <col min="12545" max="12545" width="1.85546875" style="43" customWidth="1"/>
    <col min="12546" max="12546" width="4" style="43" bestFit="1" customWidth="1"/>
    <col min="12547" max="12547" width="12.28515625" style="43" bestFit="1" customWidth="1"/>
    <col min="12548" max="12548" width="10.7109375" style="43" bestFit="1" customWidth="1"/>
    <col min="12549" max="12549" width="16" style="43" bestFit="1" customWidth="1"/>
    <col min="12550" max="12550" width="12.5703125" style="43" bestFit="1" customWidth="1"/>
    <col min="12551" max="12551" width="12.5703125" style="43" customWidth="1"/>
    <col min="12552" max="12552" width="3.7109375" style="43" customWidth="1"/>
    <col min="12553" max="12553" width="4" style="43" bestFit="1" customWidth="1"/>
    <col min="12554" max="12554" width="12.28515625" style="43" bestFit="1" customWidth="1"/>
    <col min="12555" max="12555" width="13.85546875" style="43" bestFit="1" customWidth="1"/>
    <col min="12556" max="12556" width="10.7109375" style="43" bestFit="1" customWidth="1"/>
    <col min="12557" max="12557" width="12.28515625" style="43" bestFit="1" customWidth="1"/>
    <col min="12558" max="12558" width="13.7109375" style="43" bestFit="1" customWidth="1"/>
    <col min="12559" max="12559" width="8.42578125" style="43" bestFit="1" customWidth="1"/>
    <col min="12560" max="12560" width="5" style="43" customWidth="1"/>
    <col min="12561" max="12561" width="4" style="43" bestFit="1" customWidth="1"/>
    <col min="12562" max="12562" width="12.28515625" style="43" bestFit="1" customWidth="1"/>
    <col min="12563" max="12563" width="10.85546875" style="43" bestFit="1" customWidth="1"/>
    <col min="12564" max="12564" width="10.5703125" style="43" bestFit="1" customWidth="1"/>
    <col min="12565" max="12565" width="10.7109375" style="43" bestFit="1" customWidth="1"/>
    <col min="12566" max="12566" width="12.5703125" style="43" bestFit="1" customWidth="1"/>
    <col min="12567" max="12567" width="13.7109375" style="43" bestFit="1" customWidth="1"/>
    <col min="12568" max="12568" width="12.5703125" style="43" bestFit="1" customWidth="1"/>
    <col min="12569" max="12569" width="13.7109375" style="43" customWidth="1"/>
    <col min="12570" max="12570" width="15.140625" style="43" bestFit="1" customWidth="1"/>
    <col min="12571" max="12571" width="3.7109375" style="43" customWidth="1"/>
    <col min="12572" max="12572" width="20.7109375" style="43" bestFit="1" customWidth="1"/>
    <col min="12573" max="12573" width="15.28515625" style="43" bestFit="1" customWidth="1"/>
    <col min="12574" max="12574" width="21.5703125" style="43" bestFit="1" customWidth="1"/>
    <col min="12575" max="12575" width="23.7109375" style="43" bestFit="1" customWidth="1"/>
    <col min="12576" max="12576" width="1.5703125" style="43" customWidth="1"/>
    <col min="12577" max="12577" width="17.42578125" style="43" bestFit="1" customWidth="1"/>
    <col min="12578" max="12578" width="13.85546875" style="43" bestFit="1" customWidth="1"/>
    <col min="12579" max="12579" width="3.140625" style="43" customWidth="1"/>
    <col min="12580" max="12583" width="0" style="43" hidden="1" customWidth="1"/>
    <col min="12584" max="12584" width="1.5703125" style="43" customWidth="1"/>
    <col min="12585" max="12585" width="19.85546875" style="43" bestFit="1" customWidth="1"/>
    <col min="12586" max="12586" width="1.140625" style="43" customWidth="1"/>
    <col min="12587" max="12800" width="9.140625" style="43"/>
    <col min="12801" max="12801" width="1.85546875" style="43" customWidth="1"/>
    <col min="12802" max="12802" width="4" style="43" bestFit="1" customWidth="1"/>
    <col min="12803" max="12803" width="12.28515625" style="43" bestFit="1" customWidth="1"/>
    <col min="12804" max="12804" width="10.7109375" style="43" bestFit="1" customWidth="1"/>
    <col min="12805" max="12805" width="16" style="43" bestFit="1" customWidth="1"/>
    <col min="12806" max="12806" width="12.5703125" style="43" bestFit="1" customWidth="1"/>
    <col min="12807" max="12807" width="12.5703125" style="43" customWidth="1"/>
    <col min="12808" max="12808" width="3.7109375" style="43" customWidth="1"/>
    <col min="12809" max="12809" width="4" style="43" bestFit="1" customWidth="1"/>
    <col min="12810" max="12810" width="12.28515625" style="43" bestFit="1" customWidth="1"/>
    <col min="12811" max="12811" width="13.85546875" style="43" bestFit="1" customWidth="1"/>
    <col min="12812" max="12812" width="10.7109375" style="43" bestFit="1" customWidth="1"/>
    <col min="12813" max="12813" width="12.28515625" style="43" bestFit="1" customWidth="1"/>
    <col min="12814" max="12814" width="13.7109375" style="43" bestFit="1" customWidth="1"/>
    <col min="12815" max="12815" width="8.42578125" style="43" bestFit="1" customWidth="1"/>
    <col min="12816" max="12816" width="5" style="43" customWidth="1"/>
    <col min="12817" max="12817" width="4" style="43" bestFit="1" customWidth="1"/>
    <col min="12818" max="12818" width="12.28515625" style="43" bestFit="1" customWidth="1"/>
    <col min="12819" max="12819" width="10.85546875" style="43" bestFit="1" customWidth="1"/>
    <col min="12820" max="12820" width="10.5703125" style="43" bestFit="1" customWidth="1"/>
    <col min="12821" max="12821" width="10.7109375" style="43" bestFit="1" customWidth="1"/>
    <col min="12822" max="12822" width="12.5703125" style="43" bestFit="1" customWidth="1"/>
    <col min="12823" max="12823" width="13.7109375" style="43" bestFit="1" customWidth="1"/>
    <col min="12824" max="12824" width="12.5703125" style="43" bestFit="1" customWidth="1"/>
    <col min="12825" max="12825" width="13.7109375" style="43" customWidth="1"/>
    <col min="12826" max="12826" width="15.140625" style="43" bestFit="1" customWidth="1"/>
    <col min="12827" max="12827" width="3.7109375" style="43" customWidth="1"/>
    <col min="12828" max="12828" width="20.7109375" style="43" bestFit="1" customWidth="1"/>
    <col min="12829" max="12829" width="15.28515625" style="43" bestFit="1" customWidth="1"/>
    <col min="12830" max="12830" width="21.5703125" style="43" bestFit="1" customWidth="1"/>
    <col min="12831" max="12831" width="23.7109375" style="43" bestFit="1" customWidth="1"/>
    <col min="12832" max="12832" width="1.5703125" style="43" customWidth="1"/>
    <col min="12833" max="12833" width="17.42578125" style="43" bestFit="1" customWidth="1"/>
    <col min="12834" max="12834" width="13.85546875" style="43" bestFit="1" customWidth="1"/>
    <col min="12835" max="12835" width="3.140625" style="43" customWidth="1"/>
    <col min="12836" max="12839" width="0" style="43" hidden="1" customWidth="1"/>
    <col min="12840" max="12840" width="1.5703125" style="43" customWidth="1"/>
    <col min="12841" max="12841" width="19.85546875" style="43" bestFit="1" customWidth="1"/>
    <col min="12842" max="12842" width="1.140625" style="43" customWidth="1"/>
    <col min="12843" max="13056" width="9.140625" style="43"/>
    <col min="13057" max="13057" width="1.85546875" style="43" customWidth="1"/>
    <col min="13058" max="13058" width="4" style="43" bestFit="1" customWidth="1"/>
    <col min="13059" max="13059" width="12.28515625" style="43" bestFit="1" customWidth="1"/>
    <col min="13060" max="13060" width="10.7109375" style="43" bestFit="1" customWidth="1"/>
    <col min="13061" max="13061" width="16" style="43" bestFit="1" customWidth="1"/>
    <col min="13062" max="13062" width="12.5703125" style="43" bestFit="1" customWidth="1"/>
    <col min="13063" max="13063" width="12.5703125" style="43" customWidth="1"/>
    <col min="13064" max="13064" width="3.7109375" style="43" customWidth="1"/>
    <col min="13065" max="13065" width="4" style="43" bestFit="1" customWidth="1"/>
    <col min="13066" max="13066" width="12.28515625" style="43" bestFit="1" customWidth="1"/>
    <col min="13067" max="13067" width="13.85546875" style="43" bestFit="1" customWidth="1"/>
    <col min="13068" max="13068" width="10.7109375" style="43" bestFit="1" customWidth="1"/>
    <col min="13069" max="13069" width="12.28515625" style="43" bestFit="1" customWidth="1"/>
    <col min="13070" max="13070" width="13.7109375" style="43" bestFit="1" customWidth="1"/>
    <col min="13071" max="13071" width="8.42578125" style="43" bestFit="1" customWidth="1"/>
    <col min="13072" max="13072" width="5" style="43" customWidth="1"/>
    <col min="13073" max="13073" width="4" style="43" bestFit="1" customWidth="1"/>
    <col min="13074" max="13074" width="12.28515625" style="43" bestFit="1" customWidth="1"/>
    <col min="13075" max="13075" width="10.85546875" style="43" bestFit="1" customWidth="1"/>
    <col min="13076" max="13076" width="10.5703125" style="43" bestFit="1" customWidth="1"/>
    <col min="13077" max="13077" width="10.7109375" style="43" bestFit="1" customWidth="1"/>
    <col min="13078" max="13078" width="12.5703125" style="43" bestFit="1" customWidth="1"/>
    <col min="13079" max="13079" width="13.7109375" style="43" bestFit="1" customWidth="1"/>
    <col min="13080" max="13080" width="12.5703125" style="43" bestFit="1" customWidth="1"/>
    <col min="13081" max="13081" width="13.7109375" style="43" customWidth="1"/>
    <col min="13082" max="13082" width="15.140625" style="43" bestFit="1" customWidth="1"/>
    <col min="13083" max="13083" width="3.7109375" style="43" customWidth="1"/>
    <col min="13084" max="13084" width="20.7109375" style="43" bestFit="1" customWidth="1"/>
    <col min="13085" max="13085" width="15.28515625" style="43" bestFit="1" customWidth="1"/>
    <col min="13086" max="13086" width="21.5703125" style="43" bestFit="1" customWidth="1"/>
    <col min="13087" max="13087" width="23.7109375" style="43" bestFit="1" customWidth="1"/>
    <col min="13088" max="13088" width="1.5703125" style="43" customWidth="1"/>
    <col min="13089" max="13089" width="17.42578125" style="43" bestFit="1" customWidth="1"/>
    <col min="13090" max="13090" width="13.85546875" style="43" bestFit="1" customWidth="1"/>
    <col min="13091" max="13091" width="3.140625" style="43" customWidth="1"/>
    <col min="13092" max="13095" width="0" style="43" hidden="1" customWidth="1"/>
    <col min="13096" max="13096" width="1.5703125" style="43" customWidth="1"/>
    <col min="13097" max="13097" width="19.85546875" style="43" bestFit="1" customWidth="1"/>
    <col min="13098" max="13098" width="1.140625" style="43" customWidth="1"/>
    <col min="13099" max="13312" width="9.140625" style="43"/>
    <col min="13313" max="13313" width="1.85546875" style="43" customWidth="1"/>
    <col min="13314" max="13314" width="4" style="43" bestFit="1" customWidth="1"/>
    <col min="13315" max="13315" width="12.28515625" style="43" bestFit="1" customWidth="1"/>
    <col min="13316" max="13316" width="10.7109375" style="43" bestFit="1" customWidth="1"/>
    <col min="13317" max="13317" width="16" style="43" bestFit="1" customWidth="1"/>
    <col min="13318" max="13318" width="12.5703125" style="43" bestFit="1" customWidth="1"/>
    <col min="13319" max="13319" width="12.5703125" style="43" customWidth="1"/>
    <col min="13320" max="13320" width="3.7109375" style="43" customWidth="1"/>
    <col min="13321" max="13321" width="4" style="43" bestFit="1" customWidth="1"/>
    <col min="13322" max="13322" width="12.28515625" style="43" bestFit="1" customWidth="1"/>
    <col min="13323" max="13323" width="13.85546875" style="43" bestFit="1" customWidth="1"/>
    <col min="13324" max="13324" width="10.7109375" style="43" bestFit="1" customWidth="1"/>
    <col min="13325" max="13325" width="12.28515625" style="43" bestFit="1" customWidth="1"/>
    <col min="13326" max="13326" width="13.7109375" style="43" bestFit="1" customWidth="1"/>
    <col min="13327" max="13327" width="8.42578125" style="43" bestFit="1" customWidth="1"/>
    <col min="13328" max="13328" width="5" style="43" customWidth="1"/>
    <col min="13329" max="13329" width="4" style="43" bestFit="1" customWidth="1"/>
    <col min="13330" max="13330" width="12.28515625" style="43" bestFit="1" customWidth="1"/>
    <col min="13331" max="13331" width="10.85546875" style="43" bestFit="1" customWidth="1"/>
    <col min="13332" max="13332" width="10.5703125" style="43" bestFit="1" customWidth="1"/>
    <col min="13333" max="13333" width="10.7109375" style="43" bestFit="1" customWidth="1"/>
    <col min="13334" max="13334" width="12.5703125" style="43" bestFit="1" customWidth="1"/>
    <col min="13335" max="13335" width="13.7109375" style="43" bestFit="1" customWidth="1"/>
    <col min="13336" max="13336" width="12.5703125" style="43" bestFit="1" customWidth="1"/>
    <col min="13337" max="13337" width="13.7109375" style="43" customWidth="1"/>
    <col min="13338" max="13338" width="15.140625" style="43" bestFit="1" customWidth="1"/>
    <col min="13339" max="13339" width="3.7109375" style="43" customWidth="1"/>
    <col min="13340" max="13340" width="20.7109375" style="43" bestFit="1" customWidth="1"/>
    <col min="13341" max="13341" width="15.28515625" style="43" bestFit="1" customWidth="1"/>
    <col min="13342" max="13342" width="21.5703125" style="43" bestFit="1" customWidth="1"/>
    <col min="13343" max="13343" width="23.7109375" style="43" bestFit="1" customWidth="1"/>
    <col min="13344" max="13344" width="1.5703125" style="43" customWidth="1"/>
    <col min="13345" max="13345" width="17.42578125" style="43" bestFit="1" customWidth="1"/>
    <col min="13346" max="13346" width="13.85546875" style="43" bestFit="1" customWidth="1"/>
    <col min="13347" max="13347" width="3.140625" style="43" customWidth="1"/>
    <col min="13348" max="13351" width="0" style="43" hidden="1" customWidth="1"/>
    <col min="13352" max="13352" width="1.5703125" style="43" customWidth="1"/>
    <col min="13353" max="13353" width="19.85546875" style="43" bestFit="1" customWidth="1"/>
    <col min="13354" max="13354" width="1.140625" style="43" customWidth="1"/>
    <col min="13355" max="13568" width="9.140625" style="43"/>
    <col min="13569" max="13569" width="1.85546875" style="43" customWidth="1"/>
    <col min="13570" max="13570" width="4" style="43" bestFit="1" customWidth="1"/>
    <col min="13571" max="13571" width="12.28515625" style="43" bestFit="1" customWidth="1"/>
    <col min="13572" max="13572" width="10.7109375" style="43" bestFit="1" customWidth="1"/>
    <col min="13573" max="13573" width="16" style="43" bestFit="1" customWidth="1"/>
    <col min="13574" max="13574" width="12.5703125" style="43" bestFit="1" customWidth="1"/>
    <col min="13575" max="13575" width="12.5703125" style="43" customWidth="1"/>
    <col min="13576" max="13576" width="3.7109375" style="43" customWidth="1"/>
    <col min="13577" max="13577" width="4" style="43" bestFit="1" customWidth="1"/>
    <col min="13578" max="13578" width="12.28515625" style="43" bestFit="1" customWidth="1"/>
    <col min="13579" max="13579" width="13.85546875" style="43" bestFit="1" customWidth="1"/>
    <col min="13580" max="13580" width="10.7109375" style="43" bestFit="1" customWidth="1"/>
    <col min="13581" max="13581" width="12.28515625" style="43" bestFit="1" customWidth="1"/>
    <col min="13582" max="13582" width="13.7109375" style="43" bestFit="1" customWidth="1"/>
    <col min="13583" max="13583" width="8.42578125" style="43" bestFit="1" customWidth="1"/>
    <col min="13584" max="13584" width="5" style="43" customWidth="1"/>
    <col min="13585" max="13585" width="4" style="43" bestFit="1" customWidth="1"/>
    <col min="13586" max="13586" width="12.28515625" style="43" bestFit="1" customWidth="1"/>
    <col min="13587" max="13587" width="10.85546875" style="43" bestFit="1" customWidth="1"/>
    <col min="13588" max="13588" width="10.5703125" style="43" bestFit="1" customWidth="1"/>
    <col min="13589" max="13589" width="10.7109375" style="43" bestFit="1" customWidth="1"/>
    <col min="13590" max="13590" width="12.5703125" style="43" bestFit="1" customWidth="1"/>
    <col min="13591" max="13591" width="13.7109375" style="43" bestFit="1" customWidth="1"/>
    <col min="13592" max="13592" width="12.5703125" style="43" bestFit="1" customWidth="1"/>
    <col min="13593" max="13593" width="13.7109375" style="43" customWidth="1"/>
    <col min="13594" max="13594" width="15.140625" style="43" bestFit="1" customWidth="1"/>
    <col min="13595" max="13595" width="3.7109375" style="43" customWidth="1"/>
    <col min="13596" max="13596" width="20.7109375" style="43" bestFit="1" customWidth="1"/>
    <col min="13597" max="13597" width="15.28515625" style="43" bestFit="1" customWidth="1"/>
    <col min="13598" max="13598" width="21.5703125" style="43" bestFit="1" customWidth="1"/>
    <col min="13599" max="13599" width="23.7109375" style="43" bestFit="1" customWidth="1"/>
    <col min="13600" max="13600" width="1.5703125" style="43" customWidth="1"/>
    <col min="13601" max="13601" width="17.42578125" style="43" bestFit="1" customWidth="1"/>
    <col min="13602" max="13602" width="13.85546875" style="43" bestFit="1" customWidth="1"/>
    <col min="13603" max="13603" width="3.140625" style="43" customWidth="1"/>
    <col min="13604" max="13607" width="0" style="43" hidden="1" customWidth="1"/>
    <col min="13608" max="13608" width="1.5703125" style="43" customWidth="1"/>
    <col min="13609" max="13609" width="19.85546875" style="43" bestFit="1" customWidth="1"/>
    <col min="13610" max="13610" width="1.140625" style="43" customWidth="1"/>
    <col min="13611" max="13824" width="9.140625" style="43"/>
    <col min="13825" max="13825" width="1.85546875" style="43" customWidth="1"/>
    <col min="13826" max="13826" width="4" style="43" bestFit="1" customWidth="1"/>
    <col min="13827" max="13827" width="12.28515625" style="43" bestFit="1" customWidth="1"/>
    <col min="13828" max="13828" width="10.7109375" style="43" bestFit="1" customWidth="1"/>
    <col min="13829" max="13829" width="16" style="43" bestFit="1" customWidth="1"/>
    <col min="13830" max="13830" width="12.5703125" style="43" bestFit="1" customWidth="1"/>
    <col min="13831" max="13831" width="12.5703125" style="43" customWidth="1"/>
    <col min="13832" max="13832" width="3.7109375" style="43" customWidth="1"/>
    <col min="13833" max="13833" width="4" style="43" bestFit="1" customWidth="1"/>
    <col min="13834" max="13834" width="12.28515625" style="43" bestFit="1" customWidth="1"/>
    <col min="13835" max="13835" width="13.85546875" style="43" bestFit="1" customWidth="1"/>
    <col min="13836" max="13836" width="10.7109375" style="43" bestFit="1" customWidth="1"/>
    <col min="13837" max="13837" width="12.28515625" style="43" bestFit="1" customWidth="1"/>
    <col min="13838" max="13838" width="13.7109375" style="43" bestFit="1" customWidth="1"/>
    <col min="13839" max="13839" width="8.42578125" style="43" bestFit="1" customWidth="1"/>
    <col min="13840" max="13840" width="5" style="43" customWidth="1"/>
    <col min="13841" max="13841" width="4" style="43" bestFit="1" customWidth="1"/>
    <col min="13842" max="13842" width="12.28515625" style="43" bestFit="1" customWidth="1"/>
    <col min="13843" max="13843" width="10.85546875" style="43" bestFit="1" customWidth="1"/>
    <col min="13844" max="13844" width="10.5703125" style="43" bestFit="1" customWidth="1"/>
    <col min="13845" max="13845" width="10.7109375" style="43" bestFit="1" customWidth="1"/>
    <col min="13846" max="13846" width="12.5703125" style="43" bestFit="1" customWidth="1"/>
    <col min="13847" max="13847" width="13.7109375" style="43" bestFit="1" customWidth="1"/>
    <col min="13848" max="13848" width="12.5703125" style="43" bestFit="1" customWidth="1"/>
    <col min="13849" max="13849" width="13.7109375" style="43" customWidth="1"/>
    <col min="13850" max="13850" width="15.140625" style="43" bestFit="1" customWidth="1"/>
    <col min="13851" max="13851" width="3.7109375" style="43" customWidth="1"/>
    <col min="13852" max="13852" width="20.7109375" style="43" bestFit="1" customWidth="1"/>
    <col min="13853" max="13853" width="15.28515625" style="43" bestFit="1" customWidth="1"/>
    <col min="13854" max="13854" width="21.5703125" style="43" bestFit="1" customWidth="1"/>
    <col min="13855" max="13855" width="23.7109375" style="43" bestFit="1" customWidth="1"/>
    <col min="13856" max="13856" width="1.5703125" style="43" customWidth="1"/>
    <col min="13857" max="13857" width="17.42578125" style="43" bestFit="1" customWidth="1"/>
    <col min="13858" max="13858" width="13.85546875" style="43" bestFit="1" customWidth="1"/>
    <col min="13859" max="13859" width="3.140625" style="43" customWidth="1"/>
    <col min="13860" max="13863" width="0" style="43" hidden="1" customWidth="1"/>
    <col min="13864" max="13864" width="1.5703125" style="43" customWidth="1"/>
    <col min="13865" max="13865" width="19.85546875" style="43" bestFit="1" customWidth="1"/>
    <col min="13866" max="13866" width="1.140625" style="43" customWidth="1"/>
    <col min="13867" max="14080" width="9.140625" style="43"/>
    <col min="14081" max="14081" width="1.85546875" style="43" customWidth="1"/>
    <col min="14082" max="14082" width="4" style="43" bestFit="1" customWidth="1"/>
    <col min="14083" max="14083" width="12.28515625" style="43" bestFit="1" customWidth="1"/>
    <col min="14084" max="14084" width="10.7109375" style="43" bestFit="1" customWidth="1"/>
    <col min="14085" max="14085" width="16" style="43" bestFit="1" customWidth="1"/>
    <col min="14086" max="14086" width="12.5703125" style="43" bestFit="1" customWidth="1"/>
    <col min="14087" max="14087" width="12.5703125" style="43" customWidth="1"/>
    <col min="14088" max="14088" width="3.7109375" style="43" customWidth="1"/>
    <col min="14089" max="14089" width="4" style="43" bestFit="1" customWidth="1"/>
    <col min="14090" max="14090" width="12.28515625" style="43" bestFit="1" customWidth="1"/>
    <col min="14091" max="14091" width="13.85546875" style="43" bestFit="1" customWidth="1"/>
    <col min="14092" max="14092" width="10.7109375" style="43" bestFit="1" customWidth="1"/>
    <col min="14093" max="14093" width="12.28515625" style="43" bestFit="1" customWidth="1"/>
    <col min="14094" max="14094" width="13.7109375" style="43" bestFit="1" customWidth="1"/>
    <col min="14095" max="14095" width="8.42578125" style="43" bestFit="1" customWidth="1"/>
    <col min="14096" max="14096" width="5" style="43" customWidth="1"/>
    <col min="14097" max="14097" width="4" style="43" bestFit="1" customWidth="1"/>
    <col min="14098" max="14098" width="12.28515625" style="43" bestFit="1" customWidth="1"/>
    <col min="14099" max="14099" width="10.85546875" style="43" bestFit="1" customWidth="1"/>
    <col min="14100" max="14100" width="10.5703125" style="43" bestFit="1" customWidth="1"/>
    <col min="14101" max="14101" width="10.7109375" style="43" bestFit="1" customWidth="1"/>
    <col min="14102" max="14102" width="12.5703125" style="43" bestFit="1" customWidth="1"/>
    <col min="14103" max="14103" width="13.7109375" style="43" bestFit="1" customWidth="1"/>
    <col min="14104" max="14104" width="12.5703125" style="43" bestFit="1" customWidth="1"/>
    <col min="14105" max="14105" width="13.7109375" style="43" customWidth="1"/>
    <col min="14106" max="14106" width="15.140625" style="43" bestFit="1" customWidth="1"/>
    <col min="14107" max="14107" width="3.7109375" style="43" customWidth="1"/>
    <col min="14108" max="14108" width="20.7109375" style="43" bestFit="1" customWidth="1"/>
    <col min="14109" max="14109" width="15.28515625" style="43" bestFit="1" customWidth="1"/>
    <col min="14110" max="14110" width="21.5703125" style="43" bestFit="1" customWidth="1"/>
    <col min="14111" max="14111" width="23.7109375" style="43" bestFit="1" customWidth="1"/>
    <col min="14112" max="14112" width="1.5703125" style="43" customWidth="1"/>
    <col min="14113" max="14113" width="17.42578125" style="43" bestFit="1" customWidth="1"/>
    <col min="14114" max="14114" width="13.85546875" style="43" bestFit="1" customWidth="1"/>
    <col min="14115" max="14115" width="3.140625" style="43" customWidth="1"/>
    <col min="14116" max="14119" width="0" style="43" hidden="1" customWidth="1"/>
    <col min="14120" max="14120" width="1.5703125" style="43" customWidth="1"/>
    <col min="14121" max="14121" width="19.85546875" style="43" bestFit="1" customWidth="1"/>
    <col min="14122" max="14122" width="1.140625" style="43" customWidth="1"/>
    <col min="14123" max="14336" width="9.140625" style="43"/>
    <col min="14337" max="14337" width="1.85546875" style="43" customWidth="1"/>
    <col min="14338" max="14338" width="4" style="43" bestFit="1" customWidth="1"/>
    <col min="14339" max="14339" width="12.28515625" style="43" bestFit="1" customWidth="1"/>
    <col min="14340" max="14340" width="10.7109375" style="43" bestFit="1" customWidth="1"/>
    <col min="14341" max="14341" width="16" style="43" bestFit="1" customWidth="1"/>
    <col min="14342" max="14342" width="12.5703125" style="43" bestFit="1" customWidth="1"/>
    <col min="14343" max="14343" width="12.5703125" style="43" customWidth="1"/>
    <col min="14344" max="14344" width="3.7109375" style="43" customWidth="1"/>
    <col min="14345" max="14345" width="4" style="43" bestFit="1" customWidth="1"/>
    <col min="14346" max="14346" width="12.28515625" style="43" bestFit="1" customWidth="1"/>
    <col min="14347" max="14347" width="13.85546875" style="43" bestFit="1" customWidth="1"/>
    <col min="14348" max="14348" width="10.7109375" style="43" bestFit="1" customWidth="1"/>
    <col min="14349" max="14349" width="12.28515625" style="43" bestFit="1" customWidth="1"/>
    <col min="14350" max="14350" width="13.7109375" style="43" bestFit="1" customWidth="1"/>
    <col min="14351" max="14351" width="8.42578125" style="43" bestFit="1" customWidth="1"/>
    <col min="14352" max="14352" width="5" style="43" customWidth="1"/>
    <col min="14353" max="14353" width="4" style="43" bestFit="1" customWidth="1"/>
    <col min="14354" max="14354" width="12.28515625" style="43" bestFit="1" customWidth="1"/>
    <col min="14355" max="14355" width="10.85546875" style="43" bestFit="1" customWidth="1"/>
    <col min="14356" max="14356" width="10.5703125" style="43" bestFit="1" customWidth="1"/>
    <col min="14357" max="14357" width="10.7109375" style="43" bestFit="1" customWidth="1"/>
    <col min="14358" max="14358" width="12.5703125" style="43" bestFit="1" customWidth="1"/>
    <col min="14359" max="14359" width="13.7109375" style="43" bestFit="1" customWidth="1"/>
    <col min="14360" max="14360" width="12.5703125" style="43" bestFit="1" customWidth="1"/>
    <col min="14361" max="14361" width="13.7109375" style="43" customWidth="1"/>
    <col min="14362" max="14362" width="15.140625" style="43" bestFit="1" customWidth="1"/>
    <col min="14363" max="14363" width="3.7109375" style="43" customWidth="1"/>
    <col min="14364" max="14364" width="20.7109375" style="43" bestFit="1" customWidth="1"/>
    <col min="14365" max="14365" width="15.28515625" style="43" bestFit="1" customWidth="1"/>
    <col min="14366" max="14366" width="21.5703125" style="43" bestFit="1" customWidth="1"/>
    <col min="14367" max="14367" width="23.7109375" style="43" bestFit="1" customWidth="1"/>
    <col min="14368" max="14368" width="1.5703125" style="43" customWidth="1"/>
    <col min="14369" max="14369" width="17.42578125" style="43" bestFit="1" customWidth="1"/>
    <col min="14370" max="14370" width="13.85546875" style="43" bestFit="1" customWidth="1"/>
    <col min="14371" max="14371" width="3.140625" style="43" customWidth="1"/>
    <col min="14372" max="14375" width="0" style="43" hidden="1" customWidth="1"/>
    <col min="14376" max="14376" width="1.5703125" style="43" customWidth="1"/>
    <col min="14377" max="14377" width="19.85546875" style="43" bestFit="1" customWidth="1"/>
    <col min="14378" max="14378" width="1.140625" style="43" customWidth="1"/>
    <col min="14379" max="14592" width="9.140625" style="43"/>
    <col min="14593" max="14593" width="1.85546875" style="43" customWidth="1"/>
    <col min="14594" max="14594" width="4" style="43" bestFit="1" customWidth="1"/>
    <col min="14595" max="14595" width="12.28515625" style="43" bestFit="1" customWidth="1"/>
    <col min="14596" max="14596" width="10.7109375" style="43" bestFit="1" customWidth="1"/>
    <col min="14597" max="14597" width="16" style="43" bestFit="1" customWidth="1"/>
    <col min="14598" max="14598" width="12.5703125" style="43" bestFit="1" customWidth="1"/>
    <col min="14599" max="14599" width="12.5703125" style="43" customWidth="1"/>
    <col min="14600" max="14600" width="3.7109375" style="43" customWidth="1"/>
    <col min="14601" max="14601" width="4" style="43" bestFit="1" customWidth="1"/>
    <col min="14602" max="14602" width="12.28515625" style="43" bestFit="1" customWidth="1"/>
    <col min="14603" max="14603" width="13.85546875" style="43" bestFit="1" customWidth="1"/>
    <col min="14604" max="14604" width="10.7109375" style="43" bestFit="1" customWidth="1"/>
    <col min="14605" max="14605" width="12.28515625" style="43" bestFit="1" customWidth="1"/>
    <col min="14606" max="14606" width="13.7109375" style="43" bestFit="1" customWidth="1"/>
    <col min="14607" max="14607" width="8.42578125" style="43" bestFit="1" customWidth="1"/>
    <col min="14608" max="14608" width="5" style="43" customWidth="1"/>
    <col min="14609" max="14609" width="4" style="43" bestFit="1" customWidth="1"/>
    <col min="14610" max="14610" width="12.28515625" style="43" bestFit="1" customWidth="1"/>
    <col min="14611" max="14611" width="10.85546875" style="43" bestFit="1" customWidth="1"/>
    <col min="14612" max="14612" width="10.5703125" style="43" bestFit="1" customWidth="1"/>
    <col min="14613" max="14613" width="10.7109375" style="43" bestFit="1" customWidth="1"/>
    <col min="14614" max="14614" width="12.5703125" style="43" bestFit="1" customWidth="1"/>
    <col min="14615" max="14615" width="13.7109375" style="43" bestFit="1" customWidth="1"/>
    <col min="14616" max="14616" width="12.5703125" style="43" bestFit="1" customWidth="1"/>
    <col min="14617" max="14617" width="13.7109375" style="43" customWidth="1"/>
    <col min="14618" max="14618" width="15.140625" style="43" bestFit="1" customWidth="1"/>
    <col min="14619" max="14619" width="3.7109375" style="43" customWidth="1"/>
    <col min="14620" max="14620" width="20.7109375" style="43" bestFit="1" customWidth="1"/>
    <col min="14621" max="14621" width="15.28515625" style="43" bestFit="1" customWidth="1"/>
    <col min="14622" max="14622" width="21.5703125" style="43" bestFit="1" customWidth="1"/>
    <col min="14623" max="14623" width="23.7109375" style="43" bestFit="1" customWidth="1"/>
    <col min="14624" max="14624" width="1.5703125" style="43" customWidth="1"/>
    <col min="14625" max="14625" width="17.42578125" style="43" bestFit="1" customWidth="1"/>
    <col min="14626" max="14626" width="13.85546875" style="43" bestFit="1" customWidth="1"/>
    <col min="14627" max="14627" width="3.140625" style="43" customWidth="1"/>
    <col min="14628" max="14631" width="0" style="43" hidden="1" customWidth="1"/>
    <col min="14632" max="14632" width="1.5703125" style="43" customWidth="1"/>
    <col min="14633" max="14633" width="19.85546875" style="43" bestFit="1" customWidth="1"/>
    <col min="14634" max="14634" width="1.140625" style="43" customWidth="1"/>
    <col min="14635" max="14848" width="9.140625" style="43"/>
    <col min="14849" max="14849" width="1.85546875" style="43" customWidth="1"/>
    <col min="14850" max="14850" width="4" style="43" bestFit="1" customWidth="1"/>
    <col min="14851" max="14851" width="12.28515625" style="43" bestFit="1" customWidth="1"/>
    <col min="14852" max="14852" width="10.7109375" style="43" bestFit="1" customWidth="1"/>
    <col min="14853" max="14853" width="16" style="43" bestFit="1" customWidth="1"/>
    <col min="14854" max="14854" width="12.5703125" style="43" bestFit="1" customWidth="1"/>
    <col min="14855" max="14855" width="12.5703125" style="43" customWidth="1"/>
    <col min="14856" max="14856" width="3.7109375" style="43" customWidth="1"/>
    <col min="14857" max="14857" width="4" style="43" bestFit="1" customWidth="1"/>
    <col min="14858" max="14858" width="12.28515625" style="43" bestFit="1" customWidth="1"/>
    <col min="14859" max="14859" width="13.85546875" style="43" bestFit="1" customWidth="1"/>
    <col min="14860" max="14860" width="10.7109375" style="43" bestFit="1" customWidth="1"/>
    <col min="14861" max="14861" width="12.28515625" style="43" bestFit="1" customWidth="1"/>
    <col min="14862" max="14862" width="13.7109375" style="43" bestFit="1" customWidth="1"/>
    <col min="14863" max="14863" width="8.42578125" style="43" bestFit="1" customWidth="1"/>
    <col min="14864" max="14864" width="5" style="43" customWidth="1"/>
    <col min="14865" max="14865" width="4" style="43" bestFit="1" customWidth="1"/>
    <col min="14866" max="14866" width="12.28515625" style="43" bestFit="1" customWidth="1"/>
    <col min="14867" max="14867" width="10.85546875" style="43" bestFit="1" customWidth="1"/>
    <col min="14868" max="14868" width="10.5703125" style="43" bestFit="1" customWidth="1"/>
    <col min="14869" max="14869" width="10.7109375" style="43" bestFit="1" customWidth="1"/>
    <col min="14870" max="14870" width="12.5703125" style="43" bestFit="1" customWidth="1"/>
    <col min="14871" max="14871" width="13.7109375" style="43" bestFit="1" customWidth="1"/>
    <col min="14872" max="14872" width="12.5703125" style="43" bestFit="1" customWidth="1"/>
    <col min="14873" max="14873" width="13.7109375" style="43" customWidth="1"/>
    <col min="14874" max="14874" width="15.140625" style="43" bestFit="1" customWidth="1"/>
    <col min="14875" max="14875" width="3.7109375" style="43" customWidth="1"/>
    <col min="14876" max="14876" width="20.7109375" style="43" bestFit="1" customWidth="1"/>
    <col min="14877" max="14877" width="15.28515625" style="43" bestFit="1" customWidth="1"/>
    <col min="14878" max="14878" width="21.5703125" style="43" bestFit="1" customWidth="1"/>
    <col min="14879" max="14879" width="23.7109375" style="43" bestFit="1" customWidth="1"/>
    <col min="14880" max="14880" width="1.5703125" style="43" customWidth="1"/>
    <col min="14881" max="14881" width="17.42578125" style="43" bestFit="1" customWidth="1"/>
    <col min="14882" max="14882" width="13.85546875" style="43" bestFit="1" customWidth="1"/>
    <col min="14883" max="14883" width="3.140625" style="43" customWidth="1"/>
    <col min="14884" max="14887" width="0" style="43" hidden="1" customWidth="1"/>
    <col min="14888" max="14888" width="1.5703125" style="43" customWidth="1"/>
    <col min="14889" max="14889" width="19.85546875" style="43" bestFit="1" customWidth="1"/>
    <col min="14890" max="14890" width="1.140625" style="43" customWidth="1"/>
    <col min="14891" max="15104" width="9.140625" style="43"/>
    <col min="15105" max="15105" width="1.85546875" style="43" customWidth="1"/>
    <col min="15106" max="15106" width="4" style="43" bestFit="1" customWidth="1"/>
    <col min="15107" max="15107" width="12.28515625" style="43" bestFit="1" customWidth="1"/>
    <col min="15108" max="15108" width="10.7109375" style="43" bestFit="1" customWidth="1"/>
    <col min="15109" max="15109" width="16" style="43" bestFit="1" customWidth="1"/>
    <col min="15110" max="15110" width="12.5703125" style="43" bestFit="1" customWidth="1"/>
    <col min="15111" max="15111" width="12.5703125" style="43" customWidth="1"/>
    <col min="15112" max="15112" width="3.7109375" style="43" customWidth="1"/>
    <col min="15113" max="15113" width="4" style="43" bestFit="1" customWidth="1"/>
    <col min="15114" max="15114" width="12.28515625" style="43" bestFit="1" customWidth="1"/>
    <col min="15115" max="15115" width="13.85546875" style="43" bestFit="1" customWidth="1"/>
    <col min="15116" max="15116" width="10.7109375" style="43" bestFit="1" customWidth="1"/>
    <col min="15117" max="15117" width="12.28515625" style="43" bestFit="1" customWidth="1"/>
    <col min="15118" max="15118" width="13.7109375" style="43" bestFit="1" customWidth="1"/>
    <col min="15119" max="15119" width="8.42578125" style="43" bestFit="1" customWidth="1"/>
    <col min="15120" max="15120" width="5" style="43" customWidth="1"/>
    <col min="15121" max="15121" width="4" style="43" bestFit="1" customWidth="1"/>
    <col min="15122" max="15122" width="12.28515625" style="43" bestFit="1" customWidth="1"/>
    <col min="15123" max="15123" width="10.85546875" style="43" bestFit="1" customWidth="1"/>
    <col min="15124" max="15124" width="10.5703125" style="43" bestFit="1" customWidth="1"/>
    <col min="15125" max="15125" width="10.7109375" style="43" bestFit="1" customWidth="1"/>
    <col min="15126" max="15126" width="12.5703125" style="43" bestFit="1" customWidth="1"/>
    <col min="15127" max="15127" width="13.7109375" style="43" bestFit="1" customWidth="1"/>
    <col min="15128" max="15128" width="12.5703125" style="43" bestFit="1" customWidth="1"/>
    <col min="15129" max="15129" width="13.7109375" style="43" customWidth="1"/>
    <col min="15130" max="15130" width="15.140625" style="43" bestFit="1" customWidth="1"/>
    <col min="15131" max="15131" width="3.7109375" style="43" customWidth="1"/>
    <col min="15132" max="15132" width="20.7109375" style="43" bestFit="1" customWidth="1"/>
    <col min="15133" max="15133" width="15.28515625" style="43" bestFit="1" customWidth="1"/>
    <col min="15134" max="15134" width="21.5703125" style="43" bestFit="1" customWidth="1"/>
    <col min="15135" max="15135" width="23.7109375" style="43" bestFit="1" customWidth="1"/>
    <col min="15136" max="15136" width="1.5703125" style="43" customWidth="1"/>
    <col min="15137" max="15137" width="17.42578125" style="43" bestFit="1" customWidth="1"/>
    <col min="15138" max="15138" width="13.85546875" style="43" bestFit="1" customWidth="1"/>
    <col min="15139" max="15139" width="3.140625" style="43" customWidth="1"/>
    <col min="15140" max="15143" width="0" style="43" hidden="1" customWidth="1"/>
    <col min="15144" max="15144" width="1.5703125" style="43" customWidth="1"/>
    <col min="15145" max="15145" width="19.85546875" style="43" bestFit="1" customWidth="1"/>
    <col min="15146" max="15146" width="1.140625" style="43" customWidth="1"/>
    <col min="15147" max="15360" width="9.140625" style="43"/>
    <col min="15361" max="15361" width="1.85546875" style="43" customWidth="1"/>
    <col min="15362" max="15362" width="4" style="43" bestFit="1" customWidth="1"/>
    <col min="15363" max="15363" width="12.28515625" style="43" bestFit="1" customWidth="1"/>
    <col min="15364" max="15364" width="10.7109375" style="43" bestFit="1" customWidth="1"/>
    <col min="15365" max="15365" width="16" style="43" bestFit="1" customWidth="1"/>
    <col min="15366" max="15366" width="12.5703125" style="43" bestFit="1" customWidth="1"/>
    <col min="15367" max="15367" width="12.5703125" style="43" customWidth="1"/>
    <col min="15368" max="15368" width="3.7109375" style="43" customWidth="1"/>
    <col min="15369" max="15369" width="4" style="43" bestFit="1" customWidth="1"/>
    <col min="15370" max="15370" width="12.28515625" style="43" bestFit="1" customWidth="1"/>
    <col min="15371" max="15371" width="13.85546875" style="43" bestFit="1" customWidth="1"/>
    <col min="15372" max="15372" width="10.7109375" style="43" bestFit="1" customWidth="1"/>
    <col min="15373" max="15373" width="12.28515625" style="43" bestFit="1" customWidth="1"/>
    <col min="15374" max="15374" width="13.7109375" style="43" bestFit="1" customWidth="1"/>
    <col min="15375" max="15375" width="8.42578125" style="43" bestFit="1" customWidth="1"/>
    <col min="15376" max="15376" width="5" style="43" customWidth="1"/>
    <col min="15377" max="15377" width="4" style="43" bestFit="1" customWidth="1"/>
    <col min="15378" max="15378" width="12.28515625" style="43" bestFit="1" customWidth="1"/>
    <col min="15379" max="15379" width="10.85546875" style="43" bestFit="1" customWidth="1"/>
    <col min="15380" max="15380" width="10.5703125" style="43" bestFit="1" customWidth="1"/>
    <col min="15381" max="15381" width="10.7109375" style="43" bestFit="1" customWidth="1"/>
    <col min="15382" max="15382" width="12.5703125" style="43" bestFit="1" customWidth="1"/>
    <col min="15383" max="15383" width="13.7109375" style="43" bestFit="1" customWidth="1"/>
    <col min="15384" max="15384" width="12.5703125" style="43" bestFit="1" customWidth="1"/>
    <col min="15385" max="15385" width="13.7109375" style="43" customWidth="1"/>
    <col min="15386" max="15386" width="15.140625" style="43" bestFit="1" customWidth="1"/>
    <col min="15387" max="15387" width="3.7109375" style="43" customWidth="1"/>
    <col min="15388" max="15388" width="20.7109375" style="43" bestFit="1" customWidth="1"/>
    <col min="15389" max="15389" width="15.28515625" style="43" bestFit="1" customWidth="1"/>
    <col min="15390" max="15390" width="21.5703125" style="43" bestFit="1" customWidth="1"/>
    <col min="15391" max="15391" width="23.7109375" style="43" bestFit="1" customWidth="1"/>
    <col min="15392" max="15392" width="1.5703125" style="43" customWidth="1"/>
    <col min="15393" max="15393" width="17.42578125" style="43" bestFit="1" customWidth="1"/>
    <col min="15394" max="15394" width="13.85546875" style="43" bestFit="1" customWidth="1"/>
    <col min="15395" max="15395" width="3.140625" style="43" customWidth="1"/>
    <col min="15396" max="15399" width="0" style="43" hidden="1" customWidth="1"/>
    <col min="15400" max="15400" width="1.5703125" style="43" customWidth="1"/>
    <col min="15401" max="15401" width="19.85546875" style="43" bestFit="1" customWidth="1"/>
    <col min="15402" max="15402" width="1.140625" style="43" customWidth="1"/>
    <col min="15403" max="15616" width="9.140625" style="43"/>
    <col min="15617" max="15617" width="1.85546875" style="43" customWidth="1"/>
    <col min="15618" max="15618" width="4" style="43" bestFit="1" customWidth="1"/>
    <col min="15619" max="15619" width="12.28515625" style="43" bestFit="1" customWidth="1"/>
    <col min="15620" max="15620" width="10.7109375" style="43" bestFit="1" customWidth="1"/>
    <col min="15621" max="15621" width="16" style="43" bestFit="1" customWidth="1"/>
    <col min="15622" max="15622" width="12.5703125" style="43" bestFit="1" customWidth="1"/>
    <col min="15623" max="15623" width="12.5703125" style="43" customWidth="1"/>
    <col min="15624" max="15624" width="3.7109375" style="43" customWidth="1"/>
    <col min="15625" max="15625" width="4" style="43" bestFit="1" customWidth="1"/>
    <col min="15626" max="15626" width="12.28515625" style="43" bestFit="1" customWidth="1"/>
    <col min="15627" max="15627" width="13.85546875" style="43" bestFit="1" customWidth="1"/>
    <col min="15628" max="15628" width="10.7109375" style="43" bestFit="1" customWidth="1"/>
    <col min="15629" max="15629" width="12.28515625" style="43" bestFit="1" customWidth="1"/>
    <col min="15630" max="15630" width="13.7109375" style="43" bestFit="1" customWidth="1"/>
    <col min="15631" max="15631" width="8.42578125" style="43" bestFit="1" customWidth="1"/>
    <col min="15632" max="15632" width="5" style="43" customWidth="1"/>
    <col min="15633" max="15633" width="4" style="43" bestFit="1" customWidth="1"/>
    <col min="15634" max="15634" width="12.28515625" style="43" bestFit="1" customWidth="1"/>
    <col min="15635" max="15635" width="10.85546875" style="43" bestFit="1" customWidth="1"/>
    <col min="15636" max="15636" width="10.5703125" style="43" bestFit="1" customWidth="1"/>
    <col min="15637" max="15637" width="10.7109375" style="43" bestFit="1" customWidth="1"/>
    <col min="15638" max="15638" width="12.5703125" style="43" bestFit="1" customWidth="1"/>
    <col min="15639" max="15639" width="13.7109375" style="43" bestFit="1" customWidth="1"/>
    <col min="15640" max="15640" width="12.5703125" style="43" bestFit="1" customWidth="1"/>
    <col min="15641" max="15641" width="13.7109375" style="43" customWidth="1"/>
    <col min="15642" max="15642" width="15.140625" style="43" bestFit="1" customWidth="1"/>
    <col min="15643" max="15643" width="3.7109375" style="43" customWidth="1"/>
    <col min="15644" max="15644" width="20.7109375" style="43" bestFit="1" customWidth="1"/>
    <col min="15645" max="15645" width="15.28515625" style="43" bestFit="1" customWidth="1"/>
    <col min="15646" max="15646" width="21.5703125" style="43" bestFit="1" customWidth="1"/>
    <col min="15647" max="15647" width="23.7109375" style="43" bestFit="1" customWidth="1"/>
    <col min="15648" max="15648" width="1.5703125" style="43" customWidth="1"/>
    <col min="15649" max="15649" width="17.42578125" style="43" bestFit="1" customWidth="1"/>
    <col min="15650" max="15650" width="13.85546875" style="43" bestFit="1" customWidth="1"/>
    <col min="15651" max="15651" width="3.140625" style="43" customWidth="1"/>
    <col min="15652" max="15655" width="0" style="43" hidden="1" customWidth="1"/>
    <col min="15656" max="15656" width="1.5703125" style="43" customWidth="1"/>
    <col min="15657" max="15657" width="19.85546875" style="43" bestFit="1" customWidth="1"/>
    <col min="15658" max="15658" width="1.140625" style="43" customWidth="1"/>
    <col min="15659" max="15872" width="9.140625" style="43"/>
    <col min="15873" max="15873" width="1.85546875" style="43" customWidth="1"/>
    <col min="15874" max="15874" width="4" style="43" bestFit="1" customWidth="1"/>
    <col min="15875" max="15875" width="12.28515625" style="43" bestFit="1" customWidth="1"/>
    <col min="15876" max="15876" width="10.7109375" style="43" bestFit="1" customWidth="1"/>
    <col min="15877" max="15877" width="16" style="43" bestFit="1" customWidth="1"/>
    <col min="15878" max="15878" width="12.5703125" style="43" bestFit="1" customWidth="1"/>
    <col min="15879" max="15879" width="12.5703125" style="43" customWidth="1"/>
    <col min="15880" max="15880" width="3.7109375" style="43" customWidth="1"/>
    <col min="15881" max="15881" width="4" style="43" bestFit="1" customWidth="1"/>
    <col min="15882" max="15882" width="12.28515625" style="43" bestFit="1" customWidth="1"/>
    <col min="15883" max="15883" width="13.85546875" style="43" bestFit="1" customWidth="1"/>
    <col min="15884" max="15884" width="10.7109375" style="43" bestFit="1" customWidth="1"/>
    <col min="15885" max="15885" width="12.28515625" style="43" bestFit="1" customWidth="1"/>
    <col min="15886" max="15886" width="13.7109375" style="43" bestFit="1" customWidth="1"/>
    <col min="15887" max="15887" width="8.42578125" style="43" bestFit="1" customWidth="1"/>
    <col min="15888" max="15888" width="5" style="43" customWidth="1"/>
    <col min="15889" max="15889" width="4" style="43" bestFit="1" customWidth="1"/>
    <col min="15890" max="15890" width="12.28515625" style="43" bestFit="1" customWidth="1"/>
    <col min="15891" max="15891" width="10.85546875" style="43" bestFit="1" customWidth="1"/>
    <col min="15892" max="15892" width="10.5703125" style="43" bestFit="1" customWidth="1"/>
    <col min="15893" max="15893" width="10.7109375" style="43" bestFit="1" customWidth="1"/>
    <col min="15894" max="15894" width="12.5703125" style="43" bestFit="1" customWidth="1"/>
    <col min="15895" max="15895" width="13.7109375" style="43" bestFit="1" customWidth="1"/>
    <col min="15896" max="15896" width="12.5703125" style="43" bestFit="1" customWidth="1"/>
    <col min="15897" max="15897" width="13.7109375" style="43" customWidth="1"/>
    <col min="15898" max="15898" width="15.140625" style="43" bestFit="1" customWidth="1"/>
    <col min="15899" max="15899" width="3.7109375" style="43" customWidth="1"/>
    <col min="15900" max="15900" width="20.7109375" style="43" bestFit="1" customWidth="1"/>
    <col min="15901" max="15901" width="15.28515625" style="43" bestFit="1" customWidth="1"/>
    <col min="15902" max="15902" width="21.5703125" style="43" bestFit="1" customWidth="1"/>
    <col min="15903" max="15903" width="23.7109375" style="43" bestFit="1" customWidth="1"/>
    <col min="15904" max="15904" width="1.5703125" style="43" customWidth="1"/>
    <col min="15905" max="15905" width="17.42578125" style="43" bestFit="1" customWidth="1"/>
    <col min="15906" max="15906" width="13.85546875" style="43" bestFit="1" customWidth="1"/>
    <col min="15907" max="15907" width="3.140625" style="43" customWidth="1"/>
    <col min="15908" max="15911" width="0" style="43" hidden="1" customWidth="1"/>
    <col min="15912" max="15912" width="1.5703125" style="43" customWidth="1"/>
    <col min="15913" max="15913" width="19.85546875" style="43" bestFit="1" customWidth="1"/>
    <col min="15914" max="15914" width="1.140625" style="43" customWidth="1"/>
    <col min="15915" max="16128" width="9.140625" style="43"/>
    <col min="16129" max="16129" width="1.85546875" style="43" customWidth="1"/>
    <col min="16130" max="16130" width="4" style="43" bestFit="1" customWidth="1"/>
    <col min="16131" max="16131" width="12.28515625" style="43" bestFit="1" customWidth="1"/>
    <col min="16132" max="16132" width="10.7109375" style="43" bestFit="1" customWidth="1"/>
    <col min="16133" max="16133" width="16" style="43" bestFit="1" customWidth="1"/>
    <col min="16134" max="16134" width="12.5703125" style="43" bestFit="1" customWidth="1"/>
    <col min="16135" max="16135" width="12.5703125" style="43" customWidth="1"/>
    <col min="16136" max="16136" width="3.7109375" style="43" customWidth="1"/>
    <col min="16137" max="16137" width="4" style="43" bestFit="1" customWidth="1"/>
    <col min="16138" max="16138" width="12.28515625" style="43" bestFit="1" customWidth="1"/>
    <col min="16139" max="16139" width="13.85546875" style="43" bestFit="1" customWidth="1"/>
    <col min="16140" max="16140" width="10.7109375" style="43" bestFit="1" customWidth="1"/>
    <col min="16141" max="16141" width="12.28515625" style="43" bestFit="1" customWidth="1"/>
    <col min="16142" max="16142" width="13.7109375" style="43" bestFit="1" customWidth="1"/>
    <col min="16143" max="16143" width="8.42578125" style="43" bestFit="1" customWidth="1"/>
    <col min="16144" max="16144" width="5" style="43" customWidth="1"/>
    <col min="16145" max="16145" width="4" style="43" bestFit="1" customWidth="1"/>
    <col min="16146" max="16146" width="12.28515625" style="43" bestFit="1" customWidth="1"/>
    <col min="16147" max="16147" width="10.85546875" style="43" bestFit="1" customWidth="1"/>
    <col min="16148" max="16148" width="10.5703125" style="43" bestFit="1" customWidth="1"/>
    <col min="16149" max="16149" width="10.7109375" style="43" bestFit="1" customWidth="1"/>
    <col min="16150" max="16150" width="12.5703125" style="43" bestFit="1" customWidth="1"/>
    <col min="16151" max="16151" width="13.7109375" style="43" bestFit="1" customWidth="1"/>
    <col min="16152" max="16152" width="12.5703125" style="43" bestFit="1" customWidth="1"/>
    <col min="16153" max="16153" width="13.7109375" style="43" customWidth="1"/>
    <col min="16154" max="16154" width="15.140625" style="43" bestFit="1" customWidth="1"/>
    <col min="16155" max="16155" width="3.7109375" style="43" customWidth="1"/>
    <col min="16156" max="16156" width="20.7109375" style="43" bestFit="1" customWidth="1"/>
    <col min="16157" max="16157" width="15.28515625" style="43" bestFit="1" customWidth="1"/>
    <col min="16158" max="16158" width="21.5703125" style="43" bestFit="1" customWidth="1"/>
    <col min="16159" max="16159" width="23.7109375" style="43" bestFit="1" customWidth="1"/>
    <col min="16160" max="16160" width="1.5703125" style="43" customWidth="1"/>
    <col min="16161" max="16161" width="17.42578125" style="43" bestFit="1" customWidth="1"/>
    <col min="16162" max="16162" width="13.85546875" style="43" bestFit="1" customWidth="1"/>
    <col min="16163" max="16163" width="3.140625" style="43" customWidth="1"/>
    <col min="16164" max="16167" width="0" style="43" hidden="1" customWidth="1"/>
    <col min="16168" max="16168" width="1.5703125" style="43" customWidth="1"/>
    <col min="16169" max="16169" width="19.85546875" style="43" bestFit="1" customWidth="1"/>
    <col min="16170" max="16170" width="1.140625" style="43" customWidth="1"/>
    <col min="16171" max="16384" width="9.140625" style="43"/>
  </cols>
  <sheetData>
    <row r="1" spans="1:256">
      <c r="E1" s="110" t="s">
        <v>0</v>
      </c>
      <c r="F1" s="4" t="s">
        <v>52</v>
      </c>
      <c r="G1" s="4"/>
      <c r="H1" s="4"/>
      <c r="J1" s="6"/>
    </row>
    <row r="2" spans="1:256">
      <c r="C2" s="49"/>
      <c r="D2" s="49"/>
      <c r="E2" s="5" t="s">
        <v>1</v>
      </c>
      <c r="F2" s="6">
        <f>COUNT(I12:I995)</f>
        <v>22</v>
      </c>
      <c r="G2" s="6"/>
      <c r="H2" s="6"/>
      <c r="J2" s="16"/>
      <c r="K2" s="17"/>
      <c r="M2" s="3"/>
      <c r="N2" s="6"/>
      <c r="Q2" s="18"/>
      <c r="R2" s="12"/>
      <c r="S2" s="12"/>
      <c r="T2" s="12"/>
      <c r="U2" s="12"/>
      <c r="V2" s="12"/>
      <c r="W2" s="12"/>
      <c r="X2" s="12"/>
      <c r="Y2" s="12"/>
      <c r="Z2" s="12"/>
      <c r="AA2" s="12"/>
      <c r="AB2" s="27"/>
      <c r="AE2" s="28"/>
    </row>
    <row r="3" spans="1:256">
      <c r="C3" s="49"/>
      <c r="D3" s="49"/>
      <c r="E3" s="5" t="s">
        <v>2</v>
      </c>
      <c r="F3" s="7">
        <f>COUNTIF(AC12:AC995,"Baru ada di 2025")</f>
        <v>2</v>
      </c>
      <c r="G3" s="7"/>
      <c r="H3" s="7"/>
      <c r="J3" s="19"/>
      <c r="K3" s="17"/>
      <c r="M3" s="3"/>
      <c r="N3" s="6"/>
      <c r="Q3" s="18"/>
      <c r="R3" s="12"/>
      <c r="S3" s="12"/>
      <c r="T3" s="12"/>
      <c r="U3" s="12"/>
      <c r="V3" s="12"/>
      <c r="W3" s="12"/>
      <c r="X3" s="12"/>
      <c r="Y3" s="12"/>
      <c r="Z3" s="12"/>
      <c r="AA3" s="12"/>
      <c r="AB3" s="27"/>
      <c r="AE3" s="28"/>
    </row>
    <row r="4" spans="1:256">
      <c r="C4" s="49"/>
      <c r="D4" s="49"/>
      <c r="E4" s="5" t="s">
        <v>3</v>
      </c>
      <c r="F4" s="7">
        <f>-COUNT(Q12:Q195)</f>
        <v>-2</v>
      </c>
      <c r="G4" s="7"/>
      <c r="H4" s="7"/>
      <c r="J4" s="16"/>
      <c r="K4" s="17"/>
      <c r="M4" s="3"/>
      <c r="N4" s="6"/>
      <c r="Q4" s="18"/>
      <c r="R4" s="12"/>
      <c r="S4" s="12"/>
      <c r="T4" s="12"/>
      <c r="U4" s="12"/>
      <c r="V4" s="12"/>
      <c r="W4" s="12"/>
      <c r="X4" s="12"/>
      <c r="Y4" s="12"/>
      <c r="Z4" s="12"/>
      <c r="AA4" s="12"/>
      <c r="AB4" s="27"/>
      <c r="AE4" s="28"/>
    </row>
    <row r="5" spans="1:256">
      <c r="C5" s="49"/>
      <c r="D5" s="49"/>
      <c r="E5" s="5" t="s">
        <v>4</v>
      </c>
      <c r="F5" s="7">
        <f>SUM(F2:F4)</f>
        <v>22</v>
      </c>
      <c r="G5" s="7"/>
      <c r="H5" s="7"/>
      <c r="J5" s="16"/>
      <c r="K5" s="17"/>
      <c r="M5" s="3"/>
      <c r="N5" s="6"/>
      <c r="Q5" s="18"/>
      <c r="R5" s="12"/>
      <c r="S5" s="12"/>
      <c r="T5" s="12"/>
      <c r="U5" s="12"/>
      <c r="V5" s="12"/>
      <c r="W5" s="12"/>
      <c r="X5" s="12"/>
      <c r="Y5" s="12"/>
      <c r="Z5" s="12"/>
      <c r="AA5" s="12"/>
      <c r="AB5" s="27"/>
      <c r="AE5" s="28"/>
    </row>
    <row r="6" spans="1:256">
      <c r="C6" s="49"/>
      <c r="D6" s="49"/>
      <c r="E6" s="5" t="s">
        <v>5</v>
      </c>
      <c r="F6" s="7">
        <f>COUNT(B12:B825)</f>
        <v>22</v>
      </c>
      <c r="G6" s="7"/>
      <c r="H6" s="7"/>
      <c r="J6" s="3"/>
      <c r="K6" s="6"/>
      <c r="Q6" s="18"/>
      <c r="R6" s="12"/>
      <c r="S6" s="12"/>
      <c r="T6" s="12"/>
      <c r="U6" s="12"/>
      <c r="V6" s="12"/>
      <c r="W6" s="12"/>
      <c r="X6" s="12"/>
      <c r="Y6" s="12"/>
      <c r="Z6" s="12"/>
      <c r="AA6" s="12"/>
      <c r="AB6" s="27"/>
      <c r="AE6" s="28"/>
    </row>
    <row r="7" spans="1:256">
      <c r="C7" s="49"/>
      <c r="D7" s="49"/>
      <c r="E7" s="5" t="s">
        <v>6</v>
      </c>
      <c r="F7" s="6">
        <f>F6-F5</f>
        <v>0</v>
      </c>
      <c r="G7" s="6"/>
      <c r="H7" s="6"/>
      <c r="J7" s="3"/>
      <c r="K7" s="6"/>
      <c r="Q7" s="20"/>
      <c r="R7" s="3"/>
      <c r="S7" s="3"/>
      <c r="T7" s="3"/>
      <c r="U7" s="3"/>
      <c r="V7" s="3"/>
      <c r="W7" s="3"/>
      <c r="X7" s="3"/>
      <c r="Y7" s="3"/>
      <c r="Z7" s="3"/>
      <c r="AA7" s="3"/>
      <c r="AB7" s="1"/>
      <c r="AE7" s="29"/>
    </row>
    <row r="8" spans="1:256">
      <c r="C8" s="49"/>
      <c r="D8" s="49"/>
      <c r="E8" s="5" t="s">
        <v>7</v>
      </c>
      <c r="F8" s="44">
        <f>COUNTIF(AH12:AH935,"#N/A")</f>
        <v>0</v>
      </c>
      <c r="G8" s="6"/>
      <c r="H8" s="44"/>
      <c r="J8" s="3"/>
      <c r="K8" s="6"/>
      <c r="L8" s="6"/>
      <c r="M8" s="6"/>
      <c r="N8" s="6"/>
      <c r="O8" s="6"/>
      <c r="P8" s="6"/>
      <c r="Q8" s="20"/>
      <c r="R8" s="3"/>
      <c r="S8" s="3"/>
      <c r="T8" s="3"/>
      <c r="U8" s="3"/>
      <c r="V8" s="3"/>
      <c r="W8" s="3"/>
      <c r="X8" s="3"/>
      <c r="Y8" s="3"/>
      <c r="Z8" s="3"/>
      <c r="AA8" s="3"/>
      <c r="AB8" s="1"/>
      <c r="AE8" s="29"/>
    </row>
    <row r="9" spans="1:256">
      <c r="C9" s="49"/>
      <c r="D9" s="49"/>
      <c r="E9" s="41" t="s">
        <v>8</v>
      </c>
      <c r="F9" s="8">
        <f>COUNTIF(AK12:AK995,"ada di data resign tapi masih aktif")</f>
        <v>0</v>
      </c>
      <c r="G9" s="8"/>
      <c r="H9" s="8"/>
      <c r="J9" s="3"/>
      <c r="K9" s="6"/>
      <c r="L9" s="6"/>
      <c r="M9" s="6"/>
      <c r="N9" s="6"/>
      <c r="O9" s="6"/>
      <c r="P9" s="6"/>
      <c r="Q9" s="20"/>
      <c r="R9" s="3"/>
      <c r="S9" s="3"/>
      <c r="T9" s="3"/>
      <c r="U9" s="3"/>
      <c r="V9" s="3"/>
      <c r="W9" s="3"/>
      <c r="X9" s="3"/>
      <c r="Y9" s="3"/>
      <c r="Z9" s="3"/>
      <c r="AA9" s="3"/>
      <c r="AB9" s="1"/>
      <c r="AE9" s="29"/>
    </row>
    <row r="10" spans="1:256">
      <c r="C10" s="49"/>
      <c r="D10" s="49"/>
      <c r="F10" s="9"/>
      <c r="G10" s="9"/>
      <c r="H10" s="9"/>
      <c r="J10" s="6"/>
      <c r="K10" s="6"/>
      <c r="L10" s="6"/>
      <c r="M10" s="6"/>
      <c r="N10" s="6"/>
      <c r="O10" s="6"/>
      <c r="P10" s="6"/>
      <c r="Q10" s="20"/>
      <c r="R10" s="3"/>
      <c r="S10" s="3"/>
      <c r="T10" s="3"/>
      <c r="U10" s="3"/>
      <c r="V10" s="3"/>
      <c r="W10" s="3"/>
      <c r="X10" s="3"/>
      <c r="Y10" s="3"/>
      <c r="Z10" s="3"/>
      <c r="AA10" s="3"/>
      <c r="AB10" s="1"/>
      <c r="AE10" s="29"/>
    </row>
    <row r="11" spans="1:256">
      <c r="A11" s="10"/>
      <c r="B11" s="10"/>
      <c r="C11" s="11" t="s">
        <v>9</v>
      </c>
      <c r="D11" s="11" t="s">
        <v>10</v>
      </c>
      <c r="E11" s="10" t="s">
        <v>11</v>
      </c>
      <c r="F11" s="10" t="s">
        <v>12</v>
      </c>
      <c r="G11" s="10"/>
      <c r="H11" s="10"/>
      <c r="I11" s="12"/>
      <c r="J11" s="10" t="s">
        <v>13</v>
      </c>
      <c r="K11" s="10" t="s">
        <v>10</v>
      </c>
      <c r="L11" s="10" t="s">
        <v>11</v>
      </c>
      <c r="M11" s="10" t="s">
        <v>12</v>
      </c>
      <c r="N11" s="10" t="s">
        <v>14</v>
      </c>
      <c r="O11" s="10" t="s">
        <v>15</v>
      </c>
      <c r="P11" s="10"/>
      <c r="Q11" s="18"/>
      <c r="R11" s="10" t="s">
        <v>16</v>
      </c>
      <c r="S11" s="10" t="s">
        <v>10</v>
      </c>
      <c r="T11" s="10" t="s">
        <v>11</v>
      </c>
      <c r="U11" s="10" t="s">
        <v>17</v>
      </c>
      <c r="V11" s="10" t="s">
        <v>12</v>
      </c>
      <c r="W11" s="10" t="s">
        <v>18</v>
      </c>
      <c r="X11" s="25" t="s">
        <v>19</v>
      </c>
      <c r="Y11" s="25" t="s">
        <v>20</v>
      </c>
      <c r="Z11" s="25" t="s">
        <v>21</v>
      </c>
      <c r="AA11" s="10"/>
      <c r="AB11" s="30" t="s">
        <v>22</v>
      </c>
      <c r="AC11" s="31"/>
      <c r="AD11" s="30" t="s">
        <v>23</v>
      </c>
      <c r="AE11" s="32"/>
      <c r="AF11" s="32"/>
      <c r="AG11" s="10"/>
      <c r="AH11" s="10"/>
      <c r="AI11" s="10"/>
      <c r="AJ11" s="10" t="s">
        <v>24</v>
      </c>
      <c r="AK11" s="34"/>
      <c r="AL11" s="35"/>
      <c r="AM11" s="10" t="s">
        <v>25</v>
      </c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</row>
    <row r="12" spans="1:256">
      <c r="B12" s="43">
        <v>1</v>
      </c>
      <c r="C12" s="42" t="s">
        <v>27</v>
      </c>
      <c r="D12" s="51">
        <v>29018</v>
      </c>
      <c r="E12" s="48">
        <v>41699</v>
      </c>
      <c r="F12" s="14">
        <v>200000000</v>
      </c>
      <c r="G12" s="14"/>
      <c r="H12" s="14"/>
      <c r="I12" s="15">
        <v>1</v>
      </c>
      <c r="J12" s="52" t="s">
        <v>27</v>
      </c>
      <c r="K12" s="53">
        <v>29018</v>
      </c>
      <c r="L12" s="54">
        <v>41699</v>
      </c>
      <c r="M12" s="55">
        <v>200000000</v>
      </c>
      <c r="N12" s="56">
        <v>3790209345.7396541</v>
      </c>
      <c r="O12" s="57">
        <v>7.0499999999999993E-2</v>
      </c>
      <c r="P12" s="58"/>
      <c r="Q12" s="15">
        <v>1</v>
      </c>
      <c r="R12" s="42" t="s">
        <v>28</v>
      </c>
      <c r="S12" s="59">
        <v>36071</v>
      </c>
      <c r="T12" s="26">
        <v>44900</v>
      </c>
      <c r="U12" s="51">
        <v>45890</v>
      </c>
      <c r="V12" s="60">
        <v>6500000</v>
      </c>
      <c r="W12" s="61" t="s">
        <v>26</v>
      </c>
      <c r="X12" s="62"/>
      <c r="Y12" s="60"/>
      <c r="Z12" s="51"/>
      <c r="AA12" s="60"/>
      <c r="AB12" s="63" t="str">
        <f>VLOOKUP(C12,$J$12:$J$995,1,0)</f>
        <v>2 888 100 057</v>
      </c>
      <c r="AC12" s="33" t="str">
        <f t="shared" ref="AC12:AC20" si="0">IF(NOT(ISNA(AB12)),"","Baru ada di 2025")</f>
        <v/>
      </c>
      <c r="AD12" s="64" t="str">
        <f>VLOOKUP(J12,$C$12:$C$995,1,0)</f>
        <v>2 888 100 057</v>
      </c>
      <c r="AE12" s="64" t="str">
        <f t="shared" ref="AE12:AE33" si="1">IF(ISNA(AD12),J12,"")</f>
        <v/>
      </c>
      <c r="AF12" s="43"/>
      <c r="AG12" s="64" t="str">
        <f>IF(AE12="","",VLOOKUP(AE12,$R$12:$R$195,1,0))</f>
        <v/>
      </c>
      <c r="AH12" s="43" t="str">
        <f t="shared" ref="AH12:AH33" si="2">IF(AG12&lt;&gt;"","resign di 2025","")</f>
        <v/>
      </c>
      <c r="AJ12" s="43" t="e">
        <f>VLOOKUP(C12,$R$12:$R$995,1,0)</f>
        <v>#N/A</v>
      </c>
      <c r="AK12" s="2" t="e">
        <f>IF(AJ12&lt;&gt;"","ada di data resign tapi masih aktif","")</f>
        <v>#N/A</v>
      </c>
      <c r="AM12" s="43" t="str">
        <f>VLOOKUP(R12,$J$12:$J$1001,1,0)</f>
        <v>2 888 144 093</v>
      </c>
      <c r="AO12" s="43" t="str">
        <f>IF(ISNA(AM12),R12,"")</f>
        <v/>
      </c>
    </row>
    <row r="13" spans="1:256">
      <c r="B13" s="15">
        <f t="shared" ref="B13:B33" si="3">B12+1</f>
        <v>2</v>
      </c>
      <c r="C13" s="42" t="s">
        <v>29</v>
      </c>
      <c r="D13" s="51">
        <v>32711</v>
      </c>
      <c r="E13" s="48">
        <v>41244</v>
      </c>
      <c r="F13" s="14">
        <v>6500000</v>
      </c>
      <c r="G13" s="14"/>
      <c r="H13" s="14"/>
      <c r="I13" s="15">
        <f>I12+1</f>
        <v>2</v>
      </c>
      <c r="J13" s="52" t="s">
        <v>29</v>
      </c>
      <c r="K13" s="53">
        <v>32711</v>
      </c>
      <c r="L13" s="54">
        <v>41244</v>
      </c>
      <c r="M13" s="56">
        <v>6000000</v>
      </c>
      <c r="N13" s="55">
        <v>58708106.039838083</v>
      </c>
      <c r="O13" s="65">
        <v>7.0999999999999994E-2</v>
      </c>
      <c r="P13" s="66"/>
      <c r="Q13" s="15">
        <f>Q12+1</f>
        <v>2</v>
      </c>
      <c r="R13" s="42" t="s">
        <v>30</v>
      </c>
      <c r="S13" s="26">
        <v>28011</v>
      </c>
      <c r="T13" s="26" t="s">
        <v>31</v>
      </c>
      <c r="U13" s="51">
        <v>46022</v>
      </c>
      <c r="V13" s="60">
        <v>35000000</v>
      </c>
      <c r="W13" s="61" t="s">
        <v>26</v>
      </c>
      <c r="X13" s="62"/>
      <c r="Y13" s="60"/>
      <c r="Z13" s="26"/>
      <c r="AA13" s="60"/>
      <c r="AB13" s="63" t="str">
        <f t="shared" ref="AB13:AB33" si="4">VLOOKUP(C13,$J$12:$J$995,1,0)</f>
        <v>2 888 122 007</v>
      </c>
      <c r="AC13" s="33" t="str">
        <f t="shared" si="0"/>
        <v/>
      </c>
      <c r="AD13" s="64" t="str">
        <f>VLOOKUP(J13,$C$12:$C$995,1,0)</f>
        <v>2 888 122 007</v>
      </c>
      <c r="AE13" s="64" t="str">
        <f t="shared" si="1"/>
        <v/>
      </c>
      <c r="AF13" s="43"/>
      <c r="AG13" s="64" t="str">
        <f>IF(AE13="","",VLOOKUP(AE13,$R$12:$R$195,1,0))</f>
        <v/>
      </c>
      <c r="AH13" s="43" t="str">
        <f t="shared" si="2"/>
        <v/>
      </c>
      <c r="AM13" s="43" t="str">
        <f>VLOOKUP(R13,$J$12:$J$1001,1,0)</f>
        <v>2 888 113 105</v>
      </c>
      <c r="AO13" s="43" t="str">
        <f>IF(ISNA(AM13),R13,"")</f>
        <v/>
      </c>
    </row>
    <row r="14" spans="1:256">
      <c r="B14" s="15">
        <f t="shared" si="3"/>
        <v>3</v>
      </c>
      <c r="C14" s="42" t="s">
        <v>32</v>
      </c>
      <c r="D14" s="51">
        <v>26163</v>
      </c>
      <c r="E14" s="48">
        <v>42278</v>
      </c>
      <c r="F14" s="14">
        <v>23000000</v>
      </c>
      <c r="G14" s="14"/>
      <c r="H14" s="14"/>
      <c r="I14" s="15">
        <f t="shared" ref="I14:I33" si="5">I13+1</f>
        <v>3</v>
      </c>
      <c r="J14" s="52" t="s">
        <v>32</v>
      </c>
      <c r="K14" s="53">
        <v>26163</v>
      </c>
      <c r="L14" s="54">
        <v>42278</v>
      </c>
      <c r="M14" s="56">
        <v>23000000</v>
      </c>
      <c r="N14" s="56">
        <v>517072984.12961745</v>
      </c>
      <c r="O14" s="57">
        <v>6.8699999999999997E-2</v>
      </c>
      <c r="P14" s="66"/>
      <c r="Q14" s="15"/>
      <c r="R14" s="42"/>
      <c r="S14" s="26"/>
      <c r="T14" s="26"/>
      <c r="U14" s="51"/>
      <c r="V14" s="60"/>
      <c r="W14" s="61"/>
      <c r="X14" s="62"/>
      <c r="Y14" s="60"/>
      <c r="Z14" s="26"/>
      <c r="AA14" s="60"/>
      <c r="AB14" s="63" t="str">
        <f t="shared" si="4"/>
        <v>2 888 351 026</v>
      </c>
      <c r="AC14" s="33"/>
      <c r="AD14" s="64" t="str">
        <f t="shared" ref="AD14:AD33" si="6">VLOOKUP(J14,$C$12:$C$995,1,0)</f>
        <v>2 888 351 026</v>
      </c>
      <c r="AE14" s="64"/>
      <c r="AF14" s="43"/>
      <c r="AG14" s="64"/>
    </row>
    <row r="15" spans="1:256">
      <c r="B15" s="15">
        <f t="shared" si="3"/>
        <v>4</v>
      </c>
      <c r="C15" s="52" t="s">
        <v>33</v>
      </c>
      <c r="D15" s="51">
        <v>26122</v>
      </c>
      <c r="E15" s="48">
        <v>42373</v>
      </c>
      <c r="F15" s="14">
        <v>13000000</v>
      </c>
      <c r="G15" s="14"/>
      <c r="H15" s="14"/>
      <c r="I15" s="15">
        <f t="shared" si="5"/>
        <v>4</v>
      </c>
      <c r="J15" s="52" t="s">
        <v>33</v>
      </c>
      <c r="K15" s="53">
        <v>26122</v>
      </c>
      <c r="L15" s="54">
        <v>42373</v>
      </c>
      <c r="M15" s="55">
        <v>13000000</v>
      </c>
      <c r="N15" s="56">
        <v>294941739.4505266</v>
      </c>
      <c r="O15" s="57">
        <v>6.8699999999999997E-2</v>
      </c>
      <c r="P15" s="58"/>
      <c r="Q15" s="15"/>
      <c r="R15" s="42"/>
      <c r="S15" s="67"/>
      <c r="T15" s="67"/>
      <c r="U15" s="51"/>
      <c r="V15" s="60"/>
      <c r="W15" s="61"/>
      <c r="X15" s="62"/>
      <c r="Y15" s="60"/>
      <c r="Z15" s="67"/>
      <c r="AA15" s="60"/>
      <c r="AB15" s="63" t="str">
        <f t="shared" si="4"/>
        <v>2 888 111 006</v>
      </c>
      <c r="AC15" s="33" t="str">
        <f t="shared" si="0"/>
        <v/>
      </c>
      <c r="AD15" s="64" t="str">
        <f t="shared" si="6"/>
        <v>2 888 111 006</v>
      </c>
      <c r="AE15" s="64" t="str">
        <f t="shared" si="1"/>
        <v/>
      </c>
      <c r="AF15" s="43"/>
      <c r="AG15" s="64" t="str">
        <f t="shared" ref="AG15:AG33" si="7">IF(AE15="","",VLOOKUP(AE15,$R$12:$R$195,1,0))</f>
        <v/>
      </c>
      <c r="AH15" s="43" t="str">
        <f t="shared" si="2"/>
        <v/>
      </c>
      <c r="AM15" s="43" t="e">
        <f>VLOOKUP(R15,$J$12:$J$1001,1,0)</f>
        <v>#N/A</v>
      </c>
    </row>
    <row r="16" spans="1:256">
      <c r="B16" s="15">
        <f t="shared" si="3"/>
        <v>5</v>
      </c>
      <c r="C16" s="43" t="s">
        <v>34</v>
      </c>
      <c r="D16" s="51">
        <v>29904</v>
      </c>
      <c r="E16" s="48">
        <v>43160</v>
      </c>
      <c r="F16" s="14">
        <v>15000000</v>
      </c>
      <c r="G16" s="14"/>
      <c r="H16" s="14"/>
      <c r="I16" s="15">
        <f t="shared" si="5"/>
        <v>5</v>
      </c>
      <c r="J16" s="52" t="s">
        <v>34</v>
      </c>
      <c r="K16" s="53">
        <v>29904</v>
      </c>
      <c r="L16" s="54">
        <v>43160</v>
      </c>
      <c r="M16" s="56">
        <v>15000000</v>
      </c>
      <c r="N16" s="55">
        <v>202967444.61800721</v>
      </c>
      <c r="O16" s="65">
        <v>7.0699999999999999E-2</v>
      </c>
      <c r="P16" s="58"/>
      <c r="Q16" s="15"/>
      <c r="R16" s="13"/>
      <c r="S16" s="26"/>
      <c r="T16" s="26"/>
      <c r="U16" s="51"/>
      <c r="V16" s="68"/>
      <c r="W16" s="61"/>
      <c r="X16" s="62"/>
      <c r="Y16" s="68"/>
      <c r="Z16" s="26"/>
      <c r="AA16" s="68"/>
      <c r="AB16" s="63" t="str">
        <f t="shared" si="4"/>
        <v>2 888 122 060</v>
      </c>
      <c r="AC16" s="33" t="str">
        <f t="shared" si="0"/>
        <v/>
      </c>
      <c r="AD16" s="64" t="str">
        <f t="shared" si="6"/>
        <v>2 888 122 060</v>
      </c>
      <c r="AE16" s="64" t="str">
        <f t="shared" si="1"/>
        <v/>
      </c>
      <c r="AF16" s="43"/>
      <c r="AG16" s="64" t="str">
        <f t="shared" si="7"/>
        <v/>
      </c>
      <c r="AH16" s="43" t="str">
        <f t="shared" si="2"/>
        <v/>
      </c>
      <c r="AM16" s="43" t="e">
        <f>VLOOKUP(R16,$J$12:$J$1001,1,0)</f>
        <v>#N/A</v>
      </c>
    </row>
    <row r="17" spans="2:256">
      <c r="B17" s="15">
        <f t="shared" si="3"/>
        <v>6</v>
      </c>
      <c r="C17" s="43" t="s">
        <v>35</v>
      </c>
      <c r="D17" s="51">
        <v>24418</v>
      </c>
      <c r="E17" s="48">
        <v>43283</v>
      </c>
      <c r="F17" s="14">
        <v>100000000</v>
      </c>
      <c r="G17" s="14"/>
      <c r="H17" s="14"/>
      <c r="I17" s="15">
        <f t="shared" si="5"/>
        <v>6</v>
      </c>
      <c r="J17" s="52" t="s">
        <v>35</v>
      </c>
      <c r="K17" s="53">
        <v>24418</v>
      </c>
      <c r="L17" s="54">
        <v>43283</v>
      </c>
      <c r="M17" s="22">
        <v>100000000</v>
      </c>
      <c r="N17" s="56">
        <v>1954999999.9999998</v>
      </c>
      <c r="O17" s="57">
        <v>6.7099999999999993E-2</v>
      </c>
      <c r="P17" s="66"/>
      <c r="Q17" s="15"/>
      <c r="R17" s="13"/>
      <c r="S17" s="26"/>
      <c r="T17" s="26"/>
      <c r="U17" s="51"/>
      <c r="V17" s="60"/>
      <c r="W17" s="61"/>
      <c r="X17" s="62"/>
      <c r="Y17" s="60"/>
      <c r="Z17" s="26"/>
      <c r="AA17" s="60"/>
      <c r="AB17" s="63" t="str">
        <f t="shared" si="4"/>
        <v>2 888 130 062</v>
      </c>
      <c r="AC17" s="33" t="str">
        <f t="shared" si="0"/>
        <v/>
      </c>
      <c r="AD17" s="64" t="str">
        <f t="shared" si="6"/>
        <v>2 888 130 062</v>
      </c>
      <c r="AE17" s="64" t="str">
        <f t="shared" si="1"/>
        <v/>
      </c>
      <c r="AF17" s="43"/>
      <c r="AG17" s="64" t="str">
        <f t="shared" si="7"/>
        <v/>
      </c>
      <c r="AH17" s="43" t="str">
        <f t="shared" si="2"/>
        <v/>
      </c>
    </row>
    <row r="18" spans="2:256">
      <c r="B18" s="15">
        <f t="shared" si="3"/>
        <v>7</v>
      </c>
      <c r="C18" s="43" t="s">
        <v>36</v>
      </c>
      <c r="D18" s="51">
        <v>27052</v>
      </c>
      <c r="E18" s="48">
        <v>43328</v>
      </c>
      <c r="F18" s="14">
        <v>30000000</v>
      </c>
      <c r="G18" s="14"/>
      <c r="H18" s="14"/>
      <c r="I18" s="15">
        <f t="shared" si="5"/>
        <v>7</v>
      </c>
      <c r="J18" s="52" t="s">
        <v>36</v>
      </c>
      <c r="K18" s="53">
        <v>27052</v>
      </c>
      <c r="L18" s="54">
        <v>43328</v>
      </c>
      <c r="M18" s="56">
        <v>30000000</v>
      </c>
      <c r="N18" s="22">
        <v>511446006.9351179</v>
      </c>
      <c r="O18" s="21">
        <v>6.9900000000000004E-2</v>
      </c>
      <c r="P18" s="58"/>
      <c r="Q18" s="15"/>
      <c r="S18" s="51"/>
      <c r="T18" s="51"/>
      <c r="U18" s="51"/>
      <c r="V18" s="60"/>
      <c r="W18" s="61"/>
      <c r="X18" s="62"/>
      <c r="Y18" s="60"/>
      <c r="Z18" s="51"/>
      <c r="AA18" s="60"/>
      <c r="AB18" s="63" t="str">
        <f t="shared" si="4"/>
        <v>2 888 144 064</v>
      </c>
      <c r="AC18" s="33" t="str">
        <f t="shared" si="0"/>
        <v/>
      </c>
      <c r="AD18" s="64" t="str">
        <f t="shared" si="6"/>
        <v>2 888 144 064</v>
      </c>
      <c r="AE18" s="64" t="str">
        <f t="shared" si="1"/>
        <v/>
      </c>
      <c r="AF18" s="43"/>
      <c r="AG18" s="64" t="str">
        <f t="shared" si="7"/>
        <v/>
      </c>
      <c r="AH18" s="43" t="str">
        <f t="shared" si="2"/>
        <v/>
      </c>
    </row>
    <row r="19" spans="2:256">
      <c r="B19" s="15">
        <f t="shared" si="3"/>
        <v>8</v>
      </c>
      <c r="C19" s="43" t="s">
        <v>37</v>
      </c>
      <c r="D19" s="51">
        <v>30930</v>
      </c>
      <c r="E19" s="48">
        <v>43891</v>
      </c>
      <c r="F19" s="14">
        <v>8000000</v>
      </c>
      <c r="G19" s="14"/>
      <c r="H19" s="14"/>
      <c r="I19" s="15">
        <f t="shared" si="5"/>
        <v>8</v>
      </c>
      <c r="J19" s="52" t="s">
        <v>37</v>
      </c>
      <c r="K19" s="53">
        <v>30930</v>
      </c>
      <c r="L19" s="54">
        <v>43891</v>
      </c>
      <c r="M19" s="56">
        <v>8000000</v>
      </c>
      <c r="N19" s="56">
        <v>77277656.924499616</v>
      </c>
      <c r="O19" s="57">
        <v>7.0900000000000005E-2</v>
      </c>
      <c r="P19" s="69"/>
      <c r="Q19" s="15"/>
      <c r="S19" s="51"/>
      <c r="T19" s="51"/>
      <c r="U19" s="51"/>
      <c r="V19" s="70"/>
      <c r="W19" s="61"/>
      <c r="X19" s="62"/>
      <c r="Y19" s="70"/>
      <c r="Z19" s="51"/>
      <c r="AA19" s="70"/>
      <c r="AB19" s="63" t="str">
        <f t="shared" si="4"/>
        <v>2 888 144 074</v>
      </c>
      <c r="AC19" s="33" t="str">
        <f t="shared" si="0"/>
        <v/>
      </c>
      <c r="AD19" s="64" t="str">
        <f t="shared" si="6"/>
        <v>2 888 144 074</v>
      </c>
      <c r="AE19" s="64" t="str">
        <f t="shared" si="1"/>
        <v/>
      </c>
      <c r="AF19" s="43"/>
      <c r="AG19" s="64" t="str">
        <f t="shared" si="7"/>
        <v/>
      </c>
      <c r="AH19" s="43" t="str">
        <f t="shared" si="2"/>
        <v/>
      </c>
      <c r="AI19" s="71"/>
    </row>
    <row r="20" spans="2:256">
      <c r="B20" s="15">
        <f t="shared" si="3"/>
        <v>9</v>
      </c>
      <c r="C20" s="43" t="s">
        <v>38</v>
      </c>
      <c r="D20" s="51">
        <v>28436</v>
      </c>
      <c r="E20" s="48">
        <v>43353</v>
      </c>
      <c r="F20" s="14">
        <v>13000000</v>
      </c>
      <c r="G20" s="14"/>
      <c r="H20" s="14"/>
      <c r="I20" s="15">
        <f t="shared" si="5"/>
        <v>9</v>
      </c>
      <c r="J20" s="52" t="s">
        <v>38</v>
      </c>
      <c r="K20" s="53">
        <v>28436</v>
      </c>
      <c r="L20" s="54">
        <v>43353</v>
      </c>
      <c r="M20" s="56">
        <v>13000000</v>
      </c>
      <c r="N20" s="56">
        <v>183000349.58338693</v>
      </c>
      <c r="O20" s="57">
        <v>7.0300000000000001E-2</v>
      </c>
      <c r="P20" s="58"/>
      <c r="Q20" s="72"/>
      <c r="S20" s="51"/>
      <c r="T20" s="51"/>
      <c r="U20" s="51"/>
      <c r="V20" s="70"/>
      <c r="W20" s="73"/>
      <c r="X20" s="70"/>
      <c r="Y20" s="70"/>
      <c r="Z20" s="74"/>
      <c r="AA20" s="70"/>
      <c r="AB20" s="63" t="str">
        <f t="shared" si="4"/>
        <v>2 888 122 065</v>
      </c>
      <c r="AC20" s="33" t="str">
        <f t="shared" si="0"/>
        <v/>
      </c>
      <c r="AD20" s="64" t="str">
        <f t="shared" si="6"/>
        <v>2 888 122 065</v>
      </c>
      <c r="AE20" s="64" t="str">
        <f t="shared" si="1"/>
        <v/>
      </c>
      <c r="AF20" s="43"/>
      <c r="AG20" s="64" t="str">
        <f t="shared" si="7"/>
        <v/>
      </c>
      <c r="AH20" s="43" t="str">
        <f t="shared" si="2"/>
        <v/>
      </c>
      <c r="AI20" s="71"/>
    </row>
    <row r="21" spans="2:256">
      <c r="B21" s="15">
        <f t="shared" si="3"/>
        <v>10</v>
      </c>
      <c r="C21" s="43" t="s">
        <v>39</v>
      </c>
      <c r="D21" s="51">
        <v>27961</v>
      </c>
      <c r="E21" s="48">
        <v>43367</v>
      </c>
      <c r="F21" s="14">
        <v>25000000</v>
      </c>
      <c r="G21" s="14"/>
      <c r="H21" s="14"/>
      <c r="I21" s="15">
        <f t="shared" si="5"/>
        <v>10</v>
      </c>
      <c r="J21" s="52" t="s">
        <v>39</v>
      </c>
      <c r="K21" s="53">
        <v>27961</v>
      </c>
      <c r="L21" s="54">
        <v>43367</v>
      </c>
      <c r="M21" s="56">
        <v>25000000</v>
      </c>
      <c r="N21" s="56">
        <v>374880222.39050728</v>
      </c>
      <c r="O21" s="57">
        <v>7.0099999999999996E-2</v>
      </c>
      <c r="P21" s="58"/>
      <c r="Q21" s="72"/>
      <c r="S21" s="51"/>
      <c r="T21" s="51"/>
      <c r="U21" s="51"/>
      <c r="V21" s="70"/>
      <c r="W21" s="73"/>
      <c r="X21" s="70"/>
      <c r="Y21" s="70"/>
      <c r="Z21" s="74"/>
      <c r="AA21" s="70"/>
      <c r="AB21" s="63" t="str">
        <f t="shared" si="4"/>
        <v>2 888 133 066</v>
      </c>
      <c r="AC21" s="33" t="str">
        <f>IF(NOT(ISNA(AB21)),"","Baru ada di 2025")</f>
        <v/>
      </c>
      <c r="AD21" s="64" t="str">
        <f t="shared" si="6"/>
        <v>2 888 133 066</v>
      </c>
      <c r="AE21" s="64" t="str">
        <f t="shared" si="1"/>
        <v/>
      </c>
      <c r="AF21" s="43"/>
      <c r="AG21" s="64" t="str">
        <f t="shared" si="7"/>
        <v/>
      </c>
      <c r="AH21" s="43" t="str">
        <f t="shared" si="2"/>
        <v/>
      </c>
      <c r="AI21" s="71"/>
    </row>
    <row r="22" spans="2:256">
      <c r="B22" s="15">
        <f t="shared" si="3"/>
        <v>11</v>
      </c>
      <c r="C22" s="43" t="s">
        <v>40</v>
      </c>
      <c r="D22" s="51">
        <v>27379</v>
      </c>
      <c r="E22" s="48">
        <v>40909</v>
      </c>
      <c r="F22" s="14">
        <v>5068000</v>
      </c>
      <c r="G22" s="14"/>
      <c r="H22" s="14"/>
      <c r="I22" s="15">
        <f t="shared" si="5"/>
        <v>11</v>
      </c>
      <c r="J22" s="37" t="s">
        <v>40</v>
      </c>
      <c r="K22" s="54">
        <v>27379</v>
      </c>
      <c r="L22" s="54">
        <v>40909</v>
      </c>
      <c r="M22" s="56">
        <v>4902000</v>
      </c>
      <c r="N22" s="56">
        <v>110071907.31249486</v>
      </c>
      <c r="O22" s="57">
        <v>6.9900000000000004E-2</v>
      </c>
      <c r="P22" s="58"/>
      <c r="Q22" s="72"/>
      <c r="S22" s="51"/>
      <c r="T22" s="51"/>
      <c r="U22" s="51"/>
      <c r="V22" s="70"/>
      <c r="W22" s="73"/>
      <c r="X22" s="70"/>
      <c r="Y22" s="70"/>
      <c r="Z22" s="74"/>
      <c r="AA22" s="70"/>
      <c r="AB22" s="63" t="str">
        <f t="shared" si="4"/>
        <v>2 888 122 051</v>
      </c>
      <c r="AC22" s="33" t="str">
        <f>IF(NOT(ISNA(AB22)),"","Baru ada di 2025")</f>
        <v/>
      </c>
      <c r="AD22" s="64" t="str">
        <f t="shared" si="6"/>
        <v>2 888 122 051</v>
      </c>
      <c r="AE22" s="64" t="str">
        <f t="shared" si="1"/>
        <v/>
      </c>
      <c r="AF22" s="43"/>
      <c r="AG22" s="64" t="str">
        <f t="shared" si="7"/>
        <v/>
      </c>
      <c r="AH22" s="43" t="str">
        <f t="shared" si="2"/>
        <v/>
      </c>
      <c r="AI22" s="71"/>
    </row>
    <row r="23" spans="2:256">
      <c r="B23" s="15">
        <f t="shared" si="3"/>
        <v>12</v>
      </c>
      <c r="C23" s="43" t="s">
        <v>41</v>
      </c>
      <c r="D23" s="51">
        <v>29834</v>
      </c>
      <c r="E23" s="48">
        <v>42373</v>
      </c>
      <c r="F23" s="14">
        <v>5068000</v>
      </c>
      <c r="G23" s="14"/>
      <c r="H23" s="14"/>
      <c r="I23" s="15">
        <f t="shared" si="5"/>
        <v>12</v>
      </c>
      <c r="J23" s="52" t="s">
        <v>41</v>
      </c>
      <c r="K23" s="53">
        <v>29834</v>
      </c>
      <c r="L23" s="54">
        <v>42373</v>
      </c>
      <c r="M23" s="56">
        <v>4902000</v>
      </c>
      <c r="N23" s="56">
        <v>78572321.402218699</v>
      </c>
      <c r="O23" s="57">
        <v>7.0699999999999999E-2</v>
      </c>
      <c r="P23" s="58"/>
      <c r="Q23" s="72"/>
      <c r="S23" s="51"/>
      <c r="T23" s="51"/>
      <c r="U23" s="51"/>
      <c r="V23" s="70"/>
      <c r="W23" s="73"/>
      <c r="X23" s="70"/>
      <c r="Y23" s="70"/>
      <c r="Z23" s="74"/>
      <c r="AA23" s="70"/>
      <c r="AB23" s="63" t="str">
        <f t="shared" si="4"/>
        <v>2 888 122 029</v>
      </c>
      <c r="AC23" s="33" t="str">
        <f>IF(NOT(ISNA(AB23)),"","Baru ada di 2025")</f>
        <v/>
      </c>
      <c r="AD23" s="64" t="str">
        <f t="shared" si="6"/>
        <v>2 888 122 029</v>
      </c>
      <c r="AE23" s="64" t="str">
        <f t="shared" si="1"/>
        <v/>
      </c>
      <c r="AF23" s="43"/>
      <c r="AG23" s="64" t="str">
        <f t="shared" si="7"/>
        <v/>
      </c>
      <c r="AH23" s="43" t="str">
        <f t="shared" si="2"/>
        <v/>
      </c>
      <c r="AI23" s="71"/>
      <c r="AN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</row>
    <row r="24" spans="2:256">
      <c r="B24" s="15">
        <f t="shared" si="3"/>
        <v>13</v>
      </c>
      <c r="C24" s="43" t="s">
        <v>42</v>
      </c>
      <c r="D24" s="51">
        <v>28297</v>
      </c>
      <c r="E24" s="48">
        <v>40909</v>
      </c>
      <c r="F24" s="14">
        <v>5068000</v>
      </c>
      <c r="G24" s="14"/>
      <c r="H24" s="14"/>
      <c r="I24" s="15">
        <f t="shared" si="5"/>
        <v>13</v>
      </c>
      <c r="J24" s="52" t="s">
        <v>42</v>
      </c>
      <c r="K24" s="53">
        <v>28297</v>
      </c>
      <c r="L24" s="54">
        <v>40909</v>
      </c>
      <c r="M24" s="56">
        <v>4902000</v>
      </c>
      <c r="N24" s="56">
        <v>106197044.75143935</v>
      </c>
      <c r="O24" s="57">
        <v>7.0300000000000001E-2</v>
      </c>
      <c r="P24" s="58"/>
      <c r="Q24" s="72"/>
      <c r="S24" s="51"/>
      <c r="T24" s="51"/>
      <c r="U24" s="51"/>
      <c r="V24" s="70"/>
      <c r="W24" s="73"/>
      <c r="X24" s="70"/>
      <c r="Y24" s="70"/>
      <c r="Z24" s="74"/>
      <c r="AA24" s="70"/>
      <c r="AB24" s="63" t="str">
        <f t="shared" si="4"/>
        <v>2 888 122 052</v>
      </c>
      <c r="AC24" s="33" t="str">
        <f>IF(NOT(ISNA(AB24)),"","Baru ada di 2025")</f>
        <v/>
      </c>
      <c r="AD24" s="64" t="str">
        <f t="shared" si="6"/>
        <v>2 888 122 052</v>
      </c>
      <c r="AE24" s="64" t="str">
        <f t="shared" si="1"/>
        <v/>
      </c>
      <c r="AF24" s="43"/>
      <c r="AG24" s="64" t="str">
        <f t="shared" si="7"/>
        <v/>
      </c>
      <c r="AH24" s="43" t="str">
        <f t="shared" si="2"/>
        <v/>
      </c>
      <c r="AI24" s="71"/>
    </row>
    <row r="25" spans="2:256">
      <c r="B25" s="15">
        <f t="shared" si="3"/>
        <v>14</v>
      </c>
      <c r="C25" s="43" t="s">
        <v>43</v>
      </c>
      <c r="D25" s="51">
        <v>30941</v>
      </c>
      <c r="E25" s="48">
        <v>41699</v>
      </c>
      <c r="F25" s="14">
        <v>5068000</v>
      </c>
      <c r="G25" s="14"/>
      <c r="H25" s="14"/>
      <c r="I25" s="15">
        <f t="shared" si="5"/>
        <v>14</v>
      </c>
      <c r="J25" s="52" t="s">
        <v>43</v>
      </c>
      <c r="K25" s="53">
        <v>30941</v>
      </c>
      <c r="L25" s="54">
        <v>41699</v>
      </c>
      <c r="M25" s="56">
        <v>4902000</v>
      </c>
      <c r="N25" s="56">
        <v>83293397.169514298</v>
      </c>
      <c r="O25" s="57">
        <v>7.0900000000000005E-2</v>
      </c>
      <c r="P25" s="58"/>
      <c r="Q25" s="72"/>
      <c r="S25" s="51"/>
      <c r="T25" s="51"/>
      <c r="U25" s="51"/>
      <c r="V25" s="70"/>
      <c r="W25" s="73"/>
      <c r="X25" s="70"/>
      <c r="Y25" s="70"/>
      <c r="Z25" s="74"/>
      <c r="AA25" s="70"/>
      <c r="AB25" s="63" t="str">
        <f t="shared" si="4"/>
        <v>2 888 122 056</v>
      </c>
      <c r="AC25" s="33" t="str">
        <f t="shared" ref="AC25:AC33" si="8">IF(NOT(ISNA(AB25)),"","Baru ada di 2025")</f>
        <v/>
      </c>
      <c r="AD25" s="64" t="str">
        <f t="shared" si="6"/>
        <v>2 888 122 056</v>
      </c>
      <c r="AE25" s="64" t="str">
        <f t="shared" si="1"/>
        <v/>
      </c>
      <c r="AF25" s="43"/>
      <c r="AG25" s="64" t="str">
        <f t="shared" si="7"/>
        <v/>
      </c>
      <c r="AH25" s="43" t="str">
        <f t="shared" si="2"/>
        <v/>
      </c>
      <c r="AI25" s="71"/>
    </row>
    <row r="26" spans="2:256">
      <c r="B26" s="15">
        <f t="shared" si="3"/>
        <v>15</v>
      </c>
      <c r="C26" s="43" t="s">
        <v>44</v>
      </c>
      <c r="D26" s="51">
        <v>37480</v>
      </c>
      <c r="E26" s="48">
        <v>44879</v>
      </c>
      <c r="F26" s="14">
        <v>5068000</v>
      </c>
      <c r="G26" s="14"/>
      <c r="H26" s="14"/>
      <c r="I26" s="15">
        <f t="shared" si="5"/>
        <v>15</v>
      </c>
      <c r="J26" s="52" t="s">
        <v>45</v>
      </c>
      <c r="K26" s="53">
        <v>33750</v>
      </c>
      <c r="L26" s="54">
        <v>44490</v>
      </c>
      <c r="M26" s="56">
        <v>20000000</v>
      </c>
      <c r="N26" s="56">
        <v>71646182.264646068</v>
      </c>
      <c r="O26" s="57">
        <v>7.1099999999999997E-2</v>
      </c>
      <c r="P26" s="58"/>
      <c r="Q26" s="72"/>
      <c r="S26" s="51"/>
      <c r="T26" s="51"/>
      <c r="U26" s="51"/>
      <c r="V26" s="70"/>
      <c r="W26" s="73"/>
      <c r="X26" s="70"/>
      <c r="Y26" s="70"/>
      <c r="Z26" s="74"/>
      <c r="AA26" s="70"/>
      <c r="AB26" s="63" t="e">
        <f t="shared" si="4"/>
        <v>#N/A</v>
      </c>
      <c r="AC26" s="33" t="str">
        <f t="shared" si="8"/>
        <v>Baru ada di 2025</v>
      </c>
      <c r="AD26" s="64" t="str">
        <f t="shared" si="6"/>
        <v>2 888 111 082</v>
      </c>
      <c r="AE26" s="64" t="str">
        <f t="shared" si="1"/>
        <v/>
      </c>
      <c r="AF26" s="43"/>
      <c r="AG26" s="64" t="str">
        <f t="shared" si="7"/>
        <v/>
      </c>
      <c r="AH26" s="43" t="str">
        <f t="shared" si="2"/>
        <v/>
      </c>
      <c r="AI26" s="71"/>
    </row>
    <row r="27" spans="2:256">
      <c r="B27" s="15">
        <f t="shared" si="3"/>
        <v>16</v>
      </c>
      <c r="C27" s="52" t="s">
        <v>45</v>
      </c>
      <c r="D27" s="51">
        <v>33750</v>
      </c>
      <c r="E27" s="48">
        <v>44490</v>
      </c>
      <c r="F27" s="14">
        <v>20000000</v>
      </c>
      <c r="G27" s="14"/>
      <c r="H27" s="14"/>
      <c r="I27" s="15">
        <f t="shared" si="5"/>
        <v>16</v>
      </c>
      <c r="J27" s="52" t="s">
        <v>46</v>
      </c>
      <c r="K27" s="53">
        <v>30557</v>
      </c>
      <c r="L27" s="54">
        <v>44958</v>
      </c>
      <c r="M27" s="56">
        <v>40000000</v>
      </c>
      <c r="N27" s="56">
        <v>179357535.6334824</v>
      </c>
      <c r="O27" s="57">
        <v>7.0900000000000005E-2</v>
      </c>
      <c r="P27" s="58"/>
      <c r="Q27" s="72"/>
      <c r="S27" s="51"/>
      <c r="T27" s="51"/>
      <c r="U27" s="51"/>
      <c r="V27" s="70"/>
      <c r="W27" s="73"/>
      <c r="X27" s="70"/>
      <c r="Y27" s="70"/>
      <c r="Z27" s="74"/>
      <c r="AA27" s="70"/>
      <c r="AB27" s="63" t="str">
        <f t="shared" si="4"/>
        <v>2 888 111 082</v>
      </c>
      <c r="AC27" s="33" t="str">
        <f t="shared" si="8"/>
        <v/>
      </c>
      <c r="AD27" s="64" t="str">
        <f t="shared" si="6"/>
        <v>2 888 130 096</v>
      </c>
      <c r="AE27" s="64" t="str">
        <f t="shared" si="1"/>
        <v/>
      </c>
      <c r="AF27" s="43"/>
      <c r="AG27" s="64" t="str">
        <f t="shared" si="7"/>
        <v/>
      </c>
      <c r="AH27" s="43" t="str">
        <f t="shared" si="2"/>
        <v/>
      </c>
    </row>
    <row r="28" spans="2:256">
      <c r="B28" s="15">
        <f t="shared" si="3"/>
        <v>17</v>
      </c>
      <c r="C28" s="43" t="s">
        <v>46</v>
      </c>
      <c r="D28" s="51">
        <v>30557</v>
      </c>
      <c r="E28" s="48">
        <v>44958</v>
      </c>
      <c r="F28" s="14">
        <v>40000000</v>
      </c>
      <c r="G28" s="14"/>
      <c r="H28" s="14"/>
      <c r="I28" s="15">
        <f t="shared" si="5"/>
        <v>17</v>
      </c>
      <c r="J28" s="52" t="s">
        <v>47</v>
      </c>
      <c r="K28" s="53">
        <v>33271</v>
      </c>
      <c r="L28" s="54">
        <v>45110</v>
      </c>
      <c r="M28" s="56">
        <v>12000000</v>
      </c>
      <c r="N28" s="56">
        <v>34407639.713291913</v>
      </c>
      <c r="O28" s="57">
        <v>7.1099999999999997E-2</v>
      </c>
      <c r="P28" s="58"/>
      <c r="Q28" s="72"/>
      <c r="S28" s="51"/>
      <c r="T28" s="51"/>
      <c r="U28" s="51"/>
      <c r="V28" s="70"/>
      <c r="W28" s="73"/>
      <c r="X28" s="70"/>
      <c r="Y28" s="70"/>
      <c r="Z28" s="74"/>
      <c r="AA28" s="70"/>
      <c r="AB28" s="63" t="str">
        <f t="shared" si="4"/>
        <v>2 888 130 096</v>
      </c>
      <c r="AC28" s="33" t="str">
        <f t="shared" si="8"/>
        <v/>
      </c>
      <c r="AD28" s="64" t="str">
        <f t="shared" si="6"/>
        <v>2 888 122 100</v>
      </c>
      <c r="AE28" s="64" t="str">
        <f t="shared" si="1"/>
        <v/>
      </c>
      <c r="AF28" s="43"/>
      <c r="AG28" s="64" t="str">
        <f t="shared" si="7"/>
        <v/>
      </c>
      <c r="AH28" s="43" t="str">
        <f t="shared" si="2"/>
        <v/>
      </c>
    </row>
    <row r="29" spans="2:256">
      <c r="B29" s="15">
        <f t="shared" si="3"/>
        <v>18</v>
      </c>
      <c r="C29" s="43" t="s">
        <v>47</v>
      </c>
      <c r="D29" s="51">
        <v>33271</v>
      </c>
      <c r="E29" s="48">
        <v>45110</v>
      </c>
      <c r="F29" s="14">
        <v>12500000</v>
      </c>
      <c r="G29" s="14"/>
      <c r="H29" s="14"/>
      <c r="I29" s="15">
        <f t="shared" si="5"/>
        <v>18</v>
      </c>
      <c r="J29" s="52" t="s">
        <v>48</v>
      </c>
      <c r="K29" s="53">
        <v>31170</v>
      </c>
      <c r="L29" s="54">
        <v>44795</v>
      </c>
      <c r="M29" s="56">
        <v>9000000</v>
      </c>
      <c r="N29" s="56">
        <v>45940212.42258019</v>
      </c>
      <c r="O29" s="57">
        <v>7.0999999999999994E-2</v>
      </c>
      <c r="P29" s="58"/>
      <c r="Q29" s="72"/>
      <c r="S29" s="51"/>
      <c r="T29" s="51"/>
      <c r="U29" s="51"/>
      <c r="V29" s="70"/>
      <c r="W29" s="73"/>
      <c r="X29" s="70"/>
      <c r="Y29" s="70"/>
      <c r="Z29" s="74"/>
      <c r="AA29" s="70"/>
      <c r="AB29" s="63" t="str">
        <f t="shared" si="4"/>
        <v>2 888 122 100</v>
      </c>
      <c r="AC29" s="33" t="str">
        <f t="shared" si="8"/>
        <v/>
      </c>
      <c r="AD29" s="64" t="str">
        <f t="shared" si="6"/>
        <v>2 888 112 086</v>
      </c>
      <c r="AE29" s="64" t="str">
        <f t="shared" si="1"/>
        <v/>
      </c>
      <c r="AF29" s="43"/>
      <c r="AG29" s="64" t="str">
        <f t="shared" si="7"/>
        <v/>
      </c>
      <c r="AH29" s="43" t="str">
        <f t="shared" si="2"/>
        <v/>
      </c>
    </row>
    <row r="30" spans="2:256">
      <c r="B30" s="15">
        <f t="shared" si="3"/>
        <v>19</v>
      </c>
      <c r="C30" s="43" t="s">
        <v>48</v>
      </c>
      <c r="D30" s="51">
        <v>31170</v>
      </c>
      <c r="E30" s="48">
        <v>44795</v>
      </c>
      <c r="F30" s="14">
        <v>9000000</v>
      </c>
      <c r="G30" s="14"/>
      <c r="H30" s="14"/>
      <c r="I30" s="15">
        <f t="shared" si="5"/>
        <v>19</v>
      </c>
      <c r="J30" s="37" t="s">
        <v>28</v>
      </c>
      <c r="K30" s="54">
        <v>36071</v>
      </c>
      <c r="L30" s="54">
        <v>44900</v>
      </c>
      <c r="M30" s="56">
        <v>6500000</v>
      </c>
      <c r="N30" s="56">
        <v>4427691.271915338</v>
      </c>
      <c r="O30" s="57">
        <v>7.1099999999999997E-2</v>
      </c>
      <c r="P30" s="58"/>
      <c r="Q30" s="72"/>
      <c r="S30" s="51"/>
      <c r="T30" s="51"/>
      <c r="U30" s="51"/>
      <c r="V30" s="70"/>
      <c r="W30" s="73"/>
      <c r="X30" s="70"/>
      <c r="Y30" s="70"/>
      <c r="Z30" s="74"/>
      <c r="AA30" s="70"/>
      <c r="AB30" s="63" t="str">
        <f t="shared" si="4"/>
        <v>2 888 112 086</v>
      </c>
      <c r="AC30" s="33" t="str">
        <f t="shared" si="8"/>
        <v/>
      </c>
      <c r="AD30" s="64" t="e">
        <f t="shared" si="6"/>
        <v>#N/A</v>
      </c>
      <c r="AE30" s="64" t="str">
        <f t="shared" si="1"/>
        <v>2 888 144 093</v>
      </c>
      <c r="AF30" s="43"/>
      <c r="AG30" s="64" t="str">
        <f t="shared" si="7"/>
        <v>2 888 144 093</v>
      </c>
      <c r="AH30" s="43" t="str">
        <f t="shared" si="2"/>
        <v>resign di 2025</v>
      </c>
    </row>
    <row r="31" spans="2:256">
      <c r="B31" s="15">
        <f t="shared" si="3"/>
        <v>20</v>
      </c>
      <c r="C31" s="43" t="s">
        <v>49</v>
      </c>
      <c r="D31" s="51">
        <v>36521</v>
      </c>
      <c r="E31" s="48">
        <v>44998</v>
      </c>
      <c r="F31" s="14">
        <v>6000000</v>
      </c>
      <c r="G31" s="14"/>
      <c r="H31" s="14"/>
      <c r="I31" s="15">
        <f t="shared" si="5"/>
        <v>20</v>
      </c>
      <c r="J31" s="37" t="s">
        <v>49</v>
      </c>
      <c r="K31" s="54">
        <v>36521</v>
      </c>
      <c r="L31" s="54">
        <v>44998</v>
      </c>
      <c r="M31" s="56">
        <v>6000000</v>
      </c>
      <c r="N31" s="56">
        <v>3225225.1694821878</v>
      </c>
      <c r="O31" s="57">
        <v>7.1099999999999997E-2</v>
      </c>
      <c r="P31" s="58"/>
      <c r="Q31" s="72"/>
      <c r="S31" s="51"/>
      <c r="T31" s="51"/>
      <c r="U31" s="51"/>
      <c r="V31" s="70"/>
      <c r="W31" s="73"/>
      <c r="X31" s="70"/>
      <c r="Y31" s="70"/>
      <c r="Z31" s="74"/>
      <c r="AA31" s="70"/>
      <c r="AB31" s="63" t="str">
        <f t="shared" si="4"/>
        <v>2 888 111 097</v>
      </c>
      <c r="AC31" s="33" t="str">
        <f t="shared" si="8"/>
        <v/>
      </c>
      <c r="AD31" s="64" t="str">
        <f t="shared" si="6"/>
        <v>2 888 111 097</v>
      </c>
      <c r="AE31" s="64" t="str">
        <f t="shared" si="1"/>
        <v/>
      </c>
      <c r="AF31" s="43"/>
      <c r="AG31" s="64" t="str">
        <f t="shared" si="7"/>
        <v/>
      </c>
      <c r="AH31" s="43" t="str">
        <f t="shared" si="2"/>
        <v/>
      </c>
    </row>
    <row r="32" spans="2:256">
      <c r="B32" s="15">
        <f t="shared" si="3"/>
        <v>21</v>
      </c>
      <c r="C32" s="43" t="s">
        <v>50</v>
      </c>
      <c r="D32" s="51">
        <v>36746</v>
      </c>
      <c r="E32" s="48">
        <v>44517</v>
      </c>
      <c r="F32" s="14">
        <v>8000000</v>
      </c>
      <c r="G32" s="14"/>
      <c r="H32" s="14"/>
      <c r="I32" s="15">
        <f t="shared" si="5"/>
        <v>21</v>
      </c>
      <c r="J32" s="52" t="s">
        <v>50</v>
      </c>
      <c r="K32" s="53">
        <v>36746</v>
      </c>
      <c r="L32" s="54">
        <v>44517</v>
      </c>
      <c r="M32" s="56">
        <v>7500000</v>
      </c>
      <c r="N32" s="56">
        <v>7872510.7158127604</v>
      </c>
      <c r="O32" s="57">
        <v>7.1099999999999997E-2</v>
      </c>
      <c r="P32" s="58"/>
      <c r="Q32" s="72"/>
      <c r="S32" s="51"/>
      <c r="T32" s="51"/>
      <c r="U32" s="51"/>
      <c r="V32" s="70"/>
      <c r="W32" s="73"/>
      <c r="X32" s="70"/>
      <c r="Y32" s="70"/>
      <c r="Z32" s="74"/>
      <c r="AA32" s="70"/>
      <c r="AB32" s="63" t="str">
        <f t="shared" si="4"/>
        <v>2 888 111 083</v>
      </c>
      <c r="AC32" s="33" t="str">
        <f t="shared" si="8"/>
        <v/>
      </c>
      <c r="AD32" s="64" t="str">
        <f t="shared" si="6"/>
        <v>2 888 111 083</v>
      </c>
      <c r="AE32" s="64" t="str">
        <f t="shared" si="1"/>
        <v/>
      </c>
      <c r="AF32" s="43"/>
      <c r="AG32" s="64" t="str">
        <f t="shared" si="7"/>
        <v/>
      </c>
      <c r="AH32" s="43" t="str">
        <f t="shared" si="2"/>
        <v/>
      </c>
    </row>
    <row r="33" spans="2:34">
      <c r="B33" s="15">
        <f t="shared" si="3"/>
        <v>22</v>
      </c>
      <c r="C33" s="43" t="s">
        <v>51</v>
      </c>
      <c r="D33" s="51">
        <v>34514</v>
      </c>
      <c r="E33" s="48">
        <v>45824</v>
      </c>
      <c r="F33" s="14">
        <v>8500000</v>
      </c>
      <c r="G33" s="14"/>
      <c r="H33" s="14"/>
      <c r="I33" s="15">
        <f t="shared" si="5"/>
        <v>22</v>
      </c>
      <c r="J33" s="37" t="s">
        <v>30</v>
      </c>
      <c r="K33" s="54">
        <v>28011</v>
      </c>
      <c r="L33" s="54">
        <v>45505</v>
      </c>
      <c r="M33" s="56">
        <v>35000000</v>
      </c>
      <c r="N33" s="56">
        <v>54520823.014050409</v>
      </c>
      <c r="O33" s="57">
        <v>7.0099999999999996E-2</v>
      </c>
      <c r="P33" s="58"/>
      <c r="Q33" s="72"/>
      <c r="S33" s="51"/>
      <c r="T33" s="51"/>
      <c r="U33" s="51"/>
      <c r="V33" s="70"/>
      <c r="W33" s="73"/>
      <c r="X33" s="70"/>
      <c r="Y33" s="70"/>
      <c r="Z33" s="74"/>
      <c r="AA33" s="70"/>
      <c r="AB33" s="63" t="e">
        <f t="shared" si="4"/>
        <v>#N/A</v>
      </c>
      <c r="AC33" s="33" t="str">
        <f t="shared" si="8"/>
        <v>Baru ada di 2025</v>
      </c>
      <c r="AD33" s="64" t="e">
        <f t="shared" si="6"/>
        <v>#N/A</v>
      </c>
      <c r="AE33" s="64" t="str">
        <f t="shared" si="1"/>
        <v>2 888 113 105</v>
      </c>
      <c r="AF33" s="43"/>
      <c r="AG33" s="64" t="str">
        <f t="shared" si="7"/>
        <v>2 888 113 105</v>
      </c>
      <c r="AH33" s="43" t="str">
        <f t="shared" si="2"/>
        <v>resign di 2025</v>
      </c>
    </row>
    <row r="34" spans="2:34">
      <c r="B34" s="15"/>
      <c r="D34" s="51"/>
      <c r="E34" s="48"/>
      <c r="F34" s="14"/>
      <c r="G34" s="14"/>
      <c r="H34" s="14"/>
      <c r="I34" s="15"/>
      <c r="J34" s="37"/>
      <c r="K34" s="54"/>
      <c r="L34" s="54"/>
      <c r="M34" s="56"/>
      <c r="N34" s="56"/>
      <c r="O34" s="57"/>
      <c r="P34" s="58"/>
      <c r="Q34" s="72"/>
      <c r="S34" s="51"/>
      <c r="T34" s="51"/>
      <c r="U34" s="51"/>
      <c r="V34" s="70"/>
      <c r="W34" s="73"/>
      <c r="X34" s="70"/>
      <c r="Y34" s="70"/>
      <c r="Z34" s="74"/>
      <c r="AA34" s="70"/>
      <c r="AB34" s="63"/>
      <c r="AC34" s="33"/>
      <c r="AD34" s="64"/>
      <c r="AE34" s="64"/>
      <c r="AF34" s="43"/>
      <c r="AG34" s="64"/>
    </row>
    <row r="35" spans="2:34">
      <c r="B35" s="15"/>
      <c r="D35" s="51"/>
      <c r="E35" s="51"/>
      <c r="F35" s="14"/>
      <c r="G35" s="14"/>
      <c r="H35" s="14"/>
      <c r="I35" s="15"/>
      <c r="J35" s="37"/>
      <c r="K35" s="54"/>
      <c r="L35" s="54"/>
      <c r="M35" s="56"/>
      <c r="N35" s="56"/>
      <c r="O35" s="57"/>
      <c r="P35" s="58"/>
      <c r="Q35" s="72"/>
      <c r="S35" s="51"/>
      <c r="T35" s="51"/>
      <c r="U35" s="51"/>
      <c r="V35" s="70"/>
      <c r="W35" s="73"/>
      <c r="X35" s="70"/>
      <c r="Y35" s="70"/>
      <c r="Z35" s="74"/>
      <c r="AA35" s="70"/>
      <c r="AB35" s="63"/>
      <c r="AC35" s="33"/>
      <c r="AD35" s="64"/>
      <c r="AE35" s="64"/>
      <c r="AF35" s="43"/>
      <c r="AG35" s="64"/>
    </row>
    <row r="36" spans="2:34">
      <c r="B36" s="15"/>
      <c r="D36" s="51"/>
      <c r="E36" s="51"/>
      <c r="F36" s="14"/>
      <c r="G36" s="14"/>
      <c r="H36" s="14"/>
      <c r="I36" s="15"/>
      <c r="J36" s="52"/>
      <c r="K36" s="53"/>
      <c r="L36" s="54"/>
      <c r="M36" s="56"/>
      <c r="N36" s="56"/>
      <c r="O36" s="57"/>
      <c r="P36" s="58"/>
      <c r="Q36" s="72"/>
      <c r="R36" s="49"/>
      <c r="S36" s="51"/>
      <c r="T36" s="51"/>
      <c r="U36" s="51"/>
      <c r="V36" s="70"/>
      <c r="W36" s="73"/>
      <c r="X36" s="70"/>
      <c r="Y36" s="70"/>
      <c r="Z36" s="70"/>
      <c r="AA36" s="70"/>
      <c r="AB36" s="63"/>
      <c r="AC36" s="33"/>
      <c r="AD36" s="64"/>
      <c r="AE36" s="64"/>
      <c r="AF36" s="43"/>
      <c r="AG36" s="64"/>
    </row>
    <row r="37" spans="2:34">
      <c r="B37" s="15"/>
      <c r="D37" s="51"/>
      <c r="E37" s="51"/>
      <c r="F37" s="14"/>
      <c r="G37" s="14"/>
      <c r="H37" s="14"/>
      <c r="I37" s="15"/>
      <c r="J37" s="52"/>
      <c r="K37" s="53"/>
      <c r="L37" s="54"/>
      <c r="M37" s="56"/>
      <c r="N37" s="56"/>
      <c r="O37" s="57"/>
      <c r="P37" s="58"/>
      <c r="Q37" s="72"/>
      <c r="R37" s="49"/>
      <c r="S37" s="51"/>
      <c r="T37" s="51"/>
      <c r="U37" s="51"/>
      <c r="V37" s="70"/>
      <c r="W37" s="73"/>
      <c r="X37" s="70"/>
      <c r="Y37" s="70"/>
      <c r="Z37" s="70"/>
      <c r="AA37" s="70"/>
      <c r="AB37" s="63"/>
      <c r="AC37" s="33"/>
      <c r="AD37" s="64"/>
      <c r="AE37" s="64"/>
      <c r="AF37" s="43"/>
      <c r="AG37" s="64"/>
    </row>
    <row r="38" spans="2:34">
      <c r="B38" s="15"/>
      <c r="D38" s="51"/>
      <c r="E38" s="51"/>
      <c r="F38" s="14"/>
      <c r="G38" s="14"/>
      <c r="H38" s="14"/>
      <c r="I38" s="15"/>
      <c r="J38" s="37"/>
      <c r="K38" s="54"/>
      <c r="L38" s="54"/>
      <c r="M38" s="56"/>
      <c r="N38" s="56"/>
      <c r="O38" s="57"/>
      <c r="P38" s="58"/>
      <c r="Q38" s="72"/>
      <c r="R38" s="49"/>
      <c r="S38" s="51"/>
      <c r="T38" s="51"/>
      <c r="U38" s="51"/>
      <c r="V38" s="70"/>
      <c r="W38" s="73"/>
      <c r="X38" s="70"/>
      <c r="Y38" s="70"/>
      <c r="Z38" s="70"/>
      <c r="AA38" s="70"/>
      <c r="AB38" s="63"/>
      <c r="AC38" s="33"/>
      <c r="AD38" s="64"/>
      <c r="AE38" s="64"/>
      <c r="AF38" s="43"/>
      <c r="AG38" s="64"/>
    </row>
    <row r="39" spans="2:34">
      <c r="B39" s="15"/>
      <c r="D39" s="51"/>
      <c r="E39" s="51"/>
      <c r="F39" s="14"/>
      <c r="G39" s="14"/>
      <c r="H39" s="14"/>
      <c r="I39" s="15"/>
      <c r="J39" s="52"/>
      <c r="K39" s="53"/>
      <c r="L39" s="54"/>
      <c r="M39" s="56"/>
      <c r="N39" s="56"/>
      <c r="O39" s="57"/>
      <c r="P39" s="58"/>
      <c r="Q39" s="72"/>
      <c r="R39" s="49"/>
      <c r="S39" s="51"/>
      <c r="T39" s="51"/>
      <c r="U39" s="51"/>
      <c r="V39" s="70"/>
      <c r="W39" s="73"/>
      <c r="X39" s="70"/>
      <c r="Y39" s="70"/>
      <c r="Z39" s="70"/>
      <c r="AA39" s="70"/>
      <c r="AB39" s="63"/>
      <c r="AC39" s="33"/>
      <c r="AD39" s="64"/>
      <c r="AE39" s="64"/>
      <c r="AF39" s="43"/>
      <c r="AG39" s="64"/>
    </row>
    <row r="40" spans="2:34">
      <c r="B40" s="15"/>
      <c r="D40" s="51"/>
      <c r="E40" s="51"/>
      <c r="F40" s="14"/>
      <c r="G40" s="14"/>
      <c r="H40" s="14"/>
      <c r="I40" s="15"/>
      <c r="J40" s="37"/>
      <c r="K40" s="54"/>
      <c r="L40" s="54"/>
      <c r="M40" s="56"/>
      <c r="N40" s="56"/>
      <c r="O40" s="57"/>
      <c r="P40" s="58"/>
      <c r="Q40" s="72"/>
      <c r="R40" s="49"/>
      <c r="S40" s="51"/>
      <c r="T40" s="51"/>
      <c r="U40" s="51"/>
      <c r="V40" s="70"/>
      <c r="W40" s="73"/>
      <c r="X40" s="70"/>
      <c r="Y40" s="70"/>
      <c r="Z40" s="70"/>
      <c r="AA40" s="70"/>
      <c r="AB40" s="63"/>
      <c r="AC40" s="33"/>
      <c r="AD40" s="64"/>
      <c r="AE40" s="64"/>
      <c r="AF40" s="43"/>
      <c r="AG40" s="64"/>
    </row>
    <row r="41" spans="2:34">
      <c r="B41" s="15"/>
      <c r="D41" s="51"/>
      <c r="E41" s="51"/>
      <c r="F41" s="14"/>
      <c r="G41" s="14"/>
      <c r="H41" s="14"/>
      <c r="I41" s="15"/>
      <c r="J41" s="37"/>
      <c r="K41" s="54"/>
      <c r="L41" s="54"/>
      <c r="M41" s="22"/>
      <c r="N41" s="22"/>
      <c r="O41" s="21"/>
      <c r="P41" s="69"/>
      <c r="Q41" s="72"/>
      <c r="R41" s="49"/>
      <c r="S41" s="51"/>
      <c r="T41" s="51"/>
      <c r="U41" s="51"/>
      <c r="V41" s="70"/>
      <c r="W41" s="73"/>
      <c r="X41" s="70"/>
      <c r="Y41" s="70"/>
      <c r="Z41" s="70"/>
      <c r="AA41" s="70"/>
      <c r="AB41" s="63"/>
      <c r="AC41" s="33"/>
      <c r="AD41" s="64"/>
      <c r="AE41" s="64"/>
      <c r="AF41" s="43"/>
      <c r="AG41" s="64"/>
    </row>
    <row r="42" spans="2:34">
      <c r="B42" s="15"/>
      <c r="D42" s="51"/>
      <c r="E42" s="51"/>
      <c r="F42" s="14"/>
      <c r="G42" s="14"/>
      <c r="H42" s="14"/>
      <c r="I42" s="15"/>
      <c r="J42" s="52"/>
      <c r="K42" s="53"/>
      <c r="L42" s="54"/>
      <c r="M42" s="22"/>
      <c r="N42" s="22"/>
      <c r="O42" s="21"/>
      <c r="P42" s="69"/>
      <c r="Q42" s="72"/>
      <c r="R42" s="49"/>
      <c r="S42" s="51"/>
      <c r="T42" s="51"/>
      <c r="U42" s="51"/>
      <c r="V42" s="70"/>
      <c r="W42" s="73"/>
      <c r="X42" s="70"/>
      <c r="Y42" s="70"/>
      <c r="Z42" s="70"/>
      <c r="AA42" s="70"/>
      <c r="AB42" s="63"/>
      <c r="AC42" s="33"/>
      <c r="AD42" s="64"/>
      <c r="AE42" s="64"/>
      <c r="AF42" s="43"/>
      <c r="AG42" s="64"/>
    </row>
    <row r="43" spans="2:34">
      <c r="B43" s="15"/>
      <c r="D43" s="51"/>
      <c r="E43" s="51"/>
      <c r="F43" s="14"/>
      <c r="G43" s="14"/>
      <c r="H43" s="14"/>
      <c r="I43" s="15"/>
      <c r="J43" s="37"/>
      <c r="K43" s="54"/>
      <c r="L43" s="54"/>
      <c r="M43" s="56"/>
      <c r="N43" s="56"/>
      <c r="O43" s="57"/>
      <c r="P43" s="58"/>
      <c r="Q43" s="72"/>
      <c r="R43" s="49"/>
      <c r="S43" s="51"/>
      <c r="T43" s="51"/>
      <c r="U43" s="51"/>
      <c r="V43" s="70"/>
      <c r="W43" s="73"/>
      <c r="X43" s="70"/>
      <c r="Y43" s="70"/>
      <c r="Z43" s="70"/>
      <c r="AA43" s="70"/>
      <c r="AB43" s="63"/>
      <c r="AC43" s="33"/>
      <c r="AD43" s="64"/>
      <c r="AE43" s="64"/>
      <c r="AF43" s="43"/>
      <c r="AG43" s="64"/>
    </row>
    <row r="44" spans="2:34">
      <c r="B44" s="15"/>
      <c r="D44" s="51"/>
      <c r="E44" s="51"/>
      <c r="F44" s="14"/>
      <c r="G44" s="14"/>
      <c r="H44" s="14"/>
      <c r="I44" s="15"/>
      <c r="J44" s="52"/>
      <c r="K44" s="53"/>
      <c r="L44" s="54"/>
      <c r="M44" s="56"/>
      <c r="N44" s="56"/>
      <c r="O44" s="57"/>
      <c r="P44" s="58"/>
      <c r="Q44" s="72"/>
      <c r="R44" s="49"/>
      <c r="S44" s="51"/>
      <c r="T44" s="51"/>
      <c r="U44" s="51"/>
      <c r="V44" s="70"/>
      <c r="W44" s="73"/>
      <c r="X44" s="70"/>
      <c r="Y44" s="70"/>
      <c r="Z44" s="70"/>
      <c r="AA44" s="70"/>
      <c r="AB44" s="63"/>
      <c r="AC44" s="33"/>
      <c r="AD44" s="64"/>
      <c r="AE44" s="64"/>
      <c r="AF44" s="43"/>
      <c r="AG44" s="64"/>
    </row>
    <row r="45" spans="2:34">
      <c r="B45" s="15"/>
      <c r="D45" s="51"/>
      <c r="E45" s="51"/>
      <c r="F45" s="14"/>
      <c r="G45" s="14"/>
      <c r="H45" s="14"/>
      <c r="I45" s="15"/>
      <c r="J45" s="37"/>
      <c r="K45" s="54"/>
      <c r="L45" s="54"/>
      <c r="M45" s="56"/>
      <c r="N45" s="56"/>
      <c r="O45" s="57"/>
      <c r="P45" s="58"/>
      <c r="Q45" s="72"/>
      <c r="R45" s="49"/>
      <c r="S45" s="51"/>
      <c r="T45" s="51"/>
      <c r="U45" s="51"/>
      <c r="V45" s="70"/>
      <c r="W45" s="73"/>
      <c r="X45" s="70"/>
      <c r="Y45" s="70"/>
      <c r="Z45" s="70"/>
      <c r="AA45" s="70"/>
      <c r="AB45" s="63"/>
      <c r="AC45" s="33"/>
      <c r="AD45" s="64"/>
      <c r="AE45" s="64"/>
      <c r="AF45" s="43"/>
      <c r="AG45" s="64"/>
    </row>
    <row r="46" spans="2:34">
      <c r="B46" s="15"/>
      <c r="D46" s="51"/>
      <c r="E46" s="51"/>
      <c r="F46" s="14"/>
      <c r="G46" s="14"/>
      <c r="H46" s="14"/>
      <c r="I46" s="15"/>
      <c r="J46" s="52"/>
      <c r="K46" s="53"/>
      <c r="L46" s="54"/>
      <c r="M46" s="55"/>
      <c r="N46" s="55"/>
      <c r="O46" s="65"/>
      <c r="P46" s="66"/>
      <c r="Q46" s="72"/>
      <c r="S46" s="51"/>
      <c r="T46" s="51"/>
      <c r="U46" s="51"/>
      <c r="V46" s="70"/>
      <c r="W46" s="73"/>
      <c r="X46" s="70"/>
      <c r="Y46" s="70"/>
      <c r="Z46" s="70"/>
      <c r="AA46" s="70"/>
      <c r="AB46" s="63"/>
      <c r="AC46" s="33"/>
      <c r="AD46" s="64"/>
      <c r="AE46" s="64"/>
      <c r="AF46" s="43"/>
      <c r="AG46" s="64"/>
    </row>
    <row r="47" spans="2:34">
      <c r="B47" s="15"/>
      <c r="D47" s="51"/>
      <c r="E47" s="51"/>
      <c r="F47" s="14"/>
      <c r="G47" s="14"/>
      <c r="H47" s="14"/>
      <c r="I47" s="15"/>
      <c r="J47" s="52"/>
      <c r="K47" s="53"/>
      <c r="L47" s="54"/>
      <c r="M47" s="24"/>
      <c r="N47" s="24"/>
      <c r="O47" s="23"/>
      <c r="P47" s="75"/>
      <c r="Q47" s="72"/>
      <c r="R47" s="76"/>
      <c r="S47" s="51"/>
      <c r="T47" s="51"/>
      <c r="U47" s="51"/>
      <c r="V47" s="70"/>
      <c r="W47" s="73"/>
      <c r="X47" s="70"/>
      <c r="Y47" s="70"/>
      <c r="Z47" s="70"/>
      <c r="AA47" s="70"/>
      <c r="AB47" s="63"/>
      <c r="AC47" s="33"/>
      <c r="AD47" s="64"/>
      <c r="AE47" s="64"/>
      <c r="AF47" s="43"/>
      <c r="AG47" s="64"/>
    </row>
    <row r="48" spans="2:34">
      <c r="B48" s="15"/>
      <c r="D48" s="51"/>
      <c r="E48" s="51"/>
      <c r="F48" s="14"/>
      <c r="G48" s="14"/>
      <c r="H48" s="14"/>
      <c r="I48" s="15"/>
      <c r="J48" s="52"/>
      <c r="K48" s="53"/>
      <c r="L48" s="54"/>
      <c r="M48" s="24"/>
      <c r="N48" s="24"/>
      <c r="O48" s="23"/>
      <c r="P48" s="75"/>
      <c r="Q48" s="72"/>
      <c r="R48" s="76"/>
      <c r="S48" s="51"/>
      <c r="T48" s="51"/>
      <c r="U48" s="51"/>
      <c r="V48" s="70"/>
      <c r="W48" s="77"/>
      <c r="X48" s="70"/>
      <c r="Y48" s="70"/>
      <c r="Z48" s="70"/>
      <c r="AA48" s="70"/>
      <c r="AB48" s="63"/>
      <c r="AC48" s="33"/>
      <c r="AD48" s="64"/>
      <c r="AE48" s="64"/>
      <c r="AF48" s="43"/>
      <c r="AG48" s="64"/>
    </row>
    <row r="49" spans="2:33">
      <c r="B49" s="15"/>
      <c r="D49" s="51"/>
      <c r="E49" s="51"/>
      <c r="F49" s="78"/>
      <c r="G49" s="14"/>
      <c r="H49" s="14"/>
      <c r="I49" s="15"/>
      <c r="J49" s="37"/>
      <c r="K49" s="54"/>
      <c r="L49" s="54"/>
      <c r="M49" s="24"/>
      <c r="N49" s="24"/>
      <c r="O49" s="23"/>
      <c r="P49" s="75"/>
      <c r="Q49" s="72"/>
      <c r="R49" s="76"/>
      <c r="S49" s="51"/>
      <c r="T49" s="51"/>
      <c r="U49" s="51"/>
      <c r="V49" s="70"/>
      <c r="W49" s="73"/>
      <c r="X49" s="70"/>
      <c r="Y49" s="70"/>
      <c r="Z49" s="70"/>
      <c r="AA49" s="70"/>
      <c r="AB49" s="63"/>
      <c r="AC49" s="33"/>
      <c r="AD49" s="64"/>
      <c r="AE49" s="64"/>
      <c r="AF49" s="43"/>
      <c r="AG49" s="64"/>
    </row>
    <row r="50" spans="2:33">
      <c r="B50" s="15"/>
      <c r="D50" s="51"/>
      <c r="E50" s="51"/>
      <c r="F50" s="14"/>
      <c r="G50" s="14"/>
      <c r="H50" s="14"/>
      <c r="I50" s="15"/>
      <c r="J50" s="37"/>
      <c r="K50" s="54"/>
      <c r="L50" s="54"/>
      <c r="M50" s="24"/>
      <c r="N50" s="24"/>
      <c r="O50" s="23"/>
      <c r="P50" s="75"/>
      <c r="Q50" s="72"/>
      <c r="R50" s="76"/>
      <c r="S50" s="51"/>
      <c r="T50" s="51"/>
      <c r="U50" s="51"/>
      <c r="V50" s="70"/>
      <c r="W50" s="73"/>
      <c r="X50" s="70"/>
      <c r="Y50" s="70"/>
      <c r="Z50" s="70"/>
      <c r="AA50" s="70"/>
      <c r="AB50" s="63"/>
      <c r="AC50" s="33"/>
      <c r="AD50" s="64"/>
      <c r="AE50" s="64"/>
      <c r="AF50" s="43"/>
      <c r="AG50" s="64"/>
    </row>
    <row r="51" spans="2:33">
      <c r="B51" s="15"/>
      <c r="D51" s="51"/>
      <c r="E51" s="51"/>
      <c r="F51" s="14"/>
      <c r="G51" s="78"/>
      <c r="H51" s="78"/>
      <c r="I51" s="15"/>
      <c r="J51" s="52"/>
      <c r="K51" s="53"/>
      <c r="L51" s="54"/>
      <c r="M51" s="24"/>
      <c r="N51" s="24"/>
      <c r="O51" s="23"/>
      <c r="P51" s="75"/>
      <c r="Q51" s="72"/>
      <c r="R51" s="76"/>
      <c r="S51" s="51"/>
      <c r="T51" s="51"/>
      <c r="U51" s="51"/>
      <c r="V51" s="70"/>
      <c r="W51" s="73"/>
      <c r="X51" s="70"/>
      <c r="Y51" s="70"/>
      <c r="Z51" s="70"/>
      <c r="AA51" s="70"/>
      <c r="AB51" s="63"/>
      <c r="AC51" s="33"/>
      <c r="AD51" s="64"/>
      <c r="AE51" s="64"/>
      <c r="AF51" s="43"/>
      <c r="AG51" s="64"/>
    </row>
    <row r="52" spans="2:33">
      <c r="B52" s="15"/>
      <c r="D52" s="51"/>
      <c r="E52" s="51"/>
      <c r="F52" s="14"/>
      <c r="G52" s="14"/>
      <c r="H52" s="14"/>
      <c r="I52" s="15"/>
      <c r="J52" s="43"/>
      <c r="K52" s="51"/>
      <c r="L52" s="51"/>
      <c r="M52" s="24"/>
      <c r="N52" s="24"/>
      <c r="O52" s="23"/>
      <c r="P52" s="75"/>
      <c r="Q52" s="72"/>
      <c r="R52" s="76"/>
      <c r="S52" s="51"/>
      <c r="T52" s="51"/>
      <c r="U52" s="51"/>
      <c r="V52" s="70"/>
      <c r="W52" s="73"/>
      <c r="X52" s="70"/>
      <c r="Y52" s="70"/>
      <c r="Z52" s="70"/>
      <c r="AA52" s="70"/>
      <c r="AB52" s="63"/>
      <c r="AC52" s="33"/>
      <c r="AD52" s="64"/>
      <c r="AE52" s="64"/>
      <c r="AF52" s="43"/>
      <c r="AG52" s="64"/>
    </row>
    <row r="53" spans="2:33">
      <c r="B53" s="15"/>
      <c r="D53" s="51"/>
      <c r="E53" s="51"/>
      <c r="F53" s="14"/>
      <c r="G53" s="14"/>
      <c r="H53" s="14"/>
      <c r="I53" s="15"/>
      <c r="J53" s="37"/>
      <c r="K53" s="54"/>
      <c r="L53" s="54"/>
      <c r="M53" s="24"/>
      <c r="N53" s="24"/>
      <c r="O53" s="23"/>
      <c r="P53" s="75"/>
      <c r="Q53" s="72"/>
      <c r="R53" s="76"/>
      <c r="S53" s="51"/>
      <c r="T53" s="51"/>
      <c r="U53" s="51"/>
      <c r="V53" s="70"/>
      <c r="W53" s="77"/>
      <c r="X53" s="70"/>
      <c r="Y53" s="70"/>
      <c r="Z53" s="70"/>
      <c r="AA53" s="70"/>
      <c r="AB53" s="63"/>
      <c r="AC53" s="33"/>
      <c r="AD53" s="64"/>
      <c r="AE53" s="64"/>
      <c r="AF53" s="43"/>
      <c r="AG53" s="64"/>
    </row>
    <row r="54" spans="2:33">
      <c r="B54" s="15"/>
      <c r="D54" s="51"/>
      <c r="E54" s="51"/>
      <c r="F54" s="14"/>
      <c r="G54" s="14"/>
      <c r="H54" s="14"/>
      <c r="I54" s="15"/>
      <c r="J54" s="37"/>
      <c r="K54" s="54"/>
      <c r="L54" s="54"/>
      <c r="M54" s="24"/>
      <c r="N54" s="24"/>
      <c r="O54" s="23"/>
      <c r="P54" s="75"/>
      <c r="Q54" s="72"/>
      <c r="S54" s="51"/>
      <c r="T54" s="51"/>
      <c r="U54" s="51"/>
      <c r="V54" s="70"/>
      <c r="W54" s="73"/>
      <c r="X54" s="70"/>
      <c r="Y54" s="70"/>
      <c r="Z54" s="70"/>
      <c r="AA54" s="70"/>
      <c r="AB54" s="63"/>
      <c r="AC54" s="33"/>
      <c r="AD54" s="64"/>
      <c r="AE54" s="64"/>
      <c r="AF54" s="43"/>
      <c r="AG54" s="64"/>
    </row>
    <row r="55" spans="2:33">
      <c r="B55" s="15"/>
      <c r="D55" s="51"/>
      <c r="E55" s="51"/>
      <c r="F55" s="14"/>
      <c r="G55" s="14"/>
      <c r="H55" s="14"/>
      <c r="I55" s="15"/>
      <c r="J55" s="37"/>
      <c r="K55" s="54"/>
      <c r="L55" s="54"/>
      <c r="M55" s="24"/>
      <c r="N55" s="24"/>
      <c r="O55" s="23"/>
      <c r="P55" s="75"/>
      <c r="Q55" s="72"/>
      <c r="S55" s="51"/>
      <c r="T55" s="51"/>
      <c r="U55" s="51"/>
      <c r="V55" s="70"/>
      <c r="W55" s="77"/>
      <c r="X55" s="70"/>
      <c r="Y55" s="70"/>
      <c r="Z55" s="70"/>
      <c r="AA55" s="70"/>
      <c r="AB55" s="63"/>
      <c r="AC55" s="33"/>
      <c r="AD55" s="64"/>
      <c r="AE55" s="64"/>
      <c r="AF55" s="43"/>
      <c r="AG55" s="64"/>
    </row>
    <row r="56" spans="2:33">
      <c r="B56" s="15"/>
      <c r="D56" s="51"/>
      <c r="E56" s="51"/>
      <c r="F56" s="14"/>
      <c r="G56" s="14"/>
      <c r="H56" s="14"/>
      <c r="I56" s="15"/>
      <c r="J56" s="52"/>
      <c r="K56" s="53"/>
      <c r="L56" s="54"/>
      <c r="M56" s="24"/>
      <c r="N56" s="24"/>
      <c r="O56" s="23"/>
      <c r="P56" s="75"/>
      <c r="Q56" s="72"/>
      <c r="S56" s="51"/>
      <c r="T56" s="51"/>
      <c r="U56" s="51"/>
      <c r="V56" s="70"/>
      <c r="W56" s="77"/>
      <c r="X56" s="70"/>
      <c r="Y56" s="70"/>
      <c r="Z56" s="70"/>
      <c r="AA56" s="70"/>
      <c r="AB56" s="63"/>
      <c r="AC56" s="33"/>
      <c r="AD56" s="64"/>
      <c r="AE56" s="64"/>
      <c r="AF56" s="43"/>
      <c r="AG56" s="64"/>
    </row>
    <row r="57" spans="2:33">
      <c r="B57" s="15"/>
      <c r="D57" s="51"/>
      <c r="E57" s="51"/>
      <c r="F57" s="14"/>
      <c r="G57" s="14"/>
      <c r="H57" s="14"/>
      <c r="I57" s="15"/>
      <c r="J57" s="52"/>
      <c r="K57" s="53"/>
      <c r="L57" s="54"/>
      <c r="M57" s="24"/>
      <c r="N57" s="24"/>
      <c r="O57" s="23"/>
      <c r="P57" s="75"/>
      <c r="Q57" s="72"/>
      <c r="S57" s="51"/>
      <c r="T57" s="51"/>
      <c r="U57" s="51"/>
      <c r="V57" s="70"/>
      <c r="W57" s="77"/>
      <c r="X57" s="70"/>
      <c r="Y57" s="70"/>
      <c r="Z57" s="70"/>
      <c r="AA57" s="70"/>
      <c r="AB57" s="63"/>
      <c r="AC57" s="33"/>
      <c r="AD57" s="64"/>
      <c r="AE57" s="64"/>
      <c r="AF57" s="43"/>
      <c r="AG57" s="64"/>
    </row>
    <row r="58" spans="2:33">
      <c r="B58" s="15"/>
      <c r="D58" s="51"/>
      <c r="E58" s="51"/>
      <c r="F58" s="14"/>
      <c r="G58" s="14"/>
      <c r="H58" s="14"/>
      <c r="I58" s="15"/>
      <c r="J58" s="52"/>
      <c r="K58" s="53"/>
      <c r="L58" s="54"/>
      <c r="M58" s="24"/>
      <c r="N58" s="24"/>
      <c r="O58" s="23"/>
      <c r="P58" s="75"/>
      <c r="Q58" s="72"/>
      <c r="S58" s="51"/>
      <c r="T58" s="51"/>
      <c r="U58" s="51"/>
      <c r="V58" s="70"/>
      <c r="W58" s="77"/>
      <c r="X58" s="70"/>
      <c r="Y58" s="70"/>
      <c r="Z58" s="70"/>
      <c r="AA58" s="70"/>
      <c r="AB58" s="63"/>
      <c r="AC58" s="33"/>
      <c r="AD58" s="64"/>
      <c r="AE58" s="64"/>
      <c r="AF58" s="43"/>
      <c r="AG58" s="64"/>
    </row>
    <row r="59" spans="2:33">
      <c r="B59" s="15"/>
      <c r="D59" s="51"/>
      <c r="E59" s="51"/>
      <c r="F59" s="14"/>
      <c r="G59" s="14"/>
      <c r="H59" s="14"/>
      <c r="I59" s="15"/>
      <c r="J59" s="37"/>
      <c r="K59" s="54"/>
      <c r="L59" s="54"/>
      <c r="M59" s="24"/>
      <c r="N59" s="24"/>
      <c r="O59" s="23"/>
      <c r="P59" s="75"/>
      <c r="Q59" s="72"/>
      <c r="S59" s="51"/>
      <c r="T59" s="51"/>
      <c r="U59" s="51"/>
      <c r="V59" s="70"/>
      <c r="W59" s="73"/>
      <c r="X59" s="70"/>
      <c r="Y59" s="70"/>
      <c r="Z59" s="70"/>
      <c r="AA59" s="70"/>
      <c r="AB59" s="63"/>
      <c r="AC59" s="33"/>
      <c r="AD59" s="64"/>
      <c r="AE59" s="64"/>
      <c r="AF59" s="43"/>
      <c r="AG59" s="64"/>
    </row>
    <row r="60" spans="2:33">
      <c r="B60" s="15"/>
      <c r="D60" s="51"/>
      <c r="E60" s="51"/>
      <c r="F60" s="14"/>
      <c r="G60" s="14"/>
      <c r="H60" s="14"/>
      <c r="I60" s="15"/>
      <c r="J60" s="37"/>
      <c r="K60" s="54"/>
      <c r="L60" s="54"/>
      <c r="M60" s="24"/>
      <c r="N60" s="24"/>
      <c r="O60" s="23"/>
      <c r="P60" s="75"/>
      <c r="Q60" s="72"/>
      <c r="S60" s="51"/>
      <c r="T60" s="51"/>
      <c r="U60" s="51"/>
      <c r="V60" s="70"/>
      <c r="W60" s="73"/>
      <c r="X60" s="70"/>
      <c r="Y60" s="70"/>
      <c r="Z60" s="70"/>
      <c r="AB60" s="63"/>
      <c r="AC60" s="33"/>
      <c r="AD60" s="64"/>
      <c r="AE60" s="64"/>
      <c r="AF60" s="43"/>
      <c r="AG60" s="64"/>
    </row>
    <row r="61" spans="2:33">
      <c r="B61" s="15"/>
      <c r="D61" s="51"/>
      <c r="E61" s="51"/>
      <c r="F61" s="14"/>
      <c r="G61" s="14"/>
      <c r="H61" s="14"/>
      <c r="I61" s="15"/>
      <c r="J61" s="37"/>
      <c r="K61" s="54"/>
      <c r="L61" s="54"/>
      <c r="M61" s="24"/>
      <c r="N61" s="24"/>
      <c r="O61" s="23"/>
      <c r="P61" s="75"/>
      <c r="Q61" s="72"/>
      <c r="S61" s="51"/>
      <c r="T61" s="51"/>
      <c r="U61" s="51"/>
      <c r="V61" s="70"/>
      <c r="W61" s="73"/>
      <c r="X61" s="70"/>
      <c r="Y61" s="70"/>
      <c r="Z61" s="70"/>
      <c r="AB61" s="63"/>
      <c r="AC61" s="33"/>
      <c r="AD61" s="64"/>
      <c r="AE61" s="64"/>
      <c r="AF61" s="43"/>
      <c r="AG61" s="64"/>
    </row>
    <row r="62" spans="2:33">
      <c r="B62" s="15"/>
      <c r="D62" s="51"/>
      <c r="E62" s="51"/>
      <c r="F62" s="14"/>
      <c r="G62" s="14"/>
      <c r="H62" s="14"/>
      <c r="I62" s="15"/>
      <c r="J62" s="37"/>
      <c r="K62" s="54"/>
      <c r="L62" s="54"/>
      <c r="M62" s="24"/>
      <c r="N62" s="24"/>
      <c r="O62" s="23"/>
      <c r="P62" s="75"/>
      <c r="Q62" s="72"/>
      <c r="S62" s="51"/>
      <c r="T62" s="51"/>
      <c r="U62" s="51"/>
      <c r="V62" s="70"/>
      <c r="W62" s="77"/>
      <c r="X62" s="70"/>
      <c r="Y62" s="70"/>
      <c r="Z62" s="70"/>
      <c r="AB62" s="63"/>
      <c r="AC62" s="33"/>
      <c r="AD62" s="64"/>
      <c r="AE62" s="64"/>
      <c r="AF62" s="43"/>
      <c r="AG62" s="64"/>
    </row>
    <row r="63" spans="2:33">
      <c r="B63" s="15"/>
      <c r="D63" s="51"/>
      <c r="E63" s="51"/>
      <c r="F63" s="14"/>
      <c r="G63" s="14"/>
      <c r="H63" s="14"/>
      <c r="I63" s="15"/>
      <c r="J63" s="37"/>
      <c r="K63" s="54"/>
      <c r="L63" s="54"/>
      <c r="M63" s="24"/>
      <c r="N63" s="24"/>
      <c r="O63" s="23"/>
      <c r="P63" s="75"/>
      <c r="Q63" s="72"/>
      <c r="S63" s="51"/>
      <c r="T63" s="51"/>
      <c r="U63" s="51"/>
      <c r="V63" s="70"/>
      <c r="W63" s="73"/>
      <c r="X63" s="70"/>
      <c r="Y63" s="70"/>
      <c r="Z63" s="70"/>
      <c r="AB63" s="63"/>
      <c r="AC63" s="33"/>
      <c r="AD63" s="64"/>
      <c r="AE63" s="64"/>
      <c r="AF63" s="43"/>
      <c r="AG63" s="64"/>
    </row>
    <row r="64" spans="2:33">
      <c r="B64" s="15"/>
      <c r="D64" s="51"/>
      <c r="E64" s="51"/>
      <c r="F64" s="14"/>
      <c r="G64" s="14"/>
      <c r="H64" s="14"/>
      <c r="I64" s="15"/>
      <c r="J64" s="43"/>
      <c r="K64" s="53"/>
      <c r="L64" s="54"/>
      <c r="M64" s="24"/>
      <c r="N64" s="24"/>
      <c r="O64" s="23"/>
      <c r="P64" s="75"/>
      <c r="Q64" s="72"/>
      <c r="S64" s="51"/>
      <c r="T64" s="51"/>
      <c r="U64" s="51"/>
      <c r="V64" s="70"/>
      <c r="W64" s="77"/>
      <c r="X64" s="70"/>
      <c r="Y64" s="70"/>
      <c r="Z64" s="70"/>
      <c r="AB64" s="63"/>
      <c r="AC64" s="33"/>
      <c r="AD64" s="64"/>
      <c r="AE64" s="64"/>
      <c r="AF64" s="43"/>
      <c r="AG64" s="64"/>
    </row>
    <row r="65" spans="2:33">
      <c r="B65" s="15"/>
      <c r="D65" s="51"/>
      <c r="E65" s="51"/>
      <c r="F65" s="14"/>
      <c r="G65" s="14"/>
      <c r="H65" s="14"/>
      <c r="I65" s="15"/>
      <c r="J65" s="37"/>
      <c r="K65" s="54"/>
      <c r="L65" s="54"/>
      <c r="M65" s="24"/>
      <c r="N65" s="24"/>
      <c r="O65" s="23"/>
      <c r="P65" s="75"/>
      <c r="Q65" s="72"/>
      <c r="S65" s="51"/>
      <c r="T65" s="51"/>
      <c r="U65" s="51"/>
      <c r="V65" s="70"/>
      <c r="W65" s="73"/>
      <c r="X65" s="70"/>
      <c r="Y65" s="70"/>
      <c r="Z65" s="70"/>
      <c r="AB65" s="63"/>
      <c r="AC65" s="33"/>
      <c r="AD65" s="64"/>
      <c r="AE65" s="64"/>
      <c r="AF65" s="43"/>
      <c r="AG65" s="64"/>
    </row>
    <row r="66" spans="2:33">
      <c r="B66" s="15"/>
      <c r="D66" s="51"/>
      <c r="E66" s="51"/>
      <c r="F66" s="14"/>
      <c r="G66" s="14"/>
      <c r="H66" s="14"/>
      <c r="I66" s="15"/>
      <c r="J66" s="37"/>
      <c r="K66" s="54"/>
      <c r="L66" s="54"/>
      <c r="M66" s="24"/>
      <c r="N66" s="24"/>
      <c r="O66" s="23"/>
      <c r="P66" s="75"/>
      <c r="Q66" s="72"/>
      <c r="S66" s="51"/>
      <c r="T66" s="51"/>
      <c r="U66" s="51"/>
      <c r="V66" s="70"/>
      <c r="W66" s="77"/>
      <c r="X66" s="70"/>
      <c r="Y66" s="70"/>
      <c r="Z66" s="70"/>
      <c r="AB66" s="63"/>
      <c r="AC66" s="33"/>
      <c r="AD66" s="64"/>
      <c r="AE66" s="64"/>
      <c r="AF66" s="43"/>
      <c r="AG66" s="64"/>
    </row>
    <row r="67" spans="2:33">
      <c r="B67" s="15"/>
      <c r="D67" s="51"/>
      <c r="E67" s="51"/>
      <c r="F67" s="14"/>
      <c r="G67" s="14"/>
      <c r="H67" s="14"/>
      <c r="I67" s="15"/>
      <c r="J67" s="37"/>
      <c r="K67" s="54"/>
      <c r="L67" s="54"/>
      <c r="M67" s="24"/>
      <c r="N67" s="24"/>
      <c r="O67" s="23"/>
      <c r="P67" s="75"/>
      <c r="Q67" s="72"/>
      <c r="S67" s="51"/>
      <c r="T67" s="51"/>
      <c r="U67" s="51"/>
      <c r="V67" s="70"/>
      <c r="W67" s="73"/>
      <c r="X67" s="70"/>
      <c r="Y67" s="70"/>
      <c r="Z67" s="70"/>
      <c r="AB67" s="63"/>
      <c r="AC67" s="33"/>
      <c r="AD67" s="64"/>
      <c r="AE67" s="64"/>
      <c r="AF67" s="43"/>
      <c r="AG67" s="64"/>
    </row>
    <row r="68" spans="2:33">
      <c r="B68" s="15"/>
      <c r="D68" s="51"/>
      <c r="E68" s="51"/>
      <c r="F68" s="14"/>
      <c r="G68" s="14"/>
      <c r="H68" s="14"/>
      <c r="I68" s="15"/>
      <c r="J68" s="43"/>
      <c r="K68" s="54"/>
      <c r="L68" s="54"/>
      <c r="M68" s="24"/>
      <c r="N68" s="24"/>
      <c r="O68" s="23"/>
      <c r="P68" s="75"/>
      <c r="Q68" s="72"/>
      <c r="S68" s="51"/>
      <c r="T68" s="51"/>
      <c r="U68" s="51"/>
      <c r="V68" s="70"/>
      <c r="W68" s="73"/>
      <c r="X68" s="70"/>
      <c r="Y68" s="70"/>
      <c r="Z68" s="70"/>
      <c r="AB68" s="63"/>
      <c r="AC68" s="33"/>
      <c r="AD68" s="64"/>
      <c r="AE68" s="64"/>
      <c r="AF68" s="43"/>
      <c r="AG68" s="64"/>
    </row>
    <row r="69" spans="2:33">
      <c r="B69" s="15"/>
      <c r="C69" s="13"/>
      <c r="D69" s="26"/>
      <c r="E69" s="26"/>
      <c r="F69" s="14"/>
      <c r="G69" s="14"/>
      <c r="H69" s="14"/>
      <c r="I69" s="15"/>
      <c r="J69" s="52"/>
      <c r="K69" s="53"/>
      <c r="L69" s="54"/>
      <c r="M69" s="24"/>
      <c r="N69" s="24"/>
      <c r="O69" s="23"/>
      <c r="P69" s="75"/>
      <c r="Q69" s="72"/>
      <c r="S69" s="51"/>
      <c r="T69" s="51"/>
      <c r="U69" s="51"/>
      <c r="V69" s="70"/>
      <c r="W69" s="77"/>
      <c r="X69" s="70"/>
      <c r="Y69" s="70"/>
      <c r="Z69" s="70"/>
      <c r="AB69" s="63"/>
      <c r="AC69" s="33"/>
      <c r="AD69" s="64"/>
      <c r="AE69" s="64"/>
      <c r="AF69" s="43"/>
      <c r="AG69" s="64"/>
    </row>
    <row r="70" spans="2:33">
      <c r="B70" s="15"/>
      <c r="C70" s="37"/>
      <c r="D70" s="26"/>
      <c r="E70" s="26"/>
      <c r="F70" s="14"/>
      <c r="G70" s="14"/>
      <c r="H70" s="14"/>
      <c r="I70" s="15"/>
      <c r="J70" s="37"/>
      <c r="K70" s="54"/>
      <c r="L70" s="54"/>
      <c r="M70" s="24"/>
      <c r="N70" s="24"/>
      <c r="O70" s="23"/>
      <c r="P70" s="75"/>
      <c r="Q70" s="72"/>
      <c r="S70" s="51"/>
      <c r="T70" s="51"/>
      <c r="U70" s="51"/>
      <c r="V70" s="70"/>
      <c r="W70" s="77"/>
      <c r="X70" s="70"/>
      <c r="Y70" s="70"/>
      <c r="Z70" s="70"/>
      <c r="AB70" s="63"/>
      <c r="AC70" s="33"/>
      <c r="AD70" s="64"/>
      <c r="AE70" s="64"/>
      <c r="AF70" s="43"/>
      <c r="AG70" s="64"/>
    </row>
    <row r="71" spans="2:33">
      <c r="B71" s="15"/>
      <c r="C71" s="13"/>
      <c r="D71" s="26"/>
      <c r="E71" s="26"/>
      <c r="F71" s="14"/>
      <c r="G71" s="14"/>
      <c r="H71" s="14"/>
      <c r="I71" s="15"/>
      <c r="J71" s="37"/>
      <c r="K71" s="54"/>
      <c r="L71" s="54"/>
      <c r="M71" s="24"/>
      <c r="N71" s="24"/>
      <c r="O71" s="23"/>
      <c r="P71" s="75"/>
      <c r="Q71" s="72"/>
      <c r="S71" s="51"/>
      <c r="T71" s="51"/>
      <c r="U71" s="51"/>
      <c r="V71" s="70"/>
      <c r="W71" s="77"/>
      <c r="X71" s="70"/>
      <c r="Y71" s="70"/>
      <c r="Z71" s="70"/>
      <c r="AB71" s="63"/>
      <c r="AC71" s="33"/>
      <c r="AD71" s="64"/>
      <c r="AE71" s="64"/>
      <c r="AF71" s="43"/>
      <c r="AG71" s="64"/>
    </row>
    <row r="72" spans="2:33">
      <c r="B72" s="15"/>
      <c r="C72" s="13"/>
      <c r="D72" s="26"/>
      <c r="E72" s="26"/>
      <c r="F72" s="14"/>
      <c r="G72" s="14"/>
      <c r="H72" s="14"/>
      <c r="I72" s="15"/>
      <c r="J72" s="37"/>
      <c r="K72" s="54"/>
      <c r="L72" s="54"/>
      <c r="M72" s="24"/>
      <c r="N72" s="24"/>
      <c r="O72" s="23"/>
      <c r="P72" s="75"/>
      <c r="Q72" s="72"/>
      <c r="S72" s="51"/>
      <c r="T72" s="51"/>
      <c r="U72" s="51"/>
      <c r="V72" s="70"/>
      <c r="W72" s="73"/>
      <c r="X72" s="70"/>
      <c r="Y72" s="70"/>
      <c r="Z72" s="70"/>
      <c r="AB72" s="63"/>
      <c r="AC72" s="33"/>
      <c r="AD72" s="64"/>
      <c r="AE72" s="64"/>
      <c r="AF72" s="43"/>
      <c r="AG72" s="64"/>
    </row>
    <row r="73" spans="2:33">
      <c r="B73" s="15"/>
      <c r="C73" s="42"/>
      <c r="D73" s="59"/>
      <c r="E73" s="26"/>
      <c r="F73" s="14"/>
      <c r="G73" s="14"/>
      <c r="H73" s="14"/>
      <c r="I73" s="15"/>
      <c r="J73" s="37"/>
      <c r="K73" s="54"/>
      <c r="L73" s="54"/>
      <c r="M73" s="24"/>
      <c r="N73" s="24"/>
      <c r="O73" s="23"/>
      <c r="P73" s="75"/>
      <c r="Q73" s="72"/>
      <c r="S73" s="51"/>
      <c r="T73" s="51"/>
      <c r="U73" s="51"/>
      <c r="V73" s="70"/>
      <c r="W73" s="77"/>
      <c r="X73" s="70"/>
      <c r="Y73" s="70"/>
      <c r="Z73" s="70"/>
      <c r="AB73" s="63"/>
      <c r="AC73" s="33"/>
      <c r="AD73" s="64"/>
      <c r="AE73" s="64"/>
      <c r="AF73" s="43"/>
      <c r="AG73" s="64"/>
    </row>
    <row r="74" spans="2:33">
      <c r="B74" s="15"/>
      <c r="C74" s="13"/>
      <c r="D74" s="26"/>
      <c r="E74" s="26"/>
      <c r="F74" s="14"/>
      <c r="G74" s="14"/>
      <c r="H74" s="14"/>
      <c r="I74" s="15"/>
      <c r="J74" s="37"/>
      <c r="K74" s="54"/>
      <c r="L74" s="54"/>
      <c r="M74" s="24"/>
      <c r="N74" s="24"/>
      <c r="O74" s="23"/>
      <c r="P74" s="75"/>
      <c r="Q74" s="72"/>
      <c r="S74" s="51"/>
      <c r="T74" s="51"/>
      <c r="U74" s="51"/>
      <c r="V74" s="70"/>
      <c r="W74" s="77"/>
      <c r="X74" s="70"/>
      <c r="Y74" s="70"/>
      <c r="Z74" s="70"/>
      <c r="AB74" s="63"/>
      <c r="AC74" s="33"/>
      <c r="AD74" s="64"/>
      <c r="AE74" s="64"/>
      <c r="AF74" s="43"/>
      <c r="AG74" s="64"/>
    </row>
    <row r="75" spans="2:33">
      <c r="B75" s="15"/>
      <c r="C75" s="13"/>
      <c r="D75" s="26"/>
      <c r="E75" s="26"/>
      <c r="F75" s="14"/>
      <c r="G75" s="14"/>
      <c r="H75" s="14"/>
      <c r="I75" s="15"/>
      <c r="J75" s="37"/>
      <c r="K75" s="54"/>
      <c r="L75" s="54"/>
      <c r="M75" s="24"/>
      <c r="N75" s="24"/>
      <c r="O75" s="23"/>
      <c r="P75" s="75"/>
      <c r="Q75" s="72"/>
      <c r="S75" s="51"/>
      <c r="T75" s="51"/>
      <c r="U75" s="51"/>
      <c r="V75" s="70"/>
      <c r="W75" s="77"/>
      <c r="X75" s="70"/>
      <c r="Y75" s="70"/>
      <c r="Z75" s="70"/>
      <c r="AB75" s="63"/>
      <c r="AC75" s="33"/>
      <c r="AD75" s="64"/>
      <c r="AE75" s="64"/>
      <c r="AF75" s="43"/>
      <c r="AG75" s="64"/>
    </row>
    <row r="76" spans="2:33">
      <c r="B76" s="15"/>
      <c r="C76" s="13"/>
      <c r="D76" s="26"/>
      <c r="E76" s="26"/>
      <c r="F76" s="14"/>
      <c r="G76" s="14"/>
      <c r="H76" s="14"/>
      <c r="I76" s="15"/>
      <c r="J76" s="37"/>
      <c r="K76" s="54"/>
      <c r="L76" s="54"/>
      <c r="M76" s="24"/>
      <c r="N76" s="24"/>
      <c r="O76" s="23"/>
      <c r="P76" s="75"/>
      <c r="Q76" s="72"/>
      <c r="S76" s="51"/>
      <c r="T76" s="51"/>
      <c r="U76" s="51"/>
      <c r="V76" s="70"/>
      <c r="W76" s="77"/>
      <c r="X76" s="70"/>
      <c r="Y76" s="70"/>
      <c r="Z76" s="70"/>
      <c r="AB76" s="63"/>
      <c r="AC76" s="33"/>
      <c r="AD76" s="64"/>
      <c r="AE76" s="64"/>
      <c r="AF76" s="43"/>
      <c r="AG76" s="64"/>
    </row>
    <row r="77" spans="2:33">
      <c r="B77" s="15"/>
      <c r="C77" s="13"/>
      <c r="D77" s="26"/>
      <c r="E77" s="26"/>
      <c r="F77" s="14"/>
      <c r="G77" s="14"/>
      <c r="H77" s="14"/>
      <c r="I77" s="15"/>
      <c r="J77" s="37"/>
      <c r="K77" s="54"/>
      <c r="L77" s="54"/>
      <c r="M77" s="24"/>
      <c r="N77" s="24"/>
      <c r="O77" s="23"/>
      <c r="P77" s="75"/>
      <c r="Q77" s="72"/>
      <c r="S77" s="51"/>
      <c r="T77" s="51"/>
      <c r="U77" s="51"/>
      <c r="V77" s="70"/>
      <c r="W77" s="77"/>
      <c r="X77" s="70"/>
      <c r="Y77" s="70"/>
      <c r="Z77" s="70"/>
      <c r="AB77" s="63"/>
      <c r="AC77" s="33"/>
      <c r="AD77" s="64"/>
      <c r="AE77" s="64"/>
      <c r="AF77" s="43"/>
      <c r="AG77" s="64"/>
    </row>
    <row r="78" spans="2:33">
      <c r="B78" s="15"/>
      <c r="C78" s="13"/>
      <c r="D78" s="26"/>
      <c r="E78" s="26"/>
      <c r="F78" s="14"/>
      <c r="G78" s="14"/>
      <c r="H78" s="14"/>
      <c r="I78" s="15"/>
      <c r="J78" s="37"/>
      <c r="K78" s="54"/>
      <c r="L78" s="54"/>
      <c r="M78" s="24"/>
      <c r="N78" s="24"/>
      <c r="O78" s="23"/>
      <c r="P78" s="75"/>
      <c r="Q78" s="72"/>
      <c r="S78" s="51"/>
      <c r="T78" s="51"/>
      <c r="U78" s="51"/>
      <c r="V78" s="70"/>
      <c r="W78" s="77"/>
      <c r="X78" s="70"/>
      <c r="Y78" s="70"/>
      <c r="Z78" s="70"/>
      <c r="AB78" s="63"/>
      <c r="AC78" s="33"/>
      <c r="AD78" s="64"/>
      <c r="AE78" s="64"/>
      <c r="AF78" s="43"/>
      <c r="AG78" s="64"/>
    </row>
    <row r="79" spans="2:33">
      <c r="B79" s="15"/>
      <c r="C79" s="13"/>
      <c r="D79" s="26"/>
      <c r="E79" s="26"/>
      <c r="F79" s="14"/>
      <c r="G79" s="14"/>
      <c r="H79" s="14"/>
      <c r="I79" s="15"/>
      <c r="J79" s="37"/>
      <c r="K79" s="54"/>
      <c r="L79" s="54"/>
      <c r="M79" s="24"/>
      <c r="N79" s="24"/>
      <c r="O79" s="23"/>
      <c r="P79" s="75"/>
      <c r="Q79" s="72"/>
      <c r="S79" s="51"/>
      <c r="T79" s="51"/>
      <c r="U79" s="51"/>
      <c r="V79" s="70"/>
      <c r="W79" s="77"/>
      <c r="X79" s="70"/>
      <c r="Y79" s="70"/>
      <c r="Z79" s="70"/>
      <c r="AB79" s="63"/>
      <c r="AC79" s="33"/>
      <c r="AD79" s="64"/>
      <c r="AE79" s="64"/>
      <c r="AF79" s="43"/>
      <c r="AG79" s="64"/>
    </row>
    <row r="80" spans="2:33">
      <c r="B80" s="15"/>
      <c r="C80" s="42"/>
      <c r="D80" s="59"/>
      <c r="E80" s="26"/>
      <c r="F80" s="14"/>
      <c r="G80" s="14"/>
      <c r="H80" s="14"/>
      <c r="I80" s="15"/>
      <c r="J80" s="37"/>
      <c r="K80" s="54"/>
      <c r="L80" s="54"/>
      <c r="M80" s="24"/>
      <c r="N80" s="24"/>
      <c r="O80" s="23"/>
      <c r="P80" s="75"/>
      <c r="Q80" s="72"/>
      <c r="S80" s="51"/>
      <c r="T80" s="51"/>
      <c r="U80" s="51"/>
      <c r="V80" s="70"/>
      <c r="W80" s="77"/>
      <c r="X80" s="70"/>
      <c r="Y80" s="70"/>
      <c r="Z80" s="70"/>
      <c r="AB80" s="63"/>
      <c r="AC80" s="33"/>
      <c r="AD80" s="64"/>
      <c r="AE80" s="64"/>
      <c r="AF80" s="43"/>
      <c r="AG80" s="64"/>
    </row>
    <row r="81" spans="2:33">
      <c r="B81" s="15"/>
      <c r="C81" s="42"/>
      <c r="D81" s="59"/>
      <c r="E81" s="26"/>
      <c r="F81" s="14"/>
      <c r="G81" s="14"/>
      <c r="H81" s="14"/>
      <c r="I81" s="15"/>
      <c r="J81" s="37"/>
      <c r="K81" s="54"/>
      <c r="L81" s="54"/>
      <c r="M81" s="24"/>
      <c r="N81" s="24"/>
      <c r="O81" s="23"/>
      <c r="P81" s="75"/>
      <c r="Q81" s="72"/>
      <c r="S81" s="51"/>
      <c r="T81" s="51"/>
      <c r="U81" s="51"/>
      <c r="V81" s="70"/>
      <c r="W81" s="77"/>
      <c r="X81" s="70"/>
      <c r="Y81" s="70"/>
      <c r="Z81" s="70"/>
      <c r="AB81" s="63"/>
      <c r="AC81" s="33"/>
      <c r="AD81" s="64"/>
      <c r="AE81" s="64"/>
      <c r="AF81" s="43"/>
      <c r="AG81" s="64"/>
    </row>
    <row r="82" spans="2:33">
      <c r="B82" s="15"/>
      <c r="C82" s="13"/>
      <c r="D82" s="26"/>
      <c r="E82" s="26"/>
      <c r="F82" s="14"/>
      <c r="G82" s="14"/>
      <c r="H82" s="14"/>
      <c r="I82" s="15"/>
      <c r="J82" s="37"/>
      <c r="K82" s="54"/>
      <c r="L82" s="54"/>
      <c r="M82" s="24"/>
      <c r="N82" s="24"/>
      <c r="O82" s="23"/>
      <c r="P82" s="75"/>
      <c r="Q82" s="72"/>
      <c r="S82" s="51"/>
      <c r="T82" s="51"/>
      <c r="U82" s="51"/>
      <c r="V82" s="70"/>
      <c r="W82" s="77"/>
      <c r="X82" s="70"/>
      <c r="Y82" s="70"/>
      <c r="Z82" s="70"/>
      <c r="AB82" s="63"/>
      <c r="AC82" s="33"/>
      <c r="AD82" s="64"/>
      <c r="AE82" s="64"/>
      <c r="AF82" s="43"/>
      <c r="AG82" s="64"/>
    </row>
    <row r="83" spans="2:33">
      <c r="B83" s="15"/>
      <c r="C83" s="13"/>
      <c r="D83" s="26"/>
      <c r="E83" s="26"/>
      <c r="F83" s="14"/>
      <c r="G83" s="14"/>
      <c r="H83" s="14"/>
      <c r="I83" s="15"/>
      <c r="J83" s="37"/>
      <c r="K83" s="54"/>
      <c r="L83" s="54"/>
      <c r="M83" s="24"/>
      <c r="N83" s="24"/>
      <c r="O83" s="23"/>
      <c r="P83" s="75"/>
      <c r="Q83" s="72"/>
      <c r="S83" s="51"/>
      <c r="T83" s="51"/>
      <c r="U83" s="51"/>
      <c r="V83" s="70"/>
      <c r="W83" s="77"/>
      <c r="X83" s="70"/>
      <c r="Y83" s="70"/>
      <c r="Z83" s="70"/>
      <c r="AB83" s="63"/>
      <c r="AC83" s="33"/>
      <c r="AD83" s="64"/>
      <c r="AE83" s="64"/>
      <c r="AF83" s="43"/>
      <c r="AG83" s="64"/>
    </row>
    <row r="84" spans="2:33">
      <c r="B84" s="15"/>
      <c r="C84" s="13"/>
      <c r="D84" s="26"/>
      <c r="E84" s="26"/>
      <c r="F84" s="14"/>
      <c r="G84" s="14"/>
      <c r="H84" s="14"/>
      <c r="I84" s="15"/>
      <c r="J84" s="37"/>
      <c r="K84" s="54"/>
      <c r="L84" s="54"/>
      <c r="M84" s="24"/>
      <c r="N84" s="24"/>
      <c r="O84" s="23"/>
      <c r="P84" s="75"/>
      <c r="Q84" s="72"/>
      <c r="S84" s="51"/>
      <c r="T84" s="51"/>
      <c r="U84" s="51"/>
      <c r="V84" s="70"/>
      <c r="W84" s="77"/>
      <c r="X84" s="70"/>
      <c r="Y84" s="70"/>
      <c r="Z84" s="70"/>
      <c r="AB84" s="63"/>
      <c r="AC84" s="33"/>
      <c r="AD84" s="64"/>
      <c r="AE84" s="64"/>
      <c r="AF84" s="43"/>
      <c r="AG84" s="64"/>
    </row>
    <row r="85" spans="2:33">
      <c r="B85" s="15"/>
      <c r="C85" s="13"/>
      <c r="D85" s="26"/>
      <c r="E85" s="26"/>
      <c r="F85" s="14"/>
      <c r="G85" s="14"/>
      <c r="H85" s="14"/>
      <c r="I85" s="15"/>
      <c r="J85" s="37"/>
      <c r="K85" s="54"/>
      <c r="L85" s="54"/>
      <c r="M85" s="24"/>
      <c r="N85" s="24"/>
      <c r="O85" s="23"/>
      <c r="P85" s="75"/>
      <c r="Q85" s="72"/>
      <c r="S85" s="51"/>
      <c r="T85" s="51"/>
      <c r="U85" s="51"/>
      <c r="V85" s="70"/>
      <c r="W85" s="73"/>
      <c r="X85" s="70"/>
      <c r="Y85" s="70"/>
      <c r="Z85" s="70"/>
      <c r="AB85" s="63"/>
      <c r="AC85" s="33"/>
      <c r="AD85" s="64"/>
      <c r="AE85" s="64"/>
      <c r="AF85" s="43"/>
      <c r="AG85" s="64"/>
    </row>
    <row r="86" spans="2:33">
      <c r="B86" s="15"/>
      <c r="C86" s="13"/>
      <c r="D86" s="26"/>
      <c r="E86" s="26"/>
      <c r="F86" s="14"/>
      <c r="G86" s="14"/>
      <c r="H86" s="14"/>
      <c r="I86" s="15"/>
      <c r="J86" s="37"/>
      <c r="K86" s="54"/>
      <c r="L86" s="54"/>
      <c r="M86" s="24"/>
      <c r="N86" s="24"/>
      <c r="O86" s="23"/>
      <c r="P86" s="75"/>
      <c r="Q86" s="72"/>
      <c r="S86" s="51"/>
      <c r="T86" s="51"/>
      <c r="U86" s="51"/>
      <c r="V86" s="70"/>
      <c r="W86" s="73"/>
      <c r="X86" s="70"/>
      <c r="Y86" s="70"/>
      <c r="Z86" s="70"/>
      <c r="AB86" s="63"/>
      <c r="AC86" s="33"/>
      <c r="AD86" s="64"/>
      <c r="AE86" s="64"/>
      <c r="AF86" s="43"/>
      <c r="AG86" s="64"/>
    </row>
    <row r="87" spans="2:33">
      <c r="B87" s="15"/>
      <c r="C87" s="13"/>
      <c r="D87" s="26"/>
      <c r="E87" s="26"/>
      <c r="F87" s="14"/>
      <c r="G87" s="14"/>
      <c r="H87" s="14"/>
      <c r="I87" s="15"/>
      <c r="J87" s="37"/>
      <c r="K87" s="54"/>
      <c r="L87" s="54"/>
      <c r="M87" s="24"/>
      <c r="N87" s="24"/>
      <c r="O87" s="23"/>
      <c r="P87" s="75"/>
      <c r="Q87" s="72"/>
      <c r="S87" s="51"/>
      <c r="T87" s="51"/>
      <c r="U87" s="51"/>
      <c r="V87" s="70"/>
      <c r="W87" s="77"/>
      <c r="X87" s="70"/>
      <c r="Y87" s="70"/>
      <c r="Z87" s="70"/>
      <c r="AB87" s="63"/>
      <c r="AC87" s="33"/>
      <c r="AD87" s="64"/>
      <c r="AE87" s="64"/>
      <c r="AF87" s="43"/>
      <c r="AG87" s="64"/>
    </row>
    <row r="88" spans="2:33">
      <c r="B88" s="15"/>
      <c r="C88" s="13"/>
      <c r="D88" s="26"/>
      <c r="E88" s="26"/>
      <c r="F88" s="14"/>
      <c r="G88" s="14"/>
      <c r="H88" s="14"/>
      <c r="I88" s="15"/>
      <c r="J88" s="37"/>
      <c r="K88" s="54"/>
      <c r="L88" s="54"/>
      <c r="M88" s="24"/>
      <c r="N88" s="24"/>
      <c r="O88" s="23"/>
      <c r="P88" s="75"/>
      <c r="Q88" s="72"/>
      <c r="S88" s="51"/>
      <c r="T88" s="51"/>
      <c r="U88" s="51"/>
      <c r="V88" s="70"/>
      <c r="W88" s="77"/>
      <c r="X88" s="70"/>
      <c r="Y88" s="70"/>
      <c r="Z88" s="70"/>
      <c r="AB88" s="63"/>
      <c r="AC88" s="33"/>
      <c r="AD88" s="64"/>
      <c r="AE88" s="64"/>
      <c r="AF88" s="43"/>
      <c r="AG88" s="64"/>
    </row>
    <row r="89" spans="2:33">
      <c r="B89" s="15"/>
      <c r="C89" s="13"/>
      <c r="D89" s="26"/>
      <c r="E89" s="26"/>
      <c r="F89" s="14"/>
      <c r="G89" s="14"/>
      <c r="H89" s="14"/>
      <c r="I89" s="15"/>
      <c r="J89" s="37"/>
      <c r="K89" s="54"/>
      <c r="L89" s="54"/>
      <c r="M89" s="24"/>
      <c r="N89" s="24"/>
      <c r="O89" s="23"/>
      <c r="P89" s="75"/>
      <c r="Q89" s="72"/>
      <c r="S89" s="51"/>
      <c r="T89" s="51"/>
      <c r="U89" s="51"/>
      <c r="V89" s="70"/>
      <c r="W89" s="77"/>
      <c r="X89" s="70"/>
      <c r="Y89" s="70"/>
      <c r="Z89" s="70"/>
      <c r="AB89" s="63"/>
      <c r="AC89" s="33"/>
      <c r="AD89" s="64"/>
      <c r="AE89" s="64"/>
      <c r="AF89" s="43"/>
      <c r="AG89" s="64"/>
    </row>
    <row r="90" spans="2:33">
      <c r="B90" s="15"/>
      <c r="C90" s="13"/>
      <c r="D90" s="26"/>
      <c r="E90" s="26"/>
      <c r="F90" s="14"/>
      <c r="G90" s="14"/>
      <c r="H90" s="14"/>
      <c r="I90" s="15"/>
      <c r="J90" s="37"/>
      <c r="K90" s="54"/>
      <c r="L90" s="54"/>
      <c r="M90" s="24"/>
      <c r="N90" s="24"/>
      <c r="O90" s="23"/>
      <c r="P90" s="75"/>
      <c r="Q90" s="72"/>
      <c r="S90" s="51"/>
      <c r="T90" s="51"/>
      <c r="U90" s="51"/>
      <c r="V90" s="70"/>
      <c r="W90" s="77"/>
      <c r="X90" s="70"/>
      <c r="Y90" s="70"/>
      <c r="Z90" s="70"/>
      <c r="AB90" s="63"/>
      <c r="AC90" s="33"/>
      <c r="AD90" s="64"/>
      <c r="AE90" s="64"/>
      <c r="AF90" s="43"/>
      <c r="AG90" s="64"/>
    </row>
    <row r="91" spans="2:33">
      <c r="B91" s="15"/>
      <c r="C91" s="13"/>
      <c r="D91" s="26"/>
      <c r="E91" s="26"/>
      <c r="F91" s="14"/>
      <c r="G91" s="14"/>
      <c r="H91" s="14"/>
      <c r="I91" s="15"/>
      <c r="J91" s="37"/>
      <c r="K91" s="54"/>
      <c r="L91" s="54"/>
      <c r="M91" s="24"/>
      <c r="N91" s="24"/>
      <c r="O91" s="23"/>
      <c r="P91" s="75"/>
      <c r="Q91" s="72"/>
      <c r="S91" s="51"/>
      <c r="T91" s="51"/>
      <c r="U91" s="51"/>
      <c r="V91" s="70"/>
      <c r="W91" s="77"/>
      <c r="X91" s="70"/>
      <c r="Y91" s="70"/>
      <c r="Z91" s="70"/>
      <c r="AB91" s="63"/>
      <c r="AC91" s="33"/>
      <c r="AD91" s="64"/>
      <c r="AE91" s="64"/>
      <c r="AF91" s="43"/>
      <c r="AG91" s="64"/>
    </row>
    <row r="92" spans="2:33">
      <c r="B92" s="15"/>
      <c r="C92" s="13"/>
      <c r="D92" s="26"/>
      <c r="E92" s="26"/>
      <c r="F92" s="14"/>
      <c r="G92" s="14"/>
      <c r="H92" s="14"/>
      <c r="I92" s="15"/>
      <c r="J92" s="37"/>
      <c r="K92" s="54"/>
      <c r="L92" s="54"/>
      <c r="M92" s="24"/>
      <c r="N92" s="24"/>
      <c r="O92" s="23"/>
      <c r="P92" s="75"/>
      <c r="Q92" s="72"/>
      <c r="S92" s="51"/>
      <c r="T92" s="51"/>
      <c r="U92" s="51"/>
      <c r="V92" s="70"/>
      <c r="W92" s="73"/>
      <c r="X92" s="70"/>
      <c r="Y92" s="70"/>
      <c r="Z92" s="70"/>
      <c r="AB92" s="63"/>
      <c r="AC92" s="33"/>
      <c r="AD92" s="64"/>
      <c r="AE92" s="64"/>
      <c r="AF92" s="43"/>
      <c r="AG92" s="64"/>
    </row>
    <row r="93" spans="2:33">
      <c r="B93" s="15"/>
      <c r="C93" s="13"/>
      <c r="D93" s="26"/>
      <c r="E93" s="26"/>
      <c r="F93" s="14"/>
      <c r="G93" s="14"/>
      <c r="H93" s="14"/>
      <c r="I93" s="15"/>
      <c r="J93" s="37"/>
      <c r="K93" s="54"/>
      <c r="L93" s="54"/>
      <c r="M93" s="24"/>
      <c r="N93" s="24"/>
      <c r="O93" s="23"/>
      <c r="P93" s="75"/>
      <c r="Q93" s="72"/>
      <c r="S93" s="51"/>
      <c r="T93" s="51"/>
      <c r="U93" s="51"/>
      <c r="V93" s="70"/>
      <c r="W93" s="77"/>
      <c r="X93" s="70"/>
      <c r="Y93" s="70"/>
      <c r="Z93" s="70"/>
      <c r="AB93" s="63"/>
      <c r="AC93" s="33"/>
      <c r="AD93" s="64"/>
      <c r="AE93" s="64"/>
      <c r="AF93" s="43"/>
      <c r="AG93" s="64"/>
    </row>
    <row r="94" spans="2:33">
      <c r="B94" s="15"/>
      <c r="C94" s="13"/>
      <c r="D94" s="26"/>
      <c r="E94" s="26"/>
      <c r="F94" s="14"/>
      <c r="G94" s="14"/>
      <c r="H94" s="14"/>
      <c r="I94" s="15"/>
      <c r="J94" s="37"/>
      <c r="K94" s="54"/>
      <c r="L94" s="54"/>
      <c r="M94" s="24"/>
      <c r="N94" s="24"/>
      <c r="O94" s="23"/>
      <c r="P94" s="75"/>
      <c r="Q94" s="72"/>
      <c r="S94" s="51"/>
      <c r="T94" s="51"/>
      <c r="U94" s="51"/>
      <c r="V94" s="70"/>
      <c r="W94" s="77"/>
      <c r="X94" s="70"/>
      <c r="Y94" s="70"/>
      <c r="Z94" s="70"/>
      <c r="AB94" s="63"/>
      <c r="AC94" s="33"/>
      <c r="AD94" s="64"/>
      <c r="AE94" s="64"/>
      <c r="AF94" s="43"/>
      <c r="AG94" s="64"/>
    </row>
    <row r="95" spans="2:33">
      <c r="B95" s="15"/>
      <c r="C95" s="13"/>
      <c r="D95" s="26"/>
      <c r="E95" s="26"/>
      <c r="F95" s="14"/>
      <c r="G95" s="14"/>
      <c r="H95" s="14"/>
      <c r="I95" s="15"/>
      <c r="J95" s="37"/>
      <c r="K95" s="54"/>
      <c r="L95" s="54"/>
      <c r="M95" s="24"/>
      <c r="N95" s="24"/>
      <c r="O95" s="23"/>
      <c r="P95" s="75"/>
      <c r="Q95" s="72"/>
      <c r="S95" s="51"/>
      <c r="T95" s="51"/>
      <c r="U95" s="51"/>
      <c r="V95" s="70"/>
      <c r="W95" s="77"/>
      <c r="X95" s="70"/>
      <c r="Y95" s="70"/>
      <c r="Z95" s="70"/>
      <c r="AB95" s="63"/>
      <c r="AC95" s="33"/>
      <c r="AD95" s="64"/>
      <c r="AE95" s="64"/>
      <c r="AF95" s="43"/>
      <c r="AG95" s="64"/>
    </row>
    <row r="96" spans="2:33">
      <c r="B96" s="15"/>
      <c r="C96" s="13"/>
      <c r="D96" s="26"/>
      <c r="E96" s="26"/>
      <c r="F96" s="14"/>
      <c r="G96" s="14"/>
      <c r="H96" s="14"/>
      <c r="I96" s="15"/>
      <c r="J96" s="37"/>
      <c r="K96" s="54"/>
      <c r="L96" s="54"/>
      <c r="M96" s="24"/>
      <c r="N96" s="24"/>
      <c r="O96" s="23"/>
      <c r="P96" s="75"/>
      <c r="Q96" s="72"/>
      <c r="S96" s="51"/>
      <c r="T96" s="51"/>
      <c r="U96" s="51"/>
      <c r="V96" s="70"/>
      <c r="W96" s="73"/>
      <c r="X96" s="70"/>
      <c r="Y96" s="70"/>
      <c r="Z96" s="70"/>
      <c r="AB96" s="63"/>
      <c r="AC96" s="33"/>
      <c r="AD96" s="64"/>
      <c r="AE96" s="64"/>
      <c r="AF96" s="43"/>
      <c r="AG96" s="64"/>
    </row>
    <row r="97" spans="2:33">
      <c r="B97" s="15"/>
      <c r="C97" s="13"/>
      <c r="D97" s="26"/>
      <c r="E97" s="26"/>
      <c r="F97" s="14"/>
      <c r="G97" s="14"/>
      <c r="H97" s="14"/>
      <c r="I97" s="15"/>
      <c r="J97" s="37"/>
      <c r="K97" s="54"/>
      <c r="L97" s="54"/>
      <c r="M97" s="24"/>
      <c r="N97" s="24"/>
      <c r="O97" s="23"/>
      <c r="P97" s="75"/>
      <c r="Q97" s="72"/>
      <c r="S97" s="51"/>
      <c r="T97" s="51"/>
      <c r="U97" s="51"/>
      <c r="V97" s="70"/>
      <c r="W97" s="79"/>
      <c r="X97" s="70"/>
      <c r="Y97" s="70"/>
      <c r="Z97" s="70"/>
      <c r="AB97" s="63"/>
      <c r="AC97" s="33"/>
      <c r="AD97" s="64"/>
      <c r="AE97" s="64"/>
      <c r="AF97" s="43"/>
      <c r="AG97" s="64"/>
    </row>
    <row r="98" spans="2:33">
      <c r="B98" s="15"/>
      <c r="C98" s="13"/>
      <c r="D98" s="26"/>
      <c r="E98" s="26"/>
      <c r="F98" s="14"/>
      <c r="G98" s="14"/>
      <c r="H98" s="14"/>
      <c r="I98" s="15"/>
      <c r="J98" s="37"/>
      <c r="K98" s="54"/>
      <c r="L98" s="54"/>
      <c r="M98" s="24"/>
      <c r="N98" s="24"/>
      <c r="O98" s="23"/>
      <c r="P98" s="75"/>
      <c r="Q98" s="72"/>
      <c r="S98" s="51"/>
      <c r="T98" s="51"/>
      <c r="U98" s="51"/>
      <c r="V98" s="70"/>
      <c r="W98" s="79"/>
      <c r="X98" s="70"/>
      <c r="Y98" s="70"/>
      <c r="Z98" s="70"/>
      <c r="AB98" s="63"/>
      <c r="AC98" s="33"/>
      <c r="AD98" s="64"/>
      <c r="AE98" s="64"/>
      <c r="AF98" s="43"/>
      <c r="AG98" s="64"/>
    </row>
    <row r="99" spans="2:33">
      <c r="B99" s="15"/>
      <c r="C99" s="42"/>
      <c r="D99" s="59"/>
      <c r="E99" s="26"/>
      <c r="F99" s="14"/>
      <c r="G99" s="14"/>
      <c r="H99" s="14"/>
      <c r="I99" s="15"/>
      <c r="J99" s="37"/>
      <c r="K99" s="54"/>
      <c r="L99" s="54"/>
      <c r="M99" s="24"/>
      <c r="N99" s="24"/>
      <c r="O99" s="23"/>
      <c r="P99" s="75"/>
      <c r="Q99" s="72"/>
      <c r="S99" s="51"/>
      <c r="T99" s="51"/>
      <c r="U99" s="51"/>
      <c r="V99" s="70"/>
      <c r="W99" s="79"/>
      <c r="X99" s="70"/>
      <c r="Y99" s="70"/>
      <c r="Z99" s="70"/>
      <c r="AB99" s="63"/>
      <c r="AC99" s="33"/>
      <c r="AD99" s="64"/>
      <c r="AE99" s="64"/>
      <c r="AF99" s="43"/>
      <c r="AG99" s="64"/>
    </row>
    <row r="100" spans="2:33">
      <c r="B100" s="15"/>
      <c r="C100" s="42"/>
      <c r="D100" s="59"/>
      <c r="E100" s="26"/>
      <c r="F100" s="14"/>
      <c r="G100" s="14"/>
      <c r="H100" s="14"/>
      <c r="I100" s="15"/>
      <c r="J100" s="37"/>
      <c r="K100" s="54"/>
      <c r="L100" s="54"/>
      <c r="M100" s="24"/>
      <c r="N100" s="24"/>
      <c r="O100" s="23"/>
      <c r="P100" s="75"/>
      <c r="Q100" s="72"/>
      <c r="S100" s="51"/>
      <c r="T100" s="51"/>
      <c r="U100" s="51"/>
      <c r="V100" s="70"/>
      <c r="W100" s="79"/>
      <c r="X100" s="70"/>
      <c r="Y100" s="70"/>
      <c r="Z100" s="70"/>
      <c r="AB100" s="63"/>
      <c r="AC100" s="33"/>
      <c r="AD100" s="64"/>
      <c r="AE100" s="64"/>
      <c r="AF100" s="43"/>
      <c r="AG100" s="64"/>
    </row>
    <row r="101" spans="2:33">
      <c r="B101" s="15"/>
      <c r="C101" s="13"/>
      <c r="D101" s="26"/>
      <c r="E101" s="26"/>
      <c r="F101" s="14"/>
      <c r="G101" s="14"/>
      <c r="H101" s="14"/>
      <c r="I101" s="15"/>
      <c r="J101" s="37"/>
      <c r="K101" s="54"/>
      <c r="L101" s="54"/>
      <c r="M101" s="24"/>
      <c r="N101" s="24"/>
      <c r="O101" s="23"/>
      <c r="P101" s="75"/>
      <c r="Q101" s="72"/>
      <c r="S101" s="51"/>
      <c r="T101" s="51"/>
      <c r="U101" s="51"/>
      <c r="V101" s="70"/>
      <c r="W101" s="79"/>
      <c r="X101" s="70"/>
      <c r="Y101" s="70"/>
      <c r="Z101" s="70"/>
      <c r="AB101" s="63"/>
      <c r="AC101" s="33"/>
      <c r="AD101" s="64"/>
      <c r="AE101" s="64"/>
      <c r="AF101" s="43"/>
      <c r="AG101" s="64"/>
    </row>
    <row r="102" spans="2:33">
      <c r="B102" s="15"/>
      <c r="C102" s="13"/>
      <c r="D102" s="26"/>
      <c r="E102" s="26"/>
      <c r="F102" s="14"/>
      <c r="G102" s="14"/>
      <c r="H102" s="14"/>
      <c r="I102" s="15"/>
      <c r="J102" s="37"/>
      <c r="K102" s="54"/>
      <c r="L102" s="54"/>
      <c r="M102" s="24"/>
      <c r="N102" s="24"/>
      <c r="O102" s="23"/>
      <c r="P102" s="75"/>
      <c r="Q102" s="72"/>
      <c r="S102" s="51"/>
      <c r="T102" s="51"/>
      <c r="U102" s="51"/>
      <c r="V102" s="70"/>
      <c r="W102" s="79"/>
      <c r="X102" s="70"/>
      <c r="Y102" s="70"/>
      <c r="Z102" s="70"/>
      <c r="AB102" s="63"/>
      <c r="AC102" s="33"/>
      <c r="AD102" s="64"/>
      <c r="AE102" s="64"/>
      <c r="AF102" s="43"/>
      <c r="AG102" s="64"/>
    </row>
    <row r="103" spans="2:33">
      <c r="B103" s="15"/>
      <c r="C103" s="13"/>
      <c r="D103" s="26"/>
      <c r="E103" s="26"/>
      <c r="F103" s="14"/>
      <c r="G103" s="14"/>
      <c r="H103" s="14"/>
      <c r="I103" s="15"/>
      <c r="J103" s="37"/>
      <c r="K103" s="54"/>
      <c r="L103" s="54"/>
      <c r="M103" s="24"/>
      <c r="N103" s="24"/>
      <c r="O103" s="23"/>
      <c r="P103" s="75"/>
      <c r="Q103" s="72"/>
      <c r="S103" s="51"/>
      <c r="T103" s="51"/>
      <c r="U103" s="51"/>
      <c r="V103" s="70"/>
      <c r="W103" s="79"/>
      <c r="X103" s="70"/>
      <c r="Y103" s="70"/>
      <c r="Z103" s="70"/>
      <c r="AB103" s="63"/>
      <c r="AC103" s="33"/>
      <c r="AD103" s="64"/>
      <c r="AE103" s="64"/>
      <c r="AF103" s="43"/>
      <c r="AG103" s="64"/>
    </row>
    <row r="104" spans="2:33">
      <c r="B104" s="15"/>
      <c r="C104" s="13"/>
      <c r="D104" s="26"/>
      <c r="E104" s="26"/>
      <c r="F104" s="14"/>
      <c r="G104" s="14"/>
      <c r="H104" s="14"/>
      <c r="I104" s="15"/>
      <c r="J104" s="37"/>
      <c r="K104" s="54"/>
      <c r="L104" s="54"/>
      <c r="M104" s="24"/>
      <c r="N104" s="24"/>
      <c r="O104" s="23"/>
      <c r="P104" s="75"/>
      <c r="Q104" s="72"/>
      <c r="S104" s="51"/>
      <c r="T104" s="51"/>
      <c r="U104" s="51"/>
      <c r="V104" s="70"/>
      <c r="W104" s="79"/>
      <c r="X104" s="70"/>
      <c r="Y104" s="70"/>
      <c r="Z104" s="70"/>
      <c r="AB104" s="63"/>
      <c r="AC104" s="33"/>
      <c r="AD104" s="64"/>
      <c r="AE104" s="64"/>
      <c r="AF104" s="43"/>
      <c r="AG104" s="64"/>
    </row>
    <row r="105" spans="2:33">
      <c r="B105" s="15"/>
      <c r="C105" s="13"/>
      <c r="D105" s="26"/>
      <c r="E105" s="26"/>
      <c r="F105" s="14"/>
      <c r="G105" s="14"/>
      <c r="H105" s="14"/>
      <c r="I105" s="15"/>
      <c r="J105" s="37"/>
      <c r="K105" s="54"/>
      <c r="L105" s="54"/>
      <c r="M105" s="24"/>
      <c r="N105" s="24"/>
      <c r="O105" s="23"/>
      <c r="P105" s="75"/>
      <c r="Q105" s="72"/>
      <c r="S105" s="51"/>
      <c r="T105" s="51"/>
      <c r="U105" s="51"/>
      <c r="V105" s="70"/>
      <c r="W105" s="79"/>
      <c r="X105" s="70"/>
      <c r="Y105" s="70"/>
      <c r="Z105" s="70"/>
      <c r="AB105" s="63"/>
      <c r="AC105" s="33"/>
      <c r="AD105" s="64"/>
      <c r="AE105" s="64"/>
      <c r="AF105" s="43"/>
      <c r="AG105" s="64"/>
    </row>
    <row r="106" spans="2:33">
      <c r="B106" s="15"/>
      <c r="C106" s="13"/>
      <c r="D106" s="26"/>
      <c r="E106" s="26"/>
      <c r="F106" s="14"/>
      <c r="G106" s="14"/>
      <c r="H106" s="14"/>
      <c r="I106" s="15"/>
      <c r="J106" s="37"/>
      <c r="K106" s="54"/>
      <c r="L106" s="54"/>
      <c r="M106" s="24"/>
      <c r="N106" s="24"/>
      <c r="O106" s="23"/>
      <c r="P106" s="75"/>
      <c r="Q106" s="72"/>
      <c r="S106" s="51"/>
      <c r="T106" s="51"/>
      <c r="U106" s="51"/>
      <c r="V106" s="70"/>
      <c r="W106" s="79"/>
      <c r="X106" s="70"/>
      <c r="Y106" s="70"/>
      <c r="Z106" s="70"/>
      <c r="AB106" s="63"/>
      <c r="AC106" s="33"/>
      <c r="AD106" s="64"/>
      <c r="AE106" s="64"/>
      <c r="AF106" s="43"/>
      <c r="AG106" s="64"/>
    </row>
    <row r="107" spans="2:33">
      <c r="B107" s="15"/>
      <c r="C107" s="13"/>
      <c r="D107" s="26"/>
      <c r="E107" s="26"/>
      <c r="F107" s="14"/>
      <c r="G107" s="14"/>
      <c r="H107" s="14"/>
      <c r="I107" s="15"/>
      <c r="J107" s="37"/>
      <c r="K107" s="54"/>
      <c r="L107" s="54"/>
      <c r="M107" s="24"/>
      <c r="N107" s="24"/>
      <c r="O107" s="23"/>
      <c r="P107" s="75"/>
      <c r="Q107" s="72"/>
      <c r="S107" s="51"/>
      <c r="T107" s="51"/>
      <c r="U107" s="51"/>
      <c r="V107" s="70"/>
      <c r="W107" s="79"/>
      <c r="X107" s="70"/>
      <c r="Y107" s="70"/>
      <c r="Z107" s="70"/>
      <c r="AB107" s="63"/>
      <c r="AC107" s="33"/>
      <c r="AD107" s="64"/>
      <c r="AE107" s="64"/>
      <c r="AF107" s="43"/>
      <c r="AG107" s="64"/>
    </row>
    <row r="108" spans="2:33">
      <c r="B108" s="15"/>
      <c r="C108" s="13"/>
      <c r="D108" s="26"/>
      <c r="E108" s="26"/>
      <c r="F108" s="14"/>
      <c r="G108" s="14"/>
      <c r="H108" s="14"/>
      <c r="I108" s="15"/>
      <c r="J108" s="37"/>
      <c r="K108" s="54"/>
      <c r="L108" s="54"/>
      <c r="M108" s="24"/>
      <c r="N108" s="24"/>
      <c r="O108" s="23"/>
      <c r="P108" s="75"/>
      <c r="Q108" s="72"/>
      <c r="S108" s="51"/>
      <c r="T108" s="51"/>
      <c r="U108" s="51"/>
      <c r="V108" s="70"/>
      <c r="W108" s="79"/>
      <c r="X108" s="70"/>
      <c r="Y108" s="70"/>
      <c r="Z108" s="70"/>
      <c r="AB108" s="63"/>
      <c r="AC108" s="33"/>
      <c r="AD108" s="64"/>
      <c r="AE108" s="64"/>
      <c r="AF108" s="43"/>
      <c r="AG108" s="64"/>
    </row>
    <row r="109" spans="2:33">
      <c r="B109" s="15"/>
      <c r="C109" s="13"/>
      <c r="D109" s="26"/>
      <c r="E109" s="26"/>
      <c r="F109" s="14"/>
      <c r="G109" s="14"/>
      <c r="H109" s="14"/>
      <c r="I109" s="15"/>
      <c r="J109" s="37"/>
      <c r="K109" s="54"/>
      <c r="L109" s="54"/>
      <c r="M109" s="24"/>
      <c r="N109" s="24"/>
      <c r="O109" s="23"/>
      <c r="P109" s="75"/>
      <c r="Q109" s="72"/>
      <c r="S109" s="51"/>
      <c r="T109" s="51"/>
      <c r="U109" s="51"/>
      <c r="V109" s="70"/>
      <c r="W109" s="79"/>
      <c r="X109" s="70"/>
      <c r="Y109" s="70"/>
      <c r="Z109" s="70"/>
      <c r="AB109" s="63"/>
      <c r="AC109" s="33"/>
      <c r="AD109" s="64"/>
      <c r="AE109" s="64"/>
      <c r="AF109" s="43"/>
      <c r="AG109" s="64"/>
    </row>
    <row r="110" spans="2:33">
      <c r="B110" s="15"/>
      <c r="C110" s="13"/>
      <c r="D110" s="26"/>
      <c r="E110" s="26"/>
      <c r="F110" s="14"/>
      <c r="G110" s="14"/>
      <c r="H110" s="14"/>
      <c r="I110" s="15"/>
      <c r="J110" s="37"/>
      <c r="K110" s="54"/>
      <c r="L110" s="54"/>
      <c r="M110" s="24"/>
      <c r="N110" s="24"/>
      <c r="O110" s="23"/>
      <c r="P110" s="75"/>
      <c r="Q110" s="72"/>
      <c r="S110" s="51"/>
      <c r="T110" s="51"/>
      <c r="U110" s="51"/>
      <c r="V110" s="70"/>
      <c r="W110" s="79"/>
      <c r="X110" s="70"/>
      <c r="Y110" s="70"/>
      <c r="Z110" s="70"/>
      <c r="AB110" s="63"/>
      <c r="AC110" s="33"/>
      <c r="AD110" s="64"/>
      <c r="AE110" s="64"/>
      <c r="AF110" s="43"/>
      <c r="AG110" s="64"/>
    </row>
    <row r="111" spans="2:33">
      <c r="B111" s="15"/>
      <c r="C111" s="13"/>
      <c r="D111" s="26"/>
      <c r="E111" s="26"/>
      <c r="F111" s="14"/>
      <c r="G111" s="14"/>
      <c r="H111" s="14"/>
      <c r="I111" s="15"/>
      <c r="J111" s="37"/>
      <c r="K111" s="54"/>
      <c r="L111" s="54"/>
      <c r="M111" s="24"/>
      <c r="N111" s="24"/>
      <c r="O111" s="23"/>
      <c r="P111" s="75"/>
      <c r="Q111" s="72"/>
      <c r="S111" s="51"/>
      <c r="T111" s="51"/>
      <c r="U111" s="51"/>
      <c r="V111" s="70"/>
      <c r="W111" s="79"/>
      <c r="X111" s="70"/>
      <c r="Y111" s="70"/>
      <c r="Z111" s="70"/>
      <c r="AB111" s="63"/>
      <c r="AC111" s="33"/>
      <c r="AD111" s="64"/>
      <c r="AE111" s="64"/>
      <c r="AF111" s="43"/>
      <c r="AG111" s="64"/>
    </row>
    <row r="112" spans="2:33">
      <c r="B112" s="15"/>
      <c r="C112" s="13"/>
      <c r="D112" s="26"/>
      <c r="E112" s="26"/>
      <c r="F112" s="14"/>
      <c r="G112" s="14"/>
      <c r="H112" s="14"/>
      <c r="I112" s="15"/>
      <c r="J112" s="37"/>
      <c r="K112" s="54"/>
      <c r="L112" s="54"/>
      <c r="M112" s="24"/>
      <c r="N112" s="24"/>
      <c r="O112" s="23"/>
      <c r="P112" s="75"/>
      <c r="Q112" s="72"/>
      <c r="S112" s="51"/>
      <c r="T112" s="51"/>
      <c r="U112" s="51"/>
      <c r="V112" s="70"/>
      <c r="W112" s="79"/>
      <c r="X112" s="70"/>
      <c r="Y112" s="70"/>
      <c r="Z112" s="70"/>
      <c r="AB112" s="63"/>
      <c r="AC112" s="33"/>
      <c r="AD112" s="64"/>
      <c r="AE112" s="64"/>
      <c r="AF112" s="43"/>
      <c r="AG112" s="64"/>
    </row>
    <row r="113" spans="2:33">
      <c r="B113" s="15"/>
      <c r="C113" s="13"/>
      <c r="D113" s="26"/>
      <c r="E113" s="26"/>
      <c r="F113" s="14"/>
      <c r="G113" s="14"/>
      <c r="H113" s="14"/>
      <c r="I113" s="15"/>
      <c r="J113" s="37"/>
      <c r="K113" s="54"/>
      <c r="L113" s="54"/>
      <c r="M113" s="24"/>
      <c r="N113" s="24"/>
      <c r="O113" s="23"/>
      <c r="P113" s="75"/>
      <c r="Q113" s="72"/>
      <c r="S113" s="51"/>
      <c r="T113" s="51"/>
      <c r="U113" s="51"/>
      <c r="V113" s="70"/>
      <c r="W113" s="79"/>
      <c r="X113" s="70"/>
      <c r="Y113" s="70"/>
      <c r="Z113" s="70"/>
      <c r="AB113" s="63"/>
      <c r="AC113" s="33"/>
      <c r="AD113" s="64"/>
      <c r="AE113" s="64"/>
      <c r="AF113" s="43"/>
      <c r="AG113" s="64"/>
    </row>
    <row r="114" spans="2:33">
      <c r="B114" s="15"/>
      <c r="D114" s="51"/>
      <c r="E114" s="51"/>
      <c r="F114" s="80"/>
      <c r="G114" s="14"/>
      <c r="H114" s="14"/>
      <c r="I114" s="15"/>
      <c r="J114" s="37"/>
      <c r="K114" s="54"/>
      <c r="L114" s="54"/>
      <c r="M114" s="24"/>
      <c r="N114" s="24"/>
      <c r="O114" s="23"/>
      <c r="P114" s="75"/>
      <c r="Q114" s="72"/>
      <c r="S114" s="51"/>
      <c r="T114" s="51"/>
      <c r="U114" s="51"/>
      <c r="V114" s="70"/>
      <c r="W114" s="79"/>
      <c r="X114" s="70"/>
      <c r="Y114" s="70"/>
      <c r="Z114" s="70"/>
      <c r="AB114" s="63"/>
      <c r="AC114" s="33"/>
      <c r="AD114" s="64"/>
      <c r="AE114" s="64"/>
      <c r="AF114" s="43"/>
      <c r="AG114" s="64"/>
    </row>
    <row r="115" spans="2:33">
      <c r="B115" s="15"/>
      <c r="D115" s="51"/>
      <c r="E115" s="51"/>
      <c r="F115" s="80"/>
      <c r="G115" s="14"/>
      <c r="H115" s="14"/>
      <c r="I115" s="15"/>
      <c r="J115" s="37"/>
      <c r="K115" s="54"/>
      <c r="L115" s="54"/>
      <c r="M115" s="24"/>
      <c r="N115" s="24"/>
      <c r="O115" s="23"/>
      <c r="P115" s="75"/>
      <c r="Q115" s="72"/>
      <c r="S115" s="51"/>
      <c r="T115" s="51"/>
      <c r="U115" s="51"/>
      <c r="V115" s="70"/>
      <c r="W115" s="79"/>
      <c r="X115" s="70"/>
      <c r="Y115" s="70"/>
      <c r="Z115" s="70"/>
      <c r="AB115" s="63"/>
      <c r="AC115" s="33"/>
      <c r="AD115" s="64"/>
      <c r="AE115" s="64"/>
      <c r="AF115" s="43"/>
      <c r="AG115" s="64"/>
    </row>
    <row r="116" spans="2:33">
      <c r="B116" s="15"/>
      <c r="D116" s="51"/>
      <c r="E116" s="51"/>
      <c r="F116" s="80"/>
      <c r="G116" s="80"/>
      <c r="H116" s="80"/>
      <c r="I116" s="15"/>
      <c r="J116" s="37"/>
      <c r="K116" s="54"/>
      <c r="L116" s="54"/>
      <c r="M116" s="24"/>
      <c r="N116" s="24"/>
      <c r="O116" s="23"/>
      <c r="P116" s="75"/>
      <c r="Q116" s="72"/>
      <c r="S116" s="51"/>
      <c r="T116" s="51"/>
      <c r="U116" s="51"/>
      <c r="V116" s="70"/>
      <c r="W116" s="79"/>
      <c r="X116" s="70"/>
      <c r="Y116" s="70"/>
      <c r="Z116" s="70"/>
      <c r="AB116" s="63"/>
      <c r="AC116" s="33"/>
      <c r="AD116" s="64"/>
      <c r="AE116" s="64"/>
      <c r="AF116" s="43"/>
      <c r="AG116" s="64"/>
    </row>
    <row r="117" spans="2:33">
      <c r="B117" s="15"/>
      <c r="C117" s="13"/>
      <c r="D117" s="26"/>
      <c r="E117" s="26"/>
      <c r="F117" s="14"/>
      <c r="G117" s="80"/>
      <c r="H117" s="80"/>
      <c r="I117" s="15"/>
      <c r="J117" s="37"/>
      <c r="K117" s="54"/>
      <c r="L117" s="54"/>
      <c r="M117" s="24"/>
      <c r="N117" s="24"/>
      <c r="O117" s="23"/>
      <c r="P117" s="75"/>
      <c r="Q117" s="72"/>
      <c r="S117" s="51"/>
      <c r="T117" s="51"/>
      <c r="U117" s="51"/>
      <c r="V117" s="70"/>
      <c r="W117" s="79"/>
      <c r="X117" s="70"/>
      <c r="Y117" s="70"/>
      <c r="Z117" s="70"/>
      <c r="AB117" s="63"/>
      <c r="AC117" s="33"/>
      <c r="AD117" s="64"/>
      <c r="AE117" s="64"/>
      <c r="AF117" s="43"/>
      <c r="AG117" s="64"/>
    </row>
    <row r="118" spans="2:33">
      <c r="B118" s="15"/>
      <c r="C118" s="13"/>
      <c r="D118" s="26"/>
      <c r="E118" s="26"/>
      <c r="F118" s="14"/>
      <c r="G118" s="80"/>
      <c r="H118" s="80"/>
      <c r="I118" s="15"/>
      <c r="J118" s="37"/>
      <c r="K118" s="54"/>
      <c r="L118" s="54"/>
      <c r="M118" s="24"/>
      <c r="N118" s="24"/>
      <c r="O118" s="23"/>
      <c r="P118" s="75"/>
      <c r="Q118" s="72"/>
      <c r="S118" s="51"/>
      <c r="T118" s="51"/>
      <c r="U118" s="51"/>
      <c r="V118" s="70"/>
      <c r="W118" s="79"/>
      <c r="X118" s="70"/>
      <c r="Y118" s="70"/>
      <c r="Z118" s="70"/>
      <c r="AB118" s="63"/>
      <c r="AC118" s="33"/>
      <c r="AD118" s="64"/>
      <c r="AE118" s="64"/>
      <c r="AF118" s="43"/>
      <c r="AG118" s="64"/>
    </row>
    <row r="119" spans="2:33">
      <c r="B119" s="15"/>
      <c r="C119" s="13"/>
      <c r="D119" s="26"/>
      <c r="E119" s="26"/>
      <c r="F119" s="14"/>
      <c r="G119" s="14"/>
      <c r="H119" s="14"/>
      <c r="I119" s="15"/>
      <c r="J119" s="37"/>
      <c r="K119" s="54"/>
      <c r="L119" s="54"/>
      <c r="M119" s="24"/>
      <c r="N119" s="24"/>
      <c r="O119" s="23"/>
      <c r="P119" s="75"/>
      <c r="Q119" s="72"/>
      <c r="S119" s="51"/>
      <c r="T119" s="51"/>
      <c r="U119" s="51"/>
      <c r="V119" s="70"/>
      <c r="W119" s="79"/>
      <c r="X119" s="70"/>
      <c r="Y119" s="70"/>
      <c r="Z119" s="70"/>
      <c r="AB119" s="63"/>
      <c r="AC119" s="33"/>
      <c r="AD119" s="64"/>
      <c r="AE119" s="64"/>
      <c r="AF119" s="43"/>
      <c r="AG119" s="64"/>
    </row>
    <row r="120" spans="2:33">
      <c r="B120" s="15"/>
      <c r="C120" s="13"/>
      <c r="D120" s="26"/>
      <c r="E120" s="26"/>
      <c r="F120" s="14"/>
      <c r="G120" s="14"/>
      <c r="H120" s="14"/>
      <c r="I120" s="15"/>
      <c r="J120" s="37"/>
      <c r="K120" s="54"/>
      <c r="L120" s="54"/>
      <c r="M120" s="24"/>
      <c r="N120" s="24"/>
      <c r="O120" s="23"/>
      <c r="P120" s="75"/>
      <c r="Q120" s="72"/>
      <c r="S120" s="51"/>
      <c r="T120" s="51"/>
      <c r="U120" s="51"/>
      <c r="V120" s="70"/>
      <c r="W120" s="79"/>
      <c r="X120" s="70"/>
      <c r="Y120" s="70"/>
      <c r="Z120" s="70"/>
      <c r="AB120" s="63"/>
      <c r="AC120" s="33"/>
      <c r="AD120" s="64"/>
      <c r="AE120" s="64"/>
      <c r="AF120" s="43"/>
      <c r="AG120" s="64"/>
    </row>
    <row r="121" spans="2:33">
      <c r="B121" s="15"/>
      <c r="C121" s="13"/>
      <c r="D121" s="26"/>
      <c r="E121" s="26"/>
      <c r="F121" s="14"/>
      <c r="G121" s="14"/>
      <c r="H121" s="14"/>
      <c r="I121" s="15"/>
      <c r="J121" s="37"/>
      <c r="K121" s="54"/>
      <c r="L121" s="54"/>
      <c r="M121" s="24"/>
      <c r="N121" s="24"/>
      <c r="O121" s="23"/>
      <c r="P121" s="75"/>
      <c r="Q121" s="72"/>
      <c r="S121" s="51"/>
      <c r="T121" s="51"/>
      <c r="U121" s="51"/>
      <c r="V121" s="70"/>
      <c r="W121" s="79"/>
      <c r="X121" s="70"/>
      <c r="Y121" s="70"/>
      <c r="Z121" s="70"/>
      <c r="AB121" s="63"/>
      <c r="AC121" s="33"/>
      <c r="AD121" s="64"/>
      <c r="AE121" s="64"/>
      <c r="AF121" s="43"/>
      <c r="AG121" s="64"/>
    </row>
    <row r="122" spans="2:33">
      <c r="B122" s="15"/>
      <c r="C122" s="13"/>
      <c r="D122" s="26"/>
      <c r="E122" s="26"/>
      <c r="F122" s="14"/>
      <c r="G122" s="14"/>
      <c r="H122" s="14"/>
      <c r="I122" s="15"/>
      <c r="J122" s="37"/>
      <c r="K122" s="54"/>
      <c r="L122" s="54"/>
      <c r="M122" s="24"/>
      <c r="N122" s="24"/>
      <c r="O122" s="23"/>
      <c r="P122" s="75"/>
      <c r="Q122" s="72"/>
      <c r="S122" s="51"/>
      <c r="T122" s="51"/>
      <c r="U122" s="51"/>
      <c r="V122" s="70"/>
      <c r="W122" s="79"/>
      <c r="X122" s="70"/>
      <c r="Y122" s="70"/>
      <c r="Z122" s="70"/>
      <c r="AB122" s="63"/>
      <c r="AC122" s="33"/>
      <c r="AD122" s="64"/>
      <c r="AE122" s="64"/>
      <c r="AF122" s="43"/>
      <c r="AG122" s="64"/>
    </row>
    <row r="123" spans="2:33">
      <c r="B123" s="15"/>
      <c r="C123" s="13"/>
      <c r="D123" s="26"/>
      <c r="E123" s="26"/>
      <c r="F123" s="14"/>
      <c r="G123" s="14"/>
      <c r="H123" s="14"/>
      <c r="I123" s="15"/>
      <c r="J123" s="37"/>
      <c r="K123" s="54"/>
      <c r="L123" s="54"/>
      <c r="M123" s="24"/>
      <c r="N123" s="24"/>
      <c r="O123" s="23"/>
      <c r="P123" s="75"/>
      <c r="Q123" s="72"/>
      <c r="S123" s="51"/>
      <c r="T123" s="51"/>
      <c r="U123" s="51"/>
      <c r="V123" s="70"/>
      <c r="W123" s="79"/>
      <c r="X123" s="70"/>
      <c r="Y123" s="70"/>
      <c r="Z123" s="70"/>
      <c r="AB123" s="63"/>
      <c r="AC123" s="33"/>
      <c r="AD123" s="64"/>
      <c r="AE123" s="64"/>
      <c r="AF123" s="43"/>
      <c r="AG123" s="64"/>
    </row>
    <row r="124" spans="2:33">
      <c r="B124" s="15"/>
      <c r="C124" s="13"/>
      <c r="D124" s="26"/>
      <c r="E124" s="26"/>
      <c r="F124" s="14"/>
      <c r="G124" s="14"/>
      <c r="H124" s="14"/>
      <c r="I124" s="15"/>
      <c r="J124" s="37"/>
      <c r="K124" s="54"/>
      <c r="L124" s="54"/>
      <c r="M124" s="24"/>
      <c r="N124" s="24"/>
      <c r="O124" s="23"/>
      <c r="P124" s="75"/>
      <c r="Q124" s="72"/>
      <c r="S124" s="51"/>
      <c r="T124" s="51"/>
      <c r="U124" s="51"/>
      <c r="V124" s="70"/>
      <c r="W124" s="79"/>
      <c r="X124" s="70"/>
      <c r="Y124" s="70"/>
      <c r="Z124" s="70"/>
      <c r="AB124" s="63"/>
      <c r="AC124" s="33"/>
      <c r="AD124" s="64"/>
      <c r="AE124" s="64"/>
      <c r="AF124" s="43"/>
      <c r="AG124" s="64"/>
    </row>
    <row r="125" spans="2:33">
      <c r="B125" s="15"/>
      <c r="C125" s="13"/>
      <c r="D125" s="26"/>
      <c r="E125" s="26"/>
      <c r="F125" s="14"/>
      <c r="G125" s="14"/>
      <c r="H125" s="14"/>
      <c r="I125" s="15"/>
      <c r="J125" s="37"/>
      <c r="K125" s="54"/>
      <c r="L125" s="54"/>
      <c r="M125" s="24"/>
      <c r="N125" s="24"/>
      <c r="O125" s="23"/>
      <c r="P125" s="75"/>
      <c r="Q125" s="72"/>
      <c r="S125" s="51"/>
      <c r="T125" s="51"/>
      <c r="U125" s="51"/>
      <c r="V125" s="70"/>
      <c r="W125" s="79"/>
      <c r="X125" s="70"/>
      <c r="Y125" s="70"/>
      <c r="Z125" s="70"/>
      <c r="AB125" s="63"/>
      <c r="AC125" s="33"/>
      <c r="AD125" s="64"/>
      <c r="AE125" s="64"/>
      <c r="AF125" s="43"/>
      <c r="AG125" s="64"/>
    </row>
    <row r="126" spans="2:33">
      <c r="B126" s="15"/>
      <c r="C126" s="13"/>
      <c r="D126" s="26"/>
      <c r="E126" s="26"/>
      <c r="F126" s="14"/>
      <c r="G126" s="14"/>
      <c r="H126" s="14"/>
      <c r="I126" s="15"/>
      <c r="J126" s="37"/>
      <c r="K126" s="39"/>
      <c r="L126" s="39"/>
      <c r="M126" s="24"/>
      <c r="N126" s="24"/>
      <c r="O126" s="23"/>
      <c r="P126" s="75"/>
      <c r="Q126" s="72"/>
      <c r="S126" s="51"/>
      <c r="T126" s="51"/>
      <c r="U126" s="51"/>
      <c r="V126" s="70"/>
      <c r="W126" s="79"/>
      <c r="X126" s="70"/>
      <c r="Y126" s="70"/>
      <c r="Z126" s="70"/>
      <c r="AB126" s="63"/>
      <c r="AC126" s="33"/>
      <c r="AD126" s="64"/>
      <c r="AE126" s="64"/>
      <c r="AF126" s="43"/>
      <c r="AG126" s="64"/>
    </row>
    <row r="127" spans="2:33">
      <c r="B127" s="15"/>
      <c r="D127" s="51"/>
      <c r="E127" s="48"/>
      <c r="F127" s="81"/>
      <c r="G127" s="14"/>
      <c r="H127" s="14"/>
      <c r="I127" s="15"/>
      <c r="J127" s="37"/>
      <c r="K127" s="39"/>
      <c r="L127" s="39"/>
      <c r="M127" s="24"/>
      <c r="N127" s="24"/>
      <c r="O127" s="23"/>
      <c r="P127" s="75"/>
      <c r="Q127" s="72"/>
      <c r="S127" s="51"/>
      <c r="T127" s="51"/>
      <c r="U127" s="51"/>
      <c r="V127" s="70"/>
      <c r="W127" s="79"/>
      <c r="X127" s="70"/>
      <c r="Y127" s="70"/>
      <c r="Z127" s="70"/>
      <c r="AB127" s="63"/>
      <c r="AC127" s="33"/>
      <c r="AD127" s="64"/>
      <c r="AE127" s="64"/>
      <c r="AF127" s="43"/>
      <c r="AG127" s="64"/>
    </row>
    <row r="128" spans="2:33">
      <c r="B128" s="15"/>
      <c r="C128" s="38"/>
      <c r="D128" s="26"/>
      <c r="E128" s="26"/>
      <c r="F128" s="14"/>
      <c r="G128" s="14"/>
      <c r="H128" s="14"/>
      <c r="I128" s="15"/>
      <c r="J128" s="37"/>
      <c r="K128" s="39"/>
      <c r="L128" s="39"/>
      <c r="M128" s="24"/>
      <c r="N128" s="24"/>
      <c r="O128" s="23"/>
      <c r="P128" s="75"/>
      <c r="Q128" s="72"/>
      <c r="S128" s="51"/>
      <c r="T128" s="51"/>
      <c r="U128" s="51"/>
      <c r="V128" s="70"/>
      <c r="W128" s="79"/>
      <c r="X128" s="70"/>
      <c r="Y128" s="70"/>
      <c r="Z128" s="70"/>
      <c r="AB128" s="63"/>
      <c r="AC128" s="33"/>
      <c r="AD128" s="64"/>
      <c r="AE128" s="64"/>
      <c r="AF128" s="43"/>
      <c r="AG128" s="64"/>
    </row>
    <row r="129" spans="2:33">
      <c r="B129" s="15"/>
      <c r="C129" s="38"/>
      <c r="D129" s="26"/>
      <c r="E129" s="26"/>
      <c r="F129" s="14"/>
      <c r="G129" s="14"/>
      <c r="H129" s="14"/>
      <c r="I129" s="15"/>
      <c r="J129" s="37"/>
      <c r="K129" s="39"/>
      <c r="L129" s="39"/>
      <c r="M129" s="24"/>
      <c r="N129" s="24"/>
      <c r="O129" s="23"/>
      <c r="P129" s="75"/>
      <c r="Q129" s="72"/>
      <c r="S129" s="51"/>
      <c r="T129" s="51"/>
      <c r="U129" s="51"/>
      <c r="V129" s="70"/>
      <c r="W129" s="79"/>
      <c r="X129" s="70"/>
      <c r="Y129" s="70"/>
      <c r="Z129" s="70"/>
      <c r="AB129" s="63"/>
      <c r="AC129" s="33"/>
      <c r="AD129" s="64"/>
      <c r="AE129" s="64"/>
      <c r="AF129" s="43"/>
      <c r="AG129" s="64"/>
    </row>
    <row r="130" spans="2:33">
      <c r="B130" s="15"/>
      <c r="C130" s="38"/>
      <c r="D130" s="26"/>
      <c r="E130" s="26"/>
      <c r="F130" s="14"/>
      <c r="G130" s="81"/>
      <c r="H130" s="81"/>
      <c r="I130" s="15"/>
      <c r="J130" s="37"/>
      <c r="K130" s="39"/>
      <c r="L130" s="39"/>
      <c r="M130" s="24"/>
      <c r="N130" s="24"/>
      <c r="O130" s="23"/>
      <c r="P130" s="75"/>
      <c r="Q130" s="72"/>
      <c r="S130" s="51"/>
      <c r="T130" s="51"/>
      <c r="U130" s="51"/>
      <c r="V130" s="70"/>
      <c r="W130" s="79"/>
      <c r="X130" s="70"/>
      <c r="Y130" s="70"/>
      <c r="Z130" s="70"/>
      <c r="AB130" s="63"/>
      <c r="AC130" s="33"/>
      <c r="AD130" s="64"/>
      <c r="AE130" s="64"/>
      <c r="AF130" s="43"/>
      <c r="AG130" s="64"/>
    </row>
    <row r="131" spans="2:33">
      <c r="B131" s="15"/>
      <c r="C131" s="38"/>
      <c r="D131" s="26"/>
      <c r="E131" s="26"/>
      <c r="F131" s="14"/>
      <c r="G131" s="14"/>
      <c r="H131" s="14"/>
      <c r="I131" s="15"/>
      <c r="J131" s="37"/>
      <c r="K131" s="39"/>
      <c r="L131" s="39"/>
      <c r="M131" s="24"/>
      <c r="N131" s="24"/>
      <c r="O131" s="23"/>
      <c r="P131" s="75"/>
      <c r="Q131" s="72"/>
      <c r="S131" s="51"/>
      <c r="T131" s="51"/>
      <c r="U131" s="51"/>
      <c r="V131" s="70"/>
      <c r="W131" s="79"/>
      <c r="X131" s="70"/>
      <c r="Y131" s="70"/>
      <c r="Z131" s="70"/>
      <c r="AB131" s="63"/>
      <c r="AC131" s="33"/>
      <c r="AD131" s="64"/>
      <c r="AE131" s="64"/>
      <c r="AF131" s="43"/>
      <c r="AG131" s="64"/>
    </row>
    <row r="132" spans="2:33">
      <c r="B132" s="15"/>
      <c r="C132" s="38"/>
      <c r="D132" s="26"/>
      <c r="E132" s="26"/>
      <c r="F132" s="14"/>
      <c r="G132" s="14"/>
      <c r="H132" s="14"/>
      <c r="I132" s="15"/>
      <c r="J132" s="36"/>
      <c r="K132" s="39"/>
      <c r="L132" s="39"/>
      <c r="M132" s="24"/>
      <c r="N132" s="24"/>
      <c r="O132" s="23"/>
      <c r="P132" s="75"/>
      <c r="Q132" s="72"/>
      <c r="S132" s="51"/>
      <c r="T132" s="51"/>
      <c r="U132" s="51"/>
      <c r="V132" s="70"/>
      <c r="W132" s="79"/>
      <c r="X132" s="70"/>
      <c r="Y132" s="70"/>
      <c r="Z132" s="70"/>
      <c r="AB132" s="63"/>
      <c r="AC132" s="33"/>
      <c r="AD132" s="64"/>
      <c r="AE132" s="64"/>
      <c r="AF132" s="43"/>
      <c r="AG132" s="64"/>
    </row>
    <row r="133" spans="2:33">
      <c r="B133" s="15"/>
      <c r="C133" s="38"/>
      <c r="D133" s="26"/>
      <c r="E133" s="26"/>
      <c r="F133" s="14"/>
      <c r="G133" s="14"/>
      <c r="H133" s="14"/>
      <c r="I133" s="15"/>
      <c r="J133" s="36"/>
      <c r="K133" s="39"/>
      <c r="L133" s="39"/>
      <c r="M133" s="24"/>
      <c r="N133" s="24"/>
      <c r="O133" s="23"/>
      <c r="P133" s="75"/>
      <c r="Q133" s="72"/>
      <c r="S133" s="51"/>
      <c r="T133" s="51"/>
      <c r="U133" s="51"/>
      <c r="V133" s="70"/>
      <c r="W133" s="79"/>
      <c r="X133" s="70"/>
      <c r="Y133" s="70"/>
      <c r="Z133" s="70"/>
      <c r="AB133" s="63"/>
      <c r="AC133" s="33"/>
      <c r="AD133" s="64"/>
      <c r="AE133" s="64"/>
      <c r="AF133" s="43"/>
      <c r="AG133" s="64"/>
    </row>
    <row r="134" spans="2:33">
      <c r="B134" s="15"/>
      <c r="C134" s="38"/>
      <c r="D134" s="26"/>
      <c r="E134" s="26"/>
      <c r="F134" s="14"/>
      <c r="G134" s="14"/>
      <c r="H134" s="14"/>
      <c r="I134" s="15"/>
      <c r="J134" s="36"/>
      <c r="K134" s="39"/>
      <c r="L134" s="39"/>
      <c r="M134" s="24"/>
      <c r="N134" s="24"/>
      <c r="O134" s="23"/>
      <c r="P134" s="75"/>
      <c r="Q134" s="72"/>
      <c r="S134" s="51"/>
      <c r="T134" s="51"/>
      <c r="U134" s="51"/>
      <c r="V134" s="70"/>
      <c r="W134" s="79"/>
      <c r="X134" s="70"/>
      <c r="Y134" s="70"/>
      <c r="Z134" s="70"/>
      <c r="AB134" s="63"/>
      <c r="AC134" s="33"/>
      <c r="AD134" s="64"/>
      <c r="AE134" s="64"/>
      <c r="AF134" s="43"/>
      <c r="AG134" s="64"/>
    </row>
    <row r="135" spans="2:33">
      <c r="B135" s="15"/>
      <c r="C135" s="38"/>
      <c r="D135" s="26"/>
      <c r="E135" s="26"/>
      <c r="F135" s="14"/>
      <c r="G135" s="14"/>
      <c r="H135" s="14"/>
      <c r="I135" s="15"/>
      <c r="J135" s="36"/>
      <c r="K135" s="39"/>
      <c r="L135" s="39"/>
      <c r="M135" s="24"/>
      <c r="N135" s="24"/>
      <c r="O135" s="23"/>
      <c r="P135" s="75"/>
      <c r="Q135" s="72"/>
      <c r="S135" s="51"/>
      <c r="T135" s="51"/>
      <c r="U135" s="51"/>
      <c r="V135" s="70"/>
      <c r="W135" s="79"/>
      <c r="X135" s="70"/>
      <c r="Y135" s="70"/>
      <c r="Z135" s="70"/>
      <c r="AB135" s="63"/>
      <c r="AC135" s="33"/>
      <c r="AD135" s="64"/>
      <c r="AE135" s="64"/>
      <c r="AF135" s="43"/>
      <c r="AG135" s="64"/>
    </row>
    <row r="136" spans="2:33">
      <c r="B136" s="15"/>
      <c r="C136" s="38"/>
      <c r="D136" s="26"/>
      <c r="E136" s="26"/>
      <c r="F136" s="14"/>
      <c r="G136" s="14"/>
      <c r="H136" s="14"/>
      <c r="I136" s="15"/>
      <c r="J136" s="36"/>
      <c r="K136" s="39"/>
      <c r="L136" s="39"/>
      <c r="M136" s="24"/>
      <c r="N136" s="24"/>
      <c r="O136" s="23"/>
      <c r="P136" s="75"/>
      <c r="Q136" s="72"/>
      <c r="S136" s="51"/>
      <c r="T136" s="51"/>
      <c r="U136" s="51"/>
      <c r="V136" s="70"/>
      <c r="W136" s="79"/>
      <c r="X136" s="70"/>
      <c r="Y136" s="70"/>
      <c r="Z136" s="70"/>
      <c r="AB136" s="63"/>
      <c r="AC136" s="33"/>
      <c r="AD136" s="64"/>
      <c r="AE136" s="64"/>
      <c r="AF136" s="43"/>
      <c r="AG136" s="64"/>
    </row>
    <row r="137" spans="2:33">
      <c r="B137" s="15"/>
      <c r="C137" s="38"/>
      <c r="D137" s="26"/>
      <c r="E137" s="26"/>
      <c r="F137" s="14"/>
      <c r="G137" s="14"/>
      <c r="H137" s="14"/>
      <c r="I137" s="15"/>
      <c r="J137" s="36"/>
      <c r="K137" s="39"/>
      <c r="L137" s="39"/>
      <c r="M137" s="24"/>
      <c r="N137" s="24"/>
      <c r="O137" s="23"/>
      <c r="P137" s="75"/>
      <c r="Q137" s="72"/>
      <c r="S137" s="51"/>
      <c r="T137" s="51"/>
      <c r="U137" s="51"/>
      <c r="V137" s="70"/>
      <c r="W137" s="79"/>
      <c r="X137" s="70"/>
      <c r="Y137" s="70"/>
      <c r="Z137" s="70"/>
      <c r="AB137" s="63"/>
      <c r="AC137" s="33"/>
      <c r="AD137" s="64"/>
      <c r="AE137" s="64"/>
      <c r="AF137" s="43"/>
      <c r="AG137" s="64"/>
    </row>
    <row r="138" spans="2:33">
      <c r="B138" s="15"/>
      <c r="C138" s="38"/>
      <c r="D138" s="26"/>
      <c r="E138" s="26"/>
      <c r="F138" s="14"/>
      <c r="G138" s="14"/>
      <c r="H138" s="14"/>
      <c r="I138" s="15"/>
      <c r="J138" s="36"/>
      <c r="K138" s="39"/>
      <c r="L138" s="39"/>
      <c r="M138" s="24"/>
      <c r="N138" s="24"/>
      <c r="O138" s="23"/>
      <c r="P138" s="75"/>
      <c r="Q138" s="72"/>
      <c r="S138" s="51"/>
      <c r="T138" s="51"/>
      <c r="U138" s="51"/>
      <c r="V138" s="70"/>
      <c r="W138" s="79"/>
      <c r="X138" s="70"/>
      <c r="Y138" s="70"/>
      <c r="Z138" s="70"/>
      <c r="AB138" s="63"/>
      <c r="AC138" s="33"/>
      <c r="AD138" s="64"/>
      <c r="AE138" s="64"/>
      <c r="AF138" s="43"/>
      <c r="AG138" s="64"/>
    </row>
    <row r="139" spans="2:33">
      <c r="B139" s="15"/>
      <c r="C139" s="38"/>
      <c r="D139" s="26"/>
      <c r="E139" s="26"/>
      <c r="F139" s="14"/>
      <c r="G139" s="14"/>
      <c r="H139" s="14"/>
      <c r="I139" s="15"/>
      <c r="J139" s="36"/>
      <c r="K139" s="39"/>
      <c r="L139" s="39"/>
      <c r="M139" s="24"/>
      <c r="N139" s="24"/>
      <c r="O139" s="23"/>
      <c r="P139" s="75"/>
      <c r="Q139" s="72"/>
      <c r="S139" s="51"/>
      <c r="T139" s="51"/>
      <c r="U139" s="51"/>
      <c r="V139" s="70"/>
      <c r="W139" s="79"/>
      <c r="X139" s="70"/>
      <c r="Y139" s="70"/>
      <c r="Z139" s="70"/>
      <c r="AB139" s="63"/>
      <c r="AC139" s="33"/>
      <c r="AD139" s="64"/>
      <c r="AE139" s="64"/>
      <c r="AF139" s="43"/>
      <c r="AG139" s="64"/>
    </row>
    <row r="140" spans="2:33">
      <c r="B140" s="15"/>
      <c r="C140" s="38"/>
      <c r="D140" s="26"/>
      <c r="E140" s="26"/>
      <c r="F140" s="14"/>
      <c r="G140" s="14"/>
      <c r="H140" s="14"/>
      <c r="I140" s="15"/>
      <c r="J140" s="36"/>
      <c r="K140" s="39"/>
      <c r="L140" s="39"/>
      <c r="M140" s="24"/>
      <c r="N140" s="24"/>
      <c r="O140" s="23"/>
      <c r="P140" s="75"/>
      <c r="Q140" s="72"/>
      <c r="S140" s="51"/>
      <c r="T140" s="51"/>
      <c r="U140" s="51"/>
      <c r="V140" s="70"/>
      <c r="W140" s="79"/>
      <c r="X140" s="70"/>
      <c r="Y140" s="70"/>
      <c r="Z140" s="70"/>
      <c r="AB140" s="63"/>
      <c r="AC140" s="33"/>
      <c r="AD140" s="64"/>
      <c r="AE140" s="64"/>
      <c r="AF140" s="43"/>
      <c r="AG140" s="64"/>
    </row>
    <row r="141" spans="2:33">
      <c r="B141" s="15"/>
      <c r="C141" s="38"/>
      <c r="D141" s="26"/>
      <c r="E141" s="26"/>
      <c r="F141" s="14"/>
      <c r="G141" s="14"/>
      <c r="H141" s="14"/>
      <c r="I141" s="15"/>
      <c r="J141" s="36"/>
      <c r="K141" s="39"/>
      <c r="L141" s="39"/>
      <c r="M141" s="24"/>
      <c r="N141" s="24"/>
      <c r="O141" s="23"/>
      <c r="P141" s="75"/>
      <c r="Q141" s="72"/>
      <c r="S141" s="51"/>
      <c r="T141" s="51"/>
      <c r="U141" s="51"/>
      <c r="V141" s="70"/>
      <c r="W141" s="79"/>
      <c r="X141" s="70"/>
      <c r="Y141" s="70"/>
      <c r="Z141" s="70"/>
      <c r="AB141" s="63"/>
      <c r="AC141" s="33"/>
      <c r="AD141" s="64"/>
      <c r="AE141" s="64"/>
      <c r="AF141" s="43"/>
      <c r="AG141" s="64"/>
    </row>
    <row r="142" spans="2:33">
      <c r="B142" s="15"/>
      <c r="C142" s="38"/>
      <c r="D142" s="26"/>
      <c r="E142" s="26"/>
      <c r="F142" s="14"/>
      <c r="G142" s="14"/>
      <c r="H142" s="14"/>
      <c r="I142" s="15"/>
      <c r="J142" s="36"/>
      <c r="K142" s="39"/>
      <c r="L142" s="39"/>
      <c r="M142" s="24"/>
      <c r="N142" s="24"/>
      <c r="O142" s="23"/>
      <c r="P142" s="75"/>
      <c r="Q142" s="72"/>
      <c r="S142" s="51"/>
      <c r="T142" s="51"/>
      <c r="U142" s="51"/>
      <c r="V142" s="70"/>
      <c r="W142" s="79"/>
      <c r="X142" s="70"/>
      <c r="Y142" s="70"/>
      <c r="Z142" s="70"/>
      <c r="AB142" s="63"/>
      <c r="AC142" s="33"/>
      <c r="AD142" s="64"/>
      <c r="AE142" s="64"/>
      <c r="AF142" s="43"/>
      <c r="AG142" s="64"/>
    </row>
    <row r="143" spans="2:33">
      <c r="B143" s="15"/>
      <c r="C143" s="38"/>
      <c r="D143" s="26"/>
      <c r="E143" s="26"/>
      <c r="F143" s="14"/>
      <c r="G143" s="14"/>
      <c r="H143" s="14"/>
      <c r="I143" s="15"/>
      <c r="J143" s="36"/>
      <c r="K143" s="39"/>
      <c r="L143" s="39"/>
      <c r="M143" s="24"/>
      <c r="N143" s="24"/>
      <c r="O143" s="23"/>
      <c r="P143" s="75"/>
      <c r="Q143" s="72"/>
      <c r="S143" s="51"/>
      <c r="T143" s="51"/>
      <c r="U143" s="51"/>
      <c r="V143" s="70"/>
      <c r="W143" s="79"/>
      <c r="X143" s="70"/>
      <c r="Y143" s="70"/>
      <c r="Z143" s="70"/>
      <c r="AB143" s="63"/>
      <c r="AC143" s="33"/>
      <c r="AD143" s="64"/>
      <c r="AE143" s="64"/>
      <c r="AF143" s="43"/>
      <c r="AG143" s="64"/>
    </row>
    <row r="144" spans="2:33">
      <c r="C144" s="38"/>
      <c r="D144" s="26"/>
      <c r="E144" s="26"/>
      <c r="F144" s="14"/>
      <c r="G144" s="14"/>
      <c r="H144" s="14"/>
      <c r="I144" s="15"/>
      <c r="J144" s="36"/>
      <c r="K144" s="39"/>
      <c r="L144" s="39"/>
      <c r="M144" s="24"/>
      <c r="N144" s="24"/>
      <c r="O144" s="23"/>
      <c r="P144" s="75"/>
      <c r="Q144" s="72"/>
      <c r="S144" s="51"/>
      <c r="T144" s="51"/>
      <c r="U144" s="51"/>
      <c r="V144" s="70"/>
      <c r="W144" s="79"/>
      <c r="X144" s="70"/>
      <c r="Y144" s="70"/>
      <c r="Z144" s="70"/>
      <c r="AB144" s="63"/>
      <c r="AC144" s="33"/>
      <c r="AD144" s="64"/>
      <c r="AE144" s="64"/>
      <c r="AF144" s="43"/>
      <c r="AG144" s="64"/>
    </row>
    <row r="145" spans="3:33">
      <c r="C145" s="38"/>
      <c r="D145" s="26"/>
      <c r="E145" s="26"/>
      <c r="F145" s="14"/>
      <c r="G145" s="14"/>
      <c r="H145" s="14"/>
      <c r="I145" s="15"/>
      <c r="J145" s="36"/>
      <c r="K145" s="39"/>
      <c r="L145" s="39"/>
      <c r="M145" s="24"/>
      <c r="N145" s="24"/>
      <c r="O145" s="23"/>
      <c r="P145" s="75"/>
      <c r="Q145" s="72"/>
      <c r="S145" s="51"/>
      <c r="T145" s="51"/>
      <c r="U145" s="51"/>
      <c r="V145" s="70"/>
      <c r="W145" s="79"/>
      <c r="X145" s="70"/>
      <c r="Y145" s="70"/>
      <c r="Z145" s="70"/>
      <c r="AB145" s="63"/>
      <c r="AC145" s="33"/>
      <c r="AD145" s="64"/>
      <c r="AE145" s="64"/>
      <c r="AF145" s="43"/>
      <c r="AG145" s="64"/>
    </row>
    <row r="146" spans="3:33">
      <c r="C146" s="38"/>
      <c r="D146" s="26"/>
      <c r="E146" s="26"/>
      <c r="F146" s="14"/>
      <c r="G146" s="14"/>
      <c r="H146" s="14"/>
      <c r="I146" s="15"/>
      <c r="J146" s="36"/>
      <c r="K146" s="39"/>
      <c r="L146" s="39"/>
      <c r="M146" s="24"/>
      <c r="N146" s="24"/>
      <c r="O146" s="23"/>
      <c r="P146" s="75"/>
      <c r="Q146" s="72"/>
      <c r="S146" s="51"/>
      <c r="T146" s="51"/>
      <c r="U146" s="51"/>
      <c r="V146" s="70"/>
      <c r="W146" s="79"/>
      <c r="X146" s="70"/>
      <c r="Y146" s="70"/>
      <c r="Z146" s="70"/>
      <c r="AB146" s="63"/>
      <c r="AC146" s="33"/>
      <c r="AD146" s="64"/>
      <c r="AE146" s="64"/>
      <c r="AF146" s="43"/>
      <c r="AG146" s="64"/>
    </row>
    <row r="147" spans="3:33">
      <c r="C147" s="38"/>
      <c r="D147" s="26"/>
      <c r="E147" s="26"/>
      <c r="F147" s="14"/>
      <c r="G147" s="14"/>
      <c r="H147" s="14"/>
      <c r="I147" s="15"/>
      <c r="J147" s="36"/>
      <c r="K147" s="39"/>
      <c r="L147" s="39"/>
      <c r="M147" s="24"/>
      <c r="N147" s="24"/>
      <c r="O147" s="23"/>
      <c r="P147" s="75"/>
      <c r="Q147" s="72"/>
      <c r="S147" s="51"/>
      <c r="T147" s="51"/>
      <c r="U147" s="51"/>
      <c r="V147" s="70"/>
      <c r="W147" s="79"/>
      <c r="X147" s="70"/>
      <c r="Y147" s="70"/>
      <c r="Z147" s="70"/>
      <c r="AB147" s="63"/>
      <c r="AC147" s="33"/>
      <c r="AD147" s="64"/>
      <c r="AE147" s="64"/>
      <c r="AF147" s="43"/>
      <c r="AG147" s="64"/>
    </row>
    <row r="148" spans="3:33">
      <c r="C148" s="38"/>
      <c r="D148" s="26"/>
      <c r="E148" s="26"/>
      <c r="F148" s="14"/>
      <c r="G148" s="14"/>
      <c r="H148" s="14"/>
      <c r="I148" s="15"/>
      <c r="J148" s="36"/>
      <c r="K148" s="39"/>
      <c r="L148" s="39"/>
      <c r="M148" s="24"/>
      <c r="N148" s="24"/>
      <c r="O148" s="23"/>
      <c r="P148" s="75"/>
      <c r="Q148" s="72"/>
      <c r="S148" s="51"/>
      <c r="T148" s="51"/>
      <c r="U148" s="51"/>
      <c r="V148" s="70"/>
      <c r="W148" s="79"/>
      <c r="X148" s="70"/>
      <c r="Y148" s="70"/>
      <c r="Z148" s="70"/>
      <c r="AB148" s="63"/>
      <c r="AC148" s="33"/>
      <c r="AD148" s="64"/>
      <c r="AE148" s="64"/>
      <c r="AF148" s="43"/>
      <c r="AG148" s="64"/>
    </row>
    <row r="149" spans="3:33">
      <c r="C149" s="38"/>
      <c r="D149" s="26"/>
      <c r="E149" s="26"/>
      <c r="F149" s="14"/>
      <c r="G149" s="14"/>
      <c r="H149" s="14"/>
      <c r="I149" s="15"/>
      <c r="J149" s="36"/>
      <c r="K149" s="39"/>
      <c r="L149" s="39"/>
      <c r="M149" s="24"/>
      <c r="N149" s="24"/>
      <c r="O149" s="23"/>
      <c r="P149" s="75"/>
      <c r="Q149" s="72"/>
      <c r="S149" s="51"/>
      <c r="T149" s="51"/>
      <c r="U149" s="51"/>
      <c r="V149" s="70"/>
      <c r="W149" s="79"/>
      <c r="X149" s="70"/>
      <c r="Y149" s="70"/>
      <c r="Z149" s="70"/>
      <c r="AB149" s="63"/>
      <c r="AC149" s="33"/>
      <c r="AD149" s="64"/>
      <c r="AE149" s="64"/>
      <c r="AF149" s="43"/>
      <c r="AG149" s="64"/>
    </row>
    <row r="150" spans="3:33">
      <c r="C150" s="38"/>
      <c r="D150" s="26"/>
      <c r="E150" s="26"/>
      <c r="F150" s="14"/>
      <c r="G150" s="14"/>
      <c r="H150" s="14"/>
      <c r="I150" s="15"/>
      <c r="J150" s="36"/>
      <c r="K150" s="39"/>
      <c r="L150" s="39"/>
      <c r="M150" s="24"/>
      <c r="N150" s="24"/>
      <c r="O150" s="23"/>
      <c r="P150" s="75"/>
      <c r="Q150" s="72"/>
      <c r="S150" s="51"/>
      <c r="T150" s="51"/>
      <c r="U150" s="51"/>
      <c r="V150" s="70"/>
      <c r="W150" s="79"/>
      <c r="X150" s="70"/>
      <c r="Y150" s="70"/>
      <c r="Z150" s="70"/>
      <c r="AB150" s="63"/>
      <c r="AC150" s="33"/>
      <c r="AD150" s="64"/>
      <c r="AE150" s="64"/>
      <c r="AG150" s="64"/>
    </row>
    <row r="151" spans="3:33">
      <c r="C151" s="38"/>
      <c r="D151" s="26"/>
      <c r="E151" s="26"/>
      <c r="F151" s="14"/>
      <c r="G151" s="14"/>
      <c r="H151" s="14"/>
      <c r="I151" s="15"/>
      <c r="J151" s="36"/>
      <c r="K151" s="39"/>
      <c r="L151" s="39"/>
      <c r="M151" s="24"/>
      <c r="N151" s="24"/>
      <c r="O151" s="23"/>
      <c r="P151" s="75"/>
      <c r="Q151" s="72"/>
      <c r="S151" s="51"/>
      <c r="T151" s="51"/>
      <c r="U151" s="51"/>
      <c r="V151" s="70"/>
      <c r="W151" s="79"/>
      <c r="X151" s="70"/>
      <c r="Y151" s="70"/>
      <c r="Z151" s="70"/>
      <c r="AB151" s="63"/>
      <c r="AC151" s="33"/>
      <c r="AD151" s="64"/>
      <c r="AE151" s="64"/>
      <c r="AG151" s="64"/>
    </row>
    <row r="152" spans="3:33">
      <c r="C152" s="38"/>
      <c r="D152" s="26"/>
      <c r="E152" s="26"/>
      <c r="F152" s="14"/>
      <c r="G152" s="14"/>
      <c r="H152" s="14"/>
      <c r="I152" s="15"/>
      <c r="J152" s="36"/>
      <c r="K152" s="39"/>
      <c r="L152" s="39"/>
      <c r="M152" s="24"/>
      <c r="N152" s="24"/>
      <c r="O152" s="23"/>
      <c r="P152" s="75"/>
      <c r="Q152" s="72"/>
      <c r="S152" s="51"/>
      <c r="T152" s="51"/>
      <c r="U152" s="51"/>
      <c r="V152" s="70"/>
      <c r="W152" s="79"/>
      <c r="X152" s="70"/>
      <c r="Y152" s="70"/>
      <c r="Z152" s="70"/>
      <c r="AB152" s="63"/>
      <c r="AC152" s="33"/>
      <c r="AD152" s="64"/>
      <c r="AE152" s="64"/>
      <c r="AG152" s="64"/>
    </row>
    <row r="153" spans="3:33">
      <c r="C153" s="38"/>
      <c r="D153" s="26"/>
      <c r="E153" s="26"/>
      <c r="F153" s="14"/>
      <c r="G153" s="14"/>
      <c r="H153" s="14"/>
      <c r="I153" s="15"/>
      <c r="J153" s="36"/>
      <c r="K153" s="39"/>
      <c r="L153" s="39"/>
      <c r="M153" s="24"/>
      <c r="N153" s="24"/>
      <c r="O153" s="23"/>
      <c r="P153" s="75"/>
      <c r="Q153" s="72"/>
      <c r="S153" s="51"/>
      <c r="T153" s="51"/>
      <c r="U153" s="51"/>
      <c r="V153" s="70"/>
      <c r="W153" s="79"/>
      <c r="X153" s="70"/>
      <c r="Y153" s="70"/>
      <c r="Z153" s="70"/>
      <c r="AB153" s="63"/>
      <c r="AC153" s="33"/>
      <c r="AD153" s="64"/>
      <c r="AE153" s="64"/>
      <c r="AG153" s="64"/>
    </row>
    <row r="154" spans="3:33">
      <c r="C154" s="38"/>
      <c r="D154" s="26"/>
      <c r="E154" s="26"/>
      <c r="F154" s="14"/>
      <c r="G154" s="14"/>
      <c r="H154" s="14"/>
      <c r="I154" s="15"/>
      <c r="J154" s="36"/>
      <c r="K154" s="39"/>
      <c r="L154" s="39"/>
      <c r="M154" s="24"/>
      <c r="N154" s="24"/>
      <c r="O154" s="23"/>
      <c r="P154" s="75"/>
      <c r="Q154" s="72"/>
      <c r="S154" s="51"/>
      <c r="T154" s="51"/>
      <c r="U154" s="51"/>
      <c r="V154" s="70"/>
      <c r="W154" s="79"/>
      <c r="X154" s="70"/>
      <c r="Y154" s="70"/>
      <c r="Z154" s="70"/>
      <c r="AB154" s="63"/>
      <c r="AC154" s="33"/>
      <c r="AD154" s="64"/>
      <c r="AE154" s="64"/>
      <c r="AG154" s="64"/>
    </row>
    <row r="155" spans="3:33">
      <c r="C155" s="38"/>
      <c r="D155" s="26"/>
      <c r="E155" s="26"/>
      <c r="F155" s="14"/>
      <c r="G155" s="14"/>
      <c r="H155" s="14"/>
      <c r="I155" s="15"/>
      <c r="J155" s="36"/>
      <c r="K155" s="39"/>
      <c r="L155" s="39"/>
      <c r="M155" s="24"/>
      <c r="N155" s="24"/>
      <c r="O155" s="23"/>
      <c r="P155" s="75"/>
      <c r="Q155" s="72"/>
      <c r="S155" s="51"/>
      <c r="T155" s="51"/>
      <c r="U155" s="51"/>
      <c r="V155" s="70"/>
      <c r="W155" s="79"/>
      <c r="X155" s="70"/>
      <c r="Y155" s="70"/>
      <c r="Z155" s="70"/>
      <c r="AB155" s="63"/>
      <c r="AC155" s="33"/>
      <c r="AD155" s="64"/>
      <c r="AE155" s="64"/>
      <c r="AG155" s="64"/>
    </row>
    <row r="156" spans="3:33">
      <c r="C156" s="38"/>
      <c r="D156" s="26"/>
      <c r="E156" s="26"/>
      <c r="F156" s="14"/>
      <c r="G156" s="14"/>
      <c r="H156" s="14"/>
      <c r="I156" s="15"/>
      <c r="J156" s="36"/>
      <c r="K156" s="39"/>
      <c r="L156" s="39"/>
      <c r="M156" s="24"/>
      <c r="N156" s="24"/>
      <c r="O156" s="23"/>
      <c r="P156" s="75"/>
      <c r="Q156" s="72"/>
      <c r="S156" s="51"/>
      <c r="T156" s="51"/>
      <c r="U156" s="51"/>
      <c r="V156" s="70"/>
      <c r="W156" s="79"/>
      <c r="X156" s="70"/>
      <c r="Y156" s="70"/>
      <c r="Z156" s="70"/>
      <c r="AB156" s="63"/>
      <c r="AC156" s="33"/>
      <c r="AD156" s="64"/>
      <c r="AE156" s="64"/>
      <c r="AG156" s="64"/>
    </row>
    <row r="157" spans="3:33">
      <c r="C157" s="38"/>
      <c r="D157" s="26"/>
      <c r="E157" s="26"/>
      <c r="F157" s="14"/>
      <c r="G157" s="14"/>
      <c r="H157" s="14"/>
      <c r="I157" s="15"/>
      <c r="J157" s="36"/>
      <c r="K157" s="39"/>
      <c r="L157" s="39"/>
      <c r="M157" s="24"/>
      <c r="N157" s="24"/>
      <c r="O157" s="23"/>
      <c r="P157" s="75"/>
      <c r="Q157" s="72"/>
      <c r="S157" s="51"/>
      <c r="T157" s="51"/>
      <c r="U157" s="51"/>
      <c r="V157" s="70"/>
      <c r="W157" s="79"/>
      <c r="X157" s="70"/>
      <c r="Y157" s="70"/>
      <c r="Z157" s="70"/>
      <c r="AB157" s="63"/>
      <c r="AC157" s="33"/>
      <c r="AD157" s="64"/>
      <c r="AE157" s="64"/>
      <c r="AG157" s="64"/>
    </row>
    <row r="158" spans="3:33">
      <c r="C158" s="38"/>
      <c r="D158" s="26"/>
      <c r="E158" s="26"/>
      <c r="F158" s="14"/>
      <c r="G158" s="14"/>
      <c r="H158" s="14"/>
      <c r="I158" s="15"/>
      <c r="J158" s="36"/>
      <c r="K158" s="39"/>
      <c r="L158" s="39"/>
      <c r="M158" s="24"/>
      <c r="N158" s="24"/>
      <c r="O158" s="23"/>
      <c r="P158" s="75"/>
      <c r="Q158" s="72"/>
      <c r="S158" s="51"/>
      <c r="T158" s="51"/>
      <c r="U158" s="51"/>
      <c r="V158" s="70"/>
      <c r="W158" s="79"/>
      <c r="X158" s="70"/>
      <c r="Y158" s="70"/>
      <c r="Z158" s="70"/>
      <c r="AB158" s="63"/>
      <c r="AC158" s="33"/>
      <c r="AD158" s="64"/>
      <c r="AE158" s="64"/>
      <c r="AG158" s="64"/>
    </row>
    <row r="159" spans="3:33">
      <c r="C159" s="38"/>
      <c r="D159" s="26"/>
      <c r="E159" s="26"/>
      <c r="F159" s="14"/>
      <c r="G159" s="14"/>
      <c r="H159" s="14"/>
      <c r="I159" s="15"/>
      <c r="J159" s="36"/>
      <c r="K159" s="39"/>
      <c r="L159" s="39"/>
      <c r="M159" s="24"/>
      <c r="N159" s="24"/>
      <c r="O159" s="23"/>
      <c r="P159" s="75"/>
      <c r="Q159" s="72"/>
      <c r="S159" s="51"/>
      <c r="T159" s="51"/>
      <c r="U159" s="51"/>
      <c r="V159" s="70"/>
      <c r="W159" s="79"/>
      <c r="X159" s="70"/>
      <c r="Y159" s="70"/>
      <c r="Z159" s="70"/>
      <c r="AB159" s="63"/>
      <c r="AC159" s="33"/>
      <c r="AD159" s="64"/>
      <c r="AE159" s="64"/>
      <c r="AG159" s="64"/>
    </row>
    <row r="160" spans="3:33">
      <c r="C160" s="38"/>
      <c r="D160" s="26"/>
      <c r="E160" s="26"/>
      <c r="F160" s="14"/>
      <c r="G160" s="14"/>
      <c r="H160" s="14"/>
      <c r="I160" s="15"/>
      <c r="J160" s="36"/>
      <c r="K160" s="39"/>
      <c r="L160" s="39"/>
      <c r="M160" s="24"/>
      <c r="N160" s="24"/>
      <c r="O160" s="23"/>
      <c r="P160" s="75"/>
      <c r="Q160" s="72"/>
      <c r="S160" s="51"/>
      <c r="T160" s="51"/>
      <c r="U160" s="51"/>
      <c r="V160" s="70"/>
      <c r="W160" s="79"/>
      <c r="X160" s="70"/>
      <c r="Y160" s="70"/>
      <c r="Z160" s="70"/>
      <c r="AB160" s="63"/>
      <c r="AC160" s="33"/>
      <c r="AD160" s="64"/>
      <c r="AE160" s="64"/>
      <c r="AG160" s="64"/>
    </row>
    <row r="161" spans="3:34">
      <c r="C161" s="38"/>
      <c r="D161" s="26"/>
      <c r="E161" s="26"/>
      <c r="F161" s="14"/>
      <c r="G161" s="14"/>
      <c r="H161" s="14"/>
      <c r="I161" s="15"/>
      <c r="J161" s="36"/>
      <c r="K161" s="39"/>
      <c r="L161" s="39"/>
      <c r="M161" s="24"/>
      <c r="N161" s="24"/>
      <c r="O161" s="23"/>
      <c r="P161" s="75"/>
      <c r="Q161" s="72"/>
      <c r="S161" s="51"/>
      <c r="T161" s="51"/>
      <c r="U161" s="51"/>
      <c r="V161" s="70"/>
      <c r="W161" s="79"/>
      <c r="X161" s="70"/>
      <c r="Y161" s="70"/>
      <c r="Z161" s="70"/>
      <c r="AB161" s="63"/>
      <c r="AC161" s="33"/>
      <c r="AD161" s="64"/>
      <c r="AE161" s="64"/>
      <c r="AG161" s="64"/>
    </row>
    <row r="162" spans="3:34">
      <c r="C162" s="82"/>
      <c r="D162" s="67"/>
      <c r="E162" s="67"/>
      <c r="F162" s="83"/>
      <c r="G162" s="83"/>
      <c r="H162" s="83"/>
      <c r="I162" s="15"/>
      <c r="J162" s="36"/>
      <c r="K162" s="39"/>
      <c r="L162" s="39"/>
      <c r="M162" s="24"/>
      <c r="N162" s="24"/>
      <c r="O162" s="23"/>
      <c r="P162" s="75"/>
      <c r="Q162" s="72"/>
      <c r="S162" s="51"/>
      <c r="T162" s="51"/>
      <c r="U162" s="51"/>
      <c r="V162" s="70"/>
      <c r="W162" s="79"/>
      <c r="X162" s="70"/>
      <c r="Y162" s="70"/>
      <c r="Z162" s="70"/>
      <c r="AB162" s="63"/>
      <c r="AC162" s="33"/>
      <c r="AD162" s="64"/>
      <c r="AE162" s="64"/>
      <c r="AG162" s="64"/>
    </row>
    <row r="163" spans="3:34">
      <c r="C163" s="82"/>
      <c r="D163" s="67"/>
      <c r="E163" s="67"/>
      <c r="F163" s="83"/>
      <c r="G163" s="83"/>
      <c r="H163" s="83"/>
      <c r="I163" s="15"/>
      <c r="J163" s="36"/>
      <c r="K163" s="39"/>
      <c r="L163" s="39"/>
      <c r="M163" s="24"/>
      <c r="N163" s="24"/>
      <c r="O163" s="23"/>
      <c r="P163" s="75"/>
      <c r="Q163" s="72"/>
      <c r="S163" s="51"/>
      <c r="T163" s="51"/>
      <c r="U163" s="51"/>
      <c r="V163" s="70"/>
      <c r="W163" s="79"/>
      <c r="X163" s="70"/>
      <c r="Y163" s="70"/>
      <c r="Z163" s="70"/>
      <c r="AB163" s="63"/>
      <c r="AC163" s="33"/>
      <c r="AD163" s="64"/>
      <c r="AE163" s="64"/>
      <c r="AG163" s="64"/>
    </row>
    <row r="164" spans="3:34">
      <c r="C164" s="82"/>
      <c r="D164" s="67"/>
      <c r="E164" s="67"/>
      <c r="F164" s="83"/>
      <c r="G164" s="83"/>
      <c r="H164" s="83"/>
      <c r="I164" s="15"/>
      <c r="J164" s="36"/>
      <c r="K164" s="39"/>
      <c r="L164" s="39"/>
      <c r="M164" s="24"/>
      <c r="N164" s="24"/>
      <c r="O164" s="23"/>
      <c r="P164" s="75"/>
      <c r="Q164" s="72"/>
      <c r="S164" s="51"/>
      <c r="T164" s="51"/>
      <c r="U164" s="51"/>
      <c r="V164" s="70"/>
      <c r="W164" s="79"/>
      <c r="X164" s="70"/>
      <c r="Y164" s="70"/>
      <c r="Z164" s="70"/>
      <c r="AB164" s="63"/>
      <c r="AC164" s="33"/>
      <c r="AD164" s="64"/>
      <c r="AE164" s="64"/>
      <c r="AG164" s="64"/>
    </row>
    <row r="165" spans="3:34">
      <c r="C165" s="84"/>
      <c r="D165" s="85"/>
      <c r="E165" s="67"/>
      <c r="F165" s="83"/>
      <c r="G165" s="83"/>
      <c r="H165" s="83"/>
      <c r="I165" s="15"/>
      <c r="J165" s="36"/>
      <c r="K165" s="39"/>
      <c r="L165" s="39"/>
      <c r="M165" s="24"/>
      <c r="N165" s="24"/>
      <c r="O165" s="23"/>
      <c r="P165" s="75"/>
      <c r="Q165" s="72"/>
      <c r="S165" s="51"/>
      <c r="T165" s="51"/>
      <c r="U165" s="51"/>
      <c r="V165" s="70"/>
      <c r="W165" s="79"/>
      <c r="X165" s="70"/>
      <c r="Y165" s="70"/>
      <c r="Z165" s="70"/>
      <c r="AB165" s="63"/>
      <c r="AC165" s="33"/>
      <c r="AD165" s="64"/>
      <c r="AE165" s="64"/>
      <c r="AG165" s="64"/>
    </row>
    <row r="166" spans="3:34">
      <c r="C166" s="82"/>
      <c r="D166" s="26"/>
      <c r="E166" s="26"/>
      <c r="F166" s="83"/>
      <c r="G166" s="83"/>
      <c r="H166" s="83"/>
      <c r="I166" s="15"/>
      <c r="J166" s="36"/>
      <c r="K166" s="39"/>
      <c r="L166" s="39"/>
      <c r="M166" s="24"/>
      <c r="N166" s="24"/>
      <c r="O166" s="23"/>
      <c r="P166" s="75"/>
      <c r="Q166" s="72"/>
      <c r="S166" s="51"/>
      <c r="T166" s="51"/>
      <c r="U166" s="51"/>
      <c r="V166" s="70"/>
      <c r="W166" s="79"/>
      <c r="X166" s="70"/>
      <c r="Y166" s="70"/>
      <c r="Z166" s="70"/>
      <c r="AB166" s="63"/>
      <c r="AC166" s="33"/>
      <c r="AD166" s="64"/>
      <c r="AE166" s="64"/>
      <c r="AG166" s="64"/>
    </row>
    <row r="167" spans="3:34">
      <c r="C167" s="82"/>
      <c r="D167" s="67"/>
      <c r="E167" s="67"/>
      <c r="F167" s="83"/>
      <c r="G167" s="83"/>
      <c r="H167" s="83"/>
      <c r="I167" s="15"/>
      <c r="J167" s="36"/>
      <c r="K167" s="39"/>
      <c r="L167" s="39"/>
      <c r="M167" s="24"/>
      <c r="N167" s="24"/>
      <c r="O167" s="23"/>
      <c r="P167" s="75"/>
      <c r="Q167" s="72"/>
      <c r="S167" s="51"/>
      <c r="T167" s="51"/>
      <c r="U167" s="51"/>
      <c r="V167" s="70"/>
      <c r="W167" s="79"/>
      <c r="X167" s="70"/>
      <c r="Y167" s="70"/>
      <c r="Z167" s="70"/>
      <c r="AB167" s="63"/>
      <c r="AC167" s="33"/>
      <c r="AD167" s="64"/>
      <c r="AE167" s="64"/>
      <c r="AG167" s="64"/>
    </row>
    <row r="168" spans="3:34">
      <c r="C168" s="82"/>
      <c r="D168" s="67"/>
      <c r="E168" s="67"/>
      <c r="F168" s="83"/>
      <c r="G168" s="83"/>
      <c r="H168" s="83"/>
      <c r="I168" s="15"/>
      <c r="J168" s="36"/>
      <c r="K168" s="39"/>
      <c r="L168" s="39"/>
      <c r="M168" s="24"/>
      <c r="N168" s="24"/>
      <c r="O168" s="23"/>
      <c r="P168" s="75"/>
      <c r="Q168" s="72"/>
      <c r="S168" s="51"/>
      <c r="T168" s="51"/>
      <c r="U168" s="51"/>
      <c r="V168" s="70"/>
      <c r="W168" s="79"/>
      <c r="X168" s="70"/>
      <c r="Y168" s="70"/>
      <c r="Z168" s="70"/>
      <c r="AB168" s="63"/>
      <c r="AC168" s="33"/>
      <c r="AD168" s="64"/>
      <c r="AE168" s="64"/>
      <c r="AG168" s="64"/>
    </row>
    <row r="169" spans="3:34">
      <c r="C169" s="82"/>
      <c r="D169" s="67"/>
      <c r="E169" s="67"/>
      <c r="F169" s="83"/>
      <c r="G169" s="83"/>
      <c r="H169" s="83"/>
      <c r="I169" s="15"/>
      <c r="J169" s="36"/>
      <c r="K169" s="39"/>
      <c r="L169" s="39"/>
      <c r="M169" s="24"/>
      <c r="N169" s="24"/>
      <c r="O169" s="23"/>
      <c r="P169" s="75"/>
      <c r="Q169" s="72"/>
      <c r="S169" s="51"/>
      <c r="T169" s="51"/>
      <c r="U169" s="51"/>
      <c r="V169" s="70"/>
      <c r="W169" s="79"/>
      <c r="X169" s="70"/>
      <c r="Y169" s="70"/>
      <c r="Z169" s="70"/>
      <c r="AB169" s="63"/>
      <c r="AC169" s="33"/>
      <c r="AD169" s="64"/>
      <c r="AE169" s="64"/>
      <c r="AG169" s="64"/>
    </row>
    <row r="170" spans="3:34">
      <c r="C170" s="82"/>
      <c r="D170" s="67"/>
      <c r="E170" s="67"/>
      <c r="F170" s="83"/>
      <c r="G170" s="83"/>
      <c r="H170" s="83"/>
      <c r="I170" s="15"/>
      <c r="J170" s="86"/>
      <c r="K170" s="87"/>
      <c r="L170" s="87"/>
      <c r="M170" s="88"/>
      <c r="N170" s="88"/>
      <c r="O170" s="89"/>
      <c r="P170" s="90"/>
      <c r="Q170" s="72"/>
      <c r="S170" s="51"/>
      <c r="T170" s="51"/>
      <c r="U170" s="51"/>
      <c r="V170" s="70"/>
      <c r="W170" s="79"/>
      <c r="X170" s="70"/>
      <c r="Y170" s="70"/>
      <c r="Z170" s="70"/>
      <c r="AB170" s="63"/>
      <c r="AC170" s="33"/>
      <c r="AD170" s="64"/>
      <c r="AE170" s="64"/>
      <c r="AG170" s="64"/>
      <c r="AH170" s="6"/>
    </row>
    <row r="171" spans="3:34">
      <c r="C171" s="82"/>
      <c r="D171" s="67"/>
      <c r="E171" s="67"/>
      <c r="F171" s="83"/>
      <c r="G171" s="83"/>
      <c r="H171" s="83"/>
      <c r="I171" s="15"/>
      <c r="J171" s="86"/>
      <c r="K171" s="87"/>
      <c r="L171" s="87"/>
      <c r="M171" s="88"/>
      <c r="N171" s="88"/>
      <c r="O171" s="89"/>
      <c r="P171" s="90"/>
      <c r="Q171" s="72"/>
      <c r="S171" s="51"/>
      <c r="T171" s="51"/>
      <c r="U171" s="51"/>
      <c r="V171" s="70"/>
      <c r="W171" s="79"/>
      <c r="X171" s="70"/>
      <c r="Y171" s="70"/>
      <c r="Z171" s="70"/>
      <c r="AB171" s="63"/>
      <c r="AC171" s="33"/>
      <c r="AD171" s="64"/>
      <c r="AE171" s="64"/>
      <c r="AG171" s="64"/>
    </row>
    <row r="172" spans="3:34">
      <c r="C172" s="82"/>
      <c r="D172" s="67"/>
      <c r="E172" s="67"/>
      <c r="F172" s="83"/>
      <c r="G172" s="83"/>
      <c r="H172" s="83"/>
      <c r="I172" s="15"/>
      <c r="J172" s="86"/>
      <c r="K172" s="87"/>
      <c r="L172" s="87"/>
      <c r="M172" s="88"/>
      <c r="N172" s="88"/>
      <c r="O172" s="89"/>
      <c r="P172" s="90"/>
      <c r="Q172" s="72"/>
      <c r="S172" s="51"/>
      <c r="T172" s="51"/>
      <c r="U172" s="51"/>
      <c r="V172" s="70"/>
      <c r="W172" s="79"/>
      <c r="X172" s="70"/>
      <c r="Y172" s="70"/>
      <c r="Z172" s="70"/>
      <c r="AB172" s="63"/>
      <c r="AC172" s="33"/>
      <c r="AD172" s="64"/>
      <c r="AE172" s="64"/>
      <c r="AG172" s="64"/>
    </row>
    <row r="173" spans="3:34">
      <c r="C173" s="82"/>
      <c r="D173" s="67"/>
      <c r="E173" s="67"/>
      <c r="F173" s="83"/>
      <c r="G173" s="83"/>
      <c r="H173" s="83"/>
      <c r="I173" s="15"/>
      <c r="J173" s="86"/>
      <c r="K173" s="87"/>
      <c r="L173" s="87"/>
      <c r="M173" s="88"/>
      <c r="N173" s="88"/>
      <c r="O173" s="89"/>
      <c r="P173" s="90"/>
      <c r="Q173" s="72"/>
      <c r="S173" s="51"/>
      <c r="T173" s="51"/>
      <c r="U173" s="51"/>
      <c r="V173" s="70"/>
      <c r="W173" s="79"/>
      <c r="X173" s="70"/>
      <c r="Y173" s="70"/>
      <c r="Z173" s="70"/>
      <c r="AB173" s="63"/>
      <c r="AC173" s="33"/>
      <c r="AD173" s="64"/>
      <c r="AE173" s="64"/>
      <c r="AG173" s="64"/>
    </row>
    <row r="174" spans="3:34">
      <c r="C174" s="82"/>
      <c r="D174" s="67"/>
      <c r="E174" s="67"/>
      <c r="F174" s="83"/>
      <c r="G174" s="83"/>
      <c r="H174" s="83"/>
      <c r="I174" s="15"/>
      <c r="J174" s="86"/>
      <c r="K174" s="87"/>
      <c r="L174" s="87"/>
      <c r="M174" s="88"/>
      <c r="N174" s="88"/>
      <c r="O174" s="89"/>
      <c r="P174" s="90"/>
      <c r="Q174" s="72"/>
      <c r="S174" s="51"/>
      <c r="T174" s="51"/>
      <c r="U174" s="51"/>
      <c r="V174" s="70"/>
      <c r="W174" s="79"/>
      <c r="X174" s="70"/>
      <c r="Y174" s="70"/>
      <c r="Z174" s="70"/>
      <c r="AB174" s="63"/>
      <c r="AC174" s="33"/>
      <c r="AD174" s="64"/>
      <c r="AE174" s="64"/>
      <c r="AG174" s="64"/>
    </row>
    <row r="175" spans="3:34">
      <c r="C175" s="82"/>
      <c r="D175" s="67"/>
      <c r="E175" s="67"/>
      <c r="F175" s="83"/>
      <c r="G175" s="83"/>
      <c r="H175" s="83"/>
      <c r="I175" s="15"/>
      <c r="J175" s="86"/>
      <c r="K175" s="87"/>
      <c r="L175" s="87"/>
      <c r="M175" s="88"/>
      <c r="N175" s="88"/>
      <c r="O175" s="89"/>
      <c r="P175" s="90"/>
      <c r="Q175" s="72"/>
      <c r="S175" s="51"/>
      <c r="T175" s="51"/>
      <c r="U175" s="51"/>
      <c r="V175" s="70"/>
      <c r="W175" s="79"/>
      <c r="X175" s="70"/>
      <c r="Y175" s="70"/>
      <c r="Z175" s="70"/>
      <c r="AB175" s="63"/>
      <c r="AC175" s="33"/>
      <c r="AD175" s="64"/>
      <c r="AE175" s="64"/>
      <c r="AG175" s="64"/>
    </row>
    <row r="176" spans="3:34">
      <c r="C176" s="84"/>
      <c r="D176" s="85"/>
      <c r="E176" s="67"/>
      <c r="F176" s="83"/>
      <c r="G176" s="83"/>
      <c r="H176" s="83"/>
      <c r="I176" s="15"/>
      <c r="J176" s="86"/>
      <c r="K176" s="87"/>
      <c r="L176" s="87"/>
      <c r="M176" s="88"/>
      <c r="N176" s="88"/>
      <c r="O176" s="89"/>
      <c r="P176" s="90"/>
      <c r="Q176" s="72"/>
      <c r="S176" s="51"/>
      <c r="T176" s="51"/>
      <c r="U176" s="51"/>
      <c r="V176" s="70"/>
      <c r="W176" s="79"/>
      <c r="X176" s="70"/>
      <c r="Y176" s="70"/>
      <c r="Z176" s="70"/>
      <c r="AB176" s="63"/>
      <c r="AC176" s="33"/>
      <c r="AD176" s="64"/>
      <c r="AE176" s="64"/>
      <c r="AG176" s="64"/>
    </row>
    <row r="177" spans="3:34">
      <c r="C177" s="38"/>
      <c r="D177" s="26"/>
      <c r="E177" s="26"/>
      <c r="F177" s="14"/>
      <c r="G177" s="14"/>
      <c r="H177" s="14"/>
      <c r="I177" s="15"/>
      <c r="J177" s="86"/>
      <c r="K177" s="87"/>
      <c r="L177" s="87"/>
      <c r="M177" s="88"/>
      <c r="N177" s="88"/>
      <c r="O177" s="89"/>
      <c r="P177" s="90"/>
      <c r="Q177" s="72"/>
      <c r="S177" s="51"/>
      <c r="T177" s="51"/>
      <c r="U177" s="51"/>
      <c r="V177" s="70"/>
      <c r="W177" s="79"/>
      <c r="X177" s="70"/>
      <c r="Y177" s="70"/>
      <c r="Z177" s="70"/>
      <c r="AB177" s="63"/>
      <c r="AC177" s="33"/>
      <c r="AD177" s="64"/>
      <c r="AE177" s="64"/>
      <c r="AG177" s="64"/>
    </row>
    <row r="178" spans="3:34">
      <c r="C178" s="38"/>
      <c r="D178" s="26"/>
      <c r="E178" s="26"/>
      <c r="F178" s="14"/>
      <c r="G178" s="14"/>
      <c r="H178" s="14"/>
      <c r="I178" s="15"/>
      <c r="J178" s="86"/>
      <c r="K178" s="87"/>
      <c r="L178" s="87"/>
      <c r="M178" s="88"/>
      <c r="N178" s="88"/>
      <c r="O178" s="89"/>
      <c r="P178" s="90"/>
      <c r="Q178" s="72"/>
      <c r="S178" s="51"/>
      <c r="T178" s="51"/>
      <c r="U178" s="51"/>
      <c r="V178" s="70"/>
      <c r="W178" s="79"/>
      <c r="X178" s="70"/>
      <c r="Y178" s="70"/>
      <c r="Z178" s="70"/>
      <c r="AB178" s="63"/>
      <c r="AC178" s="33"/>
      <c r="AD178" s="64"/>
      <c r="AE178" s="64"/>
      <c r="AG178" s="64"/>
    </row>
    <row r="179" spans="3:34">
      <c r="C179" s="38"/>
      <c r="D179" s="26"/>
      <c r="E179" s="26"/>
      <c r="F179" s="14"/>
      <c r="G179" s="14"/>
      <c r="H179" s="14"/>
      <c r="I179" s="15"/>
      <c r="J179" s="86"/>
      <c r="K179" s="87"/>
      <c r="L179" s="87"/>
      <c r="M179" s="88"/>
      <c r="N179" s="88"/>
      <c r="O179" s="89"/>
      <c r="P179" s="90"/>
      <c r="Q179" s="72"/>
      <c r="S179" s="51"/>
      <c r="T179" s="51"/>
      <c r="U179" s="51"/>
      <c r="V179" s="70"/>
      <c r="W179" s="79"/>
      <c r="X179" s="70"/>
      <c r="Y179" s="70"/>
      <c r="Z179" s="70"/>
      <c r="AB179" s="63"/>
      <c r="AC179" s="33"/>
      <c r="AD179" s="64"/>
      <c r="AE179" s="64"/>
      <c r="AG179" s="64"/>
    </row>
    <row r="180" spans="3:34">
      <c r="C180" s="38"/>
      <c r="D180" s="26"/>
      <c r="E180" s="26"/>
      <c r="F180" s="14"/>
      <c r="G180" s="14"/>
      <c r="H180" s="14"/>
      <c r="I180" s="15"/>
      <c r="J180" s="86"/>
      <c r="K180" s="87"/>
      <c r="L180" s="87"/>
      <c r="M180" s="88"/>
      <c r="N180" s="88"/>
      <c r="O180" s="89"/>
      <c r="P180" s="90"/>
      <c r="Q180" s="72"/>
      <c r="S180" s="51"/>
      <c r="T180" s="51"/>
      <c r="U180" s="51"/>
      <c r="V180" s="70"/>
      <c r="W180" s="79"/>
      <c r="X180" s="70"/>
      <c r="Y180" s="70"/>
      <c r="Z180" s="70"/>
      <c r="AB180" s="63"/>
      <c r="AC180" s="33"/>
      <c r="AD180" s="64"/>
      <c r="AE180" s="64"/>
      <c r="AG180" s="64"/>
    </row>
    <row r="181" spans="3:34">
      <c r="C181" s="38"/>
      <c r="D181" s="26"/>
      <c r="E181" s="26"/>
      <c r="F181" s="14"/>
      <c r="G181" s="14"/>
      <c r="H181" s="14"/>
      <c r="I181" s="15"/>
      <c r="J181" s="86"/>
      <c r="K181" s="87"/>
      <c r="L181" s="87"/>
      <c r="M181" s="88"/>
      <c r="N181" s="88"/>
      <c r="O181" s="89"/>
      <c r="P181" s="90"/>
      <c r="Q181" s="72"/>
      <c r="S181" s="51"/>
      <c r="T181" s="51"/>
      <c r="U181" s="51"/>
      <c r="V181" s="70"/>
      <c r="W181" s="79"/>
      <c r="X181" s="70"/>
      <c r="Y181" s="70"/>
      <c r="Z181" s="70"/>
      <c r="AB181" s="63"/>
      <c r="AC181" s="33"/>
      <c r="AD181" s="64"/>
      <c r="AE181" s="64"/>
      <c r="AG181" s="64"/>
    </row>
    <row r="182" spans="3:34">
      <c r="C182" s="38"/>
      <c r="D182" s="26"/>
      <c r="E182" s="26"/>
      <c r="F182" s="14"/>
      <c r="G182" s="14"/>
      <c r="H182" s="14"/>
      <c r="I182" s="15"/>
      <c r="J182" s="91"/>
      <c r="K182" s="92"/>
      <c r="L182" s="92"/>
      <c r="M182" s="93"/>
      <c r="N182" s="93"/>
      <c r="O182" s="94"/>
      <c r="P182" s="93"/>
      <c r="Q182" s="72"/>
      <c r="S182" s="51"/>
      <c r="T182" s="51"/>
      <c r="U182" s="51"/>
      <c r="V182" s="78"/>
      <c r="W182" s="95"/>
      <c r="X182" s="78"/>
      <c r="Y182" s="78"/>
      <c r="Z182" s="78"/>
      <c r="AB182" s="63"/>
      <c r="AC182" s="33"/>
      <c r="AD182" s="64"/>
      <c r="AE182" s="64"/>
      <c r="AG182" s="64"/>
    </row>
    <row r="183" spans="3:34">
      <c r="C183" s="38"/>
      <c r="D183" s="26"/>
      <c r="E183" s="26"/>
      <c r="F183" s="14"/>
      <c r="G183" s="14"/>
      <c r="H183" s="14"/>
      <c r="I183" s="15"/>
      <c r="J183" s="86"/>
      <c r="K183" s="87"/>
      <c r="L183" s="87"/>
      <c r="M183" s="88"/>
      <c r="N183" s="88"/>
      <c r="O183" s="89"/>
      <c r="P183" s="90"/>
      <c r="Q183" s="72"/>
      <c r="S183" s="51"/>
      <c r="T183" s="51"/>
      <c r="U183" s="51"/>
      <c r="V183" s="70"/>
      <c r="W183" s="79"/>
      <c r="X183" s="70"/>
      <c r="Y183" s="70"/>
      <c r="Z183" s="70"/>
      <c r="AB183" s="63"/>
      <c r="AC183" s="33"/>
      <c r="AD183" s="64"/>
      <c r="AE183" s="64"/>
      <c r="AG183" s="64"/>
    </row>
    <row r="184" spans="3:34">
      <c r="C184" s="38"/>
      <c r="D184" s="26"/>
      <c r="E184" s="26"/>
      <c r="F184" s="14"/>
      <c r="G184" s="14"/>
      <c r="H184" s="14"/>
      <c r="I184" s="15"/>
      <c r="J184" s="86"/>
      <c r="K184" s="87"/>
      <c r="L184" s="87"/>
      <c r="M184" s="88"/>
      <c r="N184" s="88"/>
      <c r="O184" s="89"/>
      <c r="P184" s="90"/>
      <c r="Q184" s="72"/>
      <c r="S184" s="51"/>
      <c r="T184" s="51"/>
      <c r="U184" s="51"/>
      <c r="V184" s="70"/>
      <c r="W184" s="79"/>
      <c r="X184" s="70"/>
      <c r="Y184" s="70"/>
      <c r="Z184" s="70"/>
      <c r="AB184" s="63"/>
      <c r="AC184" s="33"/>
      <c r="AD184" s="64"/>
      <c r="AE184" s="64"/>
      <c r="AG184" s="64"/>
    </row>
    <row r="185" spans="3:34">
      <c r="C185" s="96"/>
      <c r="D185" s="59"/>
      <c r="E185" s="26"/>
      <c r="F185" s="14"/>
      <c r="G185" s="14"/>
      <c r="H185" s="14"/>
      <c r="I185" s="15"/>
      <c r="J185" s="86"/>
      <c r="K185" s="87"/>
      <c r="L185" s="87"/>
      <c r="M185" s="88"/>
      <c r="N185" s="88"/>
      <c r="O185" s="89"/>
      <c r="P185" s="90"/>
      <c r="Q185" s="72"/>
      <c r="S185" s="51"/>
      <c r="T185" s="51"/>
      <c r="U185" s="51"/>
      <c r="V185" s="70"/>
      <c r="W185" s="79"/>
      <c r="X185" s="70"/>
      <c r="Y185" s="70"/>
      <c r="Z185" s="70"/>
      <c r="AB185" s="63"/>
      <c r="AC185" s="33"/>
      <c r="AD185" s="64"/>
      <c r="AE185" s="64"/>
      <c r="AG185" s="64"/>
    </row>
    <row r="186" spans="3:34">
      <c r="C186" s="96"/>
      <c r="D186" s="59"/>
      <c r="E186" s="26"/>
      <c r="F186" s="14"/>
      <c r="G186" s="14"/>
      <c r="H186" s="14"/>
      <c r="I186" s="15"/>
      <c r="J186" s="36"/>
      <c r="K186" s="39"/>
      <c r="L186" s="39"/>
      <c r="M186" s="24"/>
      <c r="N186" s="24"/>
      <c r="O186" s="23"/>
      <c r="P186" s="75"/>
      <c r="Q186" s="72"/>
      <c r="S186" s="51"/>
      <c r="T186" s="51"/>
      <c r="U186" s="51"/>
      <c r="V186" s="70"/>
      <c r="W186" s="79"/>
      <c r="X186" s="70"/>
      <c r="Y186" s="70"/>
      <c r="Z186" s="70"/>
      <c r="AB186" s="63"/>
      <c r="AC186" s="33"/>
      <c r="AD186" s="64"/>
      <c r="AE186" s="64"/>
      <c r="AG186" s="64"/>
    </row>
    <row r="187" spans="3:34">
      <c r="C187" s="38"/>
      <c r="D187" s="26"/>
      <c r="E187" s="26"/>
      <c r="F187" s="14"/>
      <c r="G187" s="14"/>
      <c r="H187" s="14"/>
      <c r="I187" s="15"/>
      <c r="J187" s="36"/>
      <c r="K187" s="39"/>
      <c r="L187" s="39"/>
      <c r="M187" s="24"/>
      <c r="N187" s="24"/>
      <c r="O187" s="23"/>
      <c r="P187" s="75"/>
      <c r="Q187" s="72"/>
      <c r="S187" s="51"/>
      <c r="T187" s="51"/>
      <c r="U187" s="51"/>
      <c r="V187" s="70"/>
      <c r="W187" s="79"/>
      <c r="X187" s="70"/>
      <c r="Y187" s="70"/>
      <c r="Z187" s="70"/>
      <c r="AB187" s="63"/>
      <c r="AC187" s="33"/>
      <c r="AD187" s="64"/>
      <c r="AE187" s="64"/>
      <c r="AG187" s="64"/>
    </row>
    <row r="188" spans="3:34">
      <c r="C188" s="96"/>
      <c r="D188" s="59"/>
      <c r="E188" s="26"/>
      <c r="F188" s="14"/>
      <c r="G188" s="14"/>
      <c r="H188" s="14"/>
      <c r="I188" s="15"/>
      <c r="J188" s="97"/>
      <c r="K188" s="98"/>
      <c r="L188" s="98"/>
      <c r="M188" s="99"/>
      <c r="N188" s="99"/>
      <c r="O188" s="100"/>
      <c r="P188" s="101"/>
      <c r="Q188" s="72"/>
      <c r="S188" s="51"/>
      <c r="T188" s="51"/>
      <c r="U188" s="51"/>
      <c r="V188" s="70"/>
      <c r="W188" s="79"/>
      <c r="X188" s="70"/>
      <c r="Y188" s="70"/>
      <c r="Z188" s="70"/>
      <c r="AB188" s="63"/>
      <c r="AC188" s="33"/>
      <c r="AD188" s="64"/>
      <c r="AE188" s="64"/>
      <c r="AG188" s="64"/>
    </row>
    <row r="189" spans="3:34">
      <c r="C189" s="15"/>
      <c r="D189" s="26"/>
      <c r="E189" s="26"/>
      <c r="F189" s="102"/>
      <c r="G189" s="102"/>
      <c r="H189" s="102"/>
      <c r="I189" s="15"/>
      <c r="J189" s="36"/>
      <c r="K189" s="39"/>
      <c r="L189" s="39"/>
      <c r="M189" s="24"/>
      <c r="N189" s="24"/>
      <c r="O189" s="23"/>
      <c r="P189" s="75"/>
      <c r="Q189" s="72"/>
      <c r="S189" s="51"/>
      <c r="T189" s="51"/>
      <c r="U189" s="51"/>
      <c r="V189" s="70"/>
      <c r="W189" s="79"/>
      <c r="X189" s="70"/>
      <c r="Y189" s="70"/>
      <c r="Z189" s="70"/>
      <c r="AB189" s="63"/>
      <c r="AC189" s="33"/>
      <c r="AD189" s="64"/>
      <c r="AE189" s="64"/>
      <c r="AG189" s="64"/>
      <c r="AH189" s="6"/>
    </row>
    <row r="190" spans="3:34">
      <c r="C190" s="15"/>
      <c r="D190" s="26"/>
      <c r="E190" s="26"/>
      <c r="F190" s="102"/>
      <c r="G190" s="102"/>
      <c r="H190" s="102"/>
      <c r="I190" s="15"/>
      <c r="J190" s="36"/>
      <c r="K190" s="39"/>
      <c r="L190" s="39"/>
      <c r="M190" s="24"/>
      <c r="N190" s="24"/>
      <c r="O190" s="23"/>
      <c r="P190" s="75"/>
      <c r="Q190" s="72"/>
      <c r="S190" s="51"/>
      <c r="T190" s="51"/>
      <c r="U190" s="51"/>
      <c r="V190" s="70"/>
      <c r="W190" s="79"/>
      <c r="X190" s="70"/>
      <c r="Y190" s="70"/>
      <c r="Z190" s="70"/>
      <c r="AB190" s="63"/>
      <c r="AC190" s="33"/>
      <c r="AD190" s="64"/>
      <c r="AE190" s="64"/>
      <c r="AG190" s="64"/>
    </row>
    <row r="191" spans="3:34">
      <c r="C191" s="15"/>
      <c r="D191" s="26"/>
      <c r="E191" s="26"/>
      <c r="F191" s="102"/>
      <c r="G191" s="102"/>
      <c r="H191" s="102"/>
      <c r="I191" s="15"/>
      <c r="J191" s="36"/>
      <c r="K191" s="39"/>
      <c r="L191" s="39"/>
      <c r="M191" s="24"/>
      <c r="N191" s="24"/>
      <c r="O191" s="23"/>
      <c r="P191" s="75"/>
      <c r="Q191" s="72"/>
      <c r="S191" s="51"/>
      <c r="T191" s="51"/>
      <c r="U191" s="51"/>
      <c r="V191" s="70"/>
      <c r="W191" s="79"/>
      <c r="X191" s="70"/>
      <c r="Y191" s="70"/>
      <c r="Z191" s="70"/>
      <c r="AB191" s="63"/>
      <c r="AC191" s="33"/>
      <c r="AD191" s="64"/>
      <c r="AE191" s="64"/>
      <c r="AG191" s="64"/>
    </row>
    <row r="192" spans="3:34">
      <c r="C192" s="15"/>
      <c r="D192" s="26"/>
      <c r="E192" s="26"/>
      <c r="F192" s="102"/>
      <c r="G192" s="102"/>
      <c r="H192" s="102"/>
      <c r="I192" s="15"/>
      <c r="J192" s="36"/>
      <c r="K192" s="39"/>
      <c r="L192" s="39"/>
      <c r="M192" s="24"/>
      <c r="N192" s="24"/>
      <c r="O192" s="23"/>
      <c r="P192" s="75"/>
      <c r="Q192" s="72"/>
      <c r="AB192" s="64"/>
      <c r="AC192" s="33"/>
      <c r="AD192" s="64"/>
      <c r="AE192" s="64"/>
      <c r="AG192" s="64"/>
    </row>
    <row r="193" spans="3:33">
      <c r="C193" s="15"/>
      <c r="D193" s="26"/>
      <c r="E193" s="26"/>
      <c r="F193" s="102"/>
      <c r="G193" s="102"/>
      <c r="H193" s="102"/>
      <c r="I193" s="15"/>
      <c r="J193" s="36"/>
      <c r="K193" s="39"/>
      <c r="L193" s="39"/>
      <c r="M193" s="24"/>
      <c r="N193" s="24"/>
      <c r="O193" s="23"/>
      <c r="P193" s="75"/>
      <c r="Q193" s="72"/>
      <c r="AB193" s="64"/>
      <c r="AC193" s="33"/>
      <c r="AD193" s="64"/>
      <c r="AE193" s="64"/>
      <c r="AG193" s="64"/>
    </row>
    <row r="194" spans="3:33">
      <c r="C194" s="15"/>
      <c r="D194" s="26"/>
      <c r="E194" s="26"/>
      <c r="F194" s="102"/>
      <c r="G194" s="102"/>
      <c r="H194" s="102"/>
      <c r="I194" s="15"/>
      <c r="J194" s="36"/>
      <c r="K194" s="39"/>
      <c r="L194" s="39"/>
      <c r="M194" s="24"/>
      <c r="N194" s="24"/>
      <c r="O194" s="23"/>
      <c r="P194" s="75"/>
      <c r="Q194" s="72"/>
      <c r="AB194" s="64"/>
      <c r="AC194" s="33"/>
      <c r="AD194" s="64"/>
      <c r="AE194" s="64"/>
      <c r="AG194" s="64"/>
    </row>
    <row r="195" spans="3:33">
      <c r="C195" s="15"/>
      <c r="D195" s="26"/>
      <c r="E195" s="26"/>
      <c r="F195" s="102"/>
      <c r="G195" s="102"/>
      <c r="H195" s="102"/>
      <c r="I195" s="15"/>
      <c r="J195" s="36"/>
      <c r="K195" s="39"/>
      <c r="L195" s="39"/>
      <c r="M195" s="24"/>
      <c r="N195" s="24"/>
      <c r="O195" s="23"/>
      <c r="P195" s="75"/>
      <c r="Q195" s="72"/>
      <c r="AB195" s="64"/>
      <c r="AC195" s="33"/>
      <c r="AD195" s="64"/>
      <c r="AE195" s="64"/>
      <c r="AG195" s="64"/>
    </row>
    <row r="196" spans="3:33">
      <c r="C196" s="15"/>
      <c r="D196" s="26"/>
      <c r="E196" s="26"/>
      <c r="F196" s="102"/>
      <c r="G196" s="102"/>
      <c r="H196" s="102"/>
      <c r="I196" s="15"/>
      <c r="J196" s="36"/>
      <c r="K196" s="39"/>
      <c r="L196" s="39"/>
      <c r="M196" s="24"/>
      <c r="N196" s="24"/>
      <c r="O196" s="23"/>
      <c r="P196" s="75"/>
      <c r="Q196" s="72"/>
      <c r="AB196" s="64"/>
      <c r="AC196" s="33"/>
      <c r="AD196" s="64"/>
      <c r="AE196" s="64"/>
      <c r="AG196" s="64"/>
    </row>
    <row r="197" spans="3:33">
      <c r="C197" s="15"/>
      <c r="D197" s="26"/>
      <c r="E197" s="26"/>
      <c r="F197" s="102"/>
      <c r="G197" s="102"/>
      <c r="H197" s="102"/>
      <c r="I197" s="15"/>
      <c r="J197" s="36"/>
      <c r="K197" s="39"/>
      <c r="L197" s="39"/>
      <c r="M197" s="24"/>
      <c r="N197" s="24"/>
      <c r="O197" s="23"/>
      <c r="P197" s="75"/>
      <c r="Q197" s="72"/>
      <c r="AB197" s="64"/>
      <c r="AC197" s="33"/>
      <c r="AD197" s="64"/>
      <c r="AE197" s="64"/>
      <c r="AG197" s="64"/>
    </row>
    <row r="198" spans="3:33">
      <c r="C198" s="15"/>
      <c r="D198" s="26"/>
      <c r="E198" s="26"/>
      <c r="F198" s="102"/>
      <c r="G198" s="102"/>
      <c r="H198" s="102"/>
      <c r="I198" s="15"/>
      <c r="J198" s="36"/>
      <c r="K198" s="39"/>
      <c r="L198" s="39"/>
      <c r="M198" s="24"/>
      <c r="N198" s="24"/>
      <c r="O198" s="23"/>
      <c r="P198" s="75"/>
      <c r="Q198" s="72"/>
      <c r="AB198" s="64"/>
      <c r="AC198" s="33"/>
      <c r="AD198" s="64"/>
      <c r="AE198" s="64"/>
      <c r="AG198" s="64"/>
    </row>
    <row r="199" spans="3:33">
      <c r="C199" s="15"/>
      <c r="D199" s="26"/>
      <c r="E199" s="26"/>
      <c r="F199" s="102"/>
      <c r="G199" s="102"/>
      <c r="H199" s="102"/>
      <c r="I199" s="15"/>
      <c r="J199" s="36"/>
      <c r="K199" s="39"/>
      <c r="L199" s="39"/>
      <c r="M199" s="24"/>
      <c r="N199" s="24"/>
      <c r="O199" s="23"/>
      <c r="P199" s="75"/>
      <c r="Q199" s="72"/>
      <c r="AB199" s="64"/>
      <c r="AC199" s="33"/>
      <c r="AD199" s="64"/>
      <c r="AE199" s="64"/>
      <c r="AG199" s="64"/>
    </row>
    <row r="200" spans="3:33">
      <c r="C200" s="15"/>
      <c r="D200" s="26"/>
      <c r="E200" s="26"/>
      <c r="F200" s="102"/>
      <c r="G200" s="102"/>
      <c r="H200" s="102"/>
      <c r="I200" s="15"/>
      <c r="J200" s="36"/>
      <c r="K200" s="39"/>
      <c r="L200" s="39"/>
      <c r="M200" s="24"/>
      <c r="N200" s="24"/>
      <c r="O200" s="23"/>
      <c r="P200" s="75"/>
      <c r="Q200" s="72"/>
      <c r="AB200" s="64"/>
      <c r="AC200" s="33"/>
      <c r="AD200" s="64"/>
      <c r="AE200" s="64"/>
      <c r="AG200" s="64"/>
    </row>
    <row r="201" spans="3:33">
      <c r="C201" s="15"/>
      <c r="D201" s="26"/>
      <c r="E201" s="26"/>
      <c r="F201" s="102"/>
      <c r="G201" s="102"/>
      <c r="H201" s="102"/>
      <c r="I201" s="15"/>
      <c r="J201" s="36"/>
      <c r="K201" s="39"/>
      <c r="L201" s="39"/>
      <c r="M201" s="24"/>
      <c r="N201" s="24"/>
      <c r="O201" s="23"/>
      <c r="P201" s="75"/>
      <c r="Q201" s="72"/>
      <c r="AB201" s="64"/>
      <c r="AC201" s="33"/>
      <c r="AD201" s="64"/>
      <c r="AE201" s="64"/>
      <c r="AG201" s="64"/>
    </row>
    <row r="202" spans="3:33">
      <c r="C202" s="15"/>
      <c r="D202" s="26"/>
      <c r="E202" s="26"/>
      <c r="F202" s="102"/>
      <c r="G202" s="102"/>
      <c r="H202" s="102"/>
      <c r="I202" s="15"/>
      <c r="J202" s="36"/>
      <c r="K202" s="39"/>
      <c r="L202" s="39"/>
      <c r="M202" s="24"/>
      <c r="N202" s="24"/>
      <c r="O202" s="23"/>
      <c r="P202" s="75"/>
      <c r="Q202" s="72"/>
      <c r="AB202" s="64"/>
      <c r="AC202" s="33"/>
      <c r="AD202" s="64"/>
      <c r="AE202" s="64"/>
      <c r="AG202" s="64"/>
    </row>
    <row r="203" spans="3:33">
      <c r="C203" s="15"/>
      <c r="D203" s="26"/>
      <c r="E203" s="26"/>
      <c r="F203" s="102"/>
      <c r="G203" s="102"/>
      <c r="H203" s="102"/>
      <c r="I203" s="15"/>
      <c r="J203" s="37"/>
      <c r="K203" s="39"/>
      <c r="L203" s="39"/>
      <c r="M203" s="24"/>
      <c r="N203" s="24"/>
      <c r="O203" s="23"/>
      <c r="P203" s="75"/>
      <c r="Q203" s="72"/>
      <c r="AB203" s="64"/>
      <c r="AC203" s="33"/>
      <c r="AD203" s="64"/>
      <c r="AE203" s="64"/>
      <c r="AG203" s="64"/>
    </row>
    <row r="204" spans="3:33">
      <c r="C204" s="15"/>
      <c r="D204" s="26"/>
      <c r="E204" s="26"/>
      <c r="F204" s="102"/>
      <c r="G204" s="102"/>
      <c r="H204" s="102"/>
      <c r="I204" s="15"/>
      <c r="J204" s="37"/>
      <c r="K204" s="39"/>
      <c r="L204" s="39"/>
      <c r="M204" s="24"/>
      <c r="N204" s="24"/>
      <c r="O204" s="23"/>
      <c r="P204" s="75"/>
      <c r="Q204" s="72"/>
      <c r="AB204" s="64"/>
      <c r="AC204" s="33"/>
      <c r="AD204" s="64"/>
      <c r="AE204" s="64"/>
      <c r="AG204" s="64"/>
    </row>
    <row r="205" spans="3:33">
      <c r="C205" s="15"/>
      <c r="D205" s="26"/>
      <c r="E205" s="26"/>
      <c r="F205" s="102"/>
      <c r="G205" s="102"/>
      <c r="H205" s="102"/>
      <c r="I205" s="15"/>
      <c r="J205" s="37"/>
      <c r="K205" s="39"/>
      <c r="L205" s="39"/>
      <c r="M205" s="24"/>
      <c r="N205" s="24"/>
      <c r="O205" s="23"/>
      <c r="P205" s="75"/>
      <c r="Q205" s="72"/>
      <c r="AB205" s="64"/>
      <c r="AC205" s="33"/>
      <c r="AD205" s="64"/>
      <c r="AE205" s="64"/>
      <c r="AG205" s="64"/>
    </row>
    <row r="206" spans="3:33">
      <c r="C206" s="15"/>
      <c r="D206" s="26"/>
      <c r="E206" s="26"/>
      <c r="F206" s="102"/>
      <c r="G206" s="102"/>
      <c r="H206" s="102"/>
      <c r="I206" s="15"/>
      <c r="J206" s="37"/>
      <c r="K206" s="39"/>
      <c r="L206" s="39"/>
      <c r="M206" s="24"/>
      <c r="N206" s="24"/>
      <c r="O206" s="23"/>
      <c r="P206" s="75"/>
      <c r="Q206" s="72"/>
      <c r="AB206" s="64"/>
      <c r="AC206" s="33"/>
      <c r="AD206" s="64"/>
      <c r="AE206" s="64"/>
      <c r="AG206" s="64"/>
    </row>
    <row r="207" spans="3:33">
      <c r="C207" s="15"/>
      <c r="D207" s="26"/>
      <c r="E207" s="26"/>
      <c r="F207" s="102"/>
      <c r="G207" s="102"/>
      <c r="H207" s="102"/>
      <c r="I207" s="15"/>
      <c r="J207" s="37"/>
      <c r="K207" s="39"/>
      <c r="L207" s="39"/>
      <c r="M207" s="24"/>
      <c r="N207" s="24"/>
      <c r="O207" s="23"/>
      <c r="P207" s="75"/>
      <c r="Q207" s="72"/>
      <c r="AB207" s="64"/>
      <c r="AC207" s="33"/>
      <c r="AD207" s="64"/>
      <c r="AE207" s="64"/>
      <c r="AG207" s="64"/>
    </row>
    <row r="208" spans="3:33">
      <c r="C208" s="15"/>
      <c r="D208" s="26"/>
      <c r="E208" s="26"/>
      <c r="F208" s="102"/>
      <c r="G208" s="102"/>
      <c r="H208" s="102"/>
      <c r="I208" s="15"/>
      <c r="J208" s="37"/>
      <c r="K208" s="39"/>
      <c r="L208" s="39"/>
      <c r="M208" s="24"/>
      <c r="N208" s="24"/>
      <c r="O208" s="23"/>
      <c r="P208" s="75"/>
      <c r="Q208" s="72"/>
      <c r="AB208" s="64"/>
      <c r="AC208" s="33"/>
      <c r="AD208" s="64"/>
      <c r="AE208" s="64"/>
      <c r="AG208" s="64"/>
    </row>
    <row r="209" spans="3:33">
      <c r="C209" s="15"/>
      <c r="D209" s="26"/>
      <c r="E209" s="26"/>
      <c r="F209" s="102"/>
      <c r="G209" s="102"/>
      <c r="H209" s="102"/>
      <c r="I209" s="15"/>
      <c r="J209" s="37"/>
      <c r="K209" s="39"/>
      <c r="L209" s="39"/>
      <c r="M209" s="24"/>
      <c r="N209" s="24"/>
      <c r="O209" s="23"/>
      <c r="P209" s="75"/>
      <c r="Q209" s="72"/>
      <c r="AB209" s="64"/>
      <c r="AC209" s="33"/>
      <c r="AD209" s="64"/>
      <c r="AE209" s="64"/>
      <c r="AG209" s="64"/>
    </row>
    <row r="210" spans="3:33">
      <c r="C210" s="15"/>
      <c r="D210" s="26"/>
      <c r="E210" s="26"/>
      <c r="F210" s="102"/>
      <c r="G210" s="102"/>
      <c r="H210" s="102"/>
      <c r="I210" s="15"/>
      <c r="J210" s="37"/>
      <c r="K210" s="39"/>
      <c r="L210" s="39"/>
      <c r="M210" s="24"/>
      <c r="N210" s="24"/>
      <c r="O210" s="23"/>
      <c r="P210" s="75"/>
      <c r="Q210" s="72"/>
      <c r="AB210" s="64"/>
      <c r="AC210" s="33"/>
      <c r="AD210" s="64"/>
      <c r="AE210" s="64"/>
      <c r="AG210" s="64"/>
    </row>
    <row r="211" spans="3:33">
      <c r="C211" s="15"/>
      <c r="D211" s="26"/>
      <c r="E211" s="26"/>
      <c r="F211" s="102"/>
      <c r="G211" s="102"/>
      <c r="H211" s="102"/>
      <c r="I211" s="15"/>
      <c r="J211" s="37"/>
      <c r="K211" s="39"/>
      <c r="L211" s="39"/>
      <c r="M211" s="24"/>
      <c r="N211" s="24"/>
      <c r="O211" s="23"/>
      <c r="P211" s="75"/>
      <c r="Q211" s="72"/>
      <c r="AB211" s="64"/>
      <c r="AC211" s="33"/>
      <c r="AD211" s="64"/>
      <c r="AE211" s="64"/>
      <c r="AG211" s="64"/>
    </row>
    <row r="212" spans="3:33">
      <c r="C212" s="15"/>
      <c r="D212" s="26"/>
      <c r="E212" s="26"/>
      <c r="F212" s="102"/>
      <c r="G212" s="102"/>
      <c r="H212" s="102"/>
      <c r="I212" s="15"/>
      <c r="J212" s="37"/>
      <c r="K212" s="39"/>
      <c r="L212" s="39"/>
      <c r="M212" s="24"/>
      <c r="N212" s="24"/>
      <c r="O212" s="23"/>
      <c r="P212" s="75"/>
      <c r="Q212" s="72"/>
      <c r="AB212" s="64"/>
      <c r="AC212" s="33"/>
      <c r="AD212" s="64"/>
      <c r="AE212" s="64"/>
      <c r="AG212" s="64"/>
    </row>
    <row r="213" spans="3:33">
      <c r="C213" s="15"/>
      <c r="D213" s="26"/>
      <c r="E213" s="26"/>
      <c r="F213" s="102"/>
      <c r="G213" s="102"/>
      <c r="H213" s="102"/>
      <c r="I213" s="15"/>
      <c r="J213" s="37"/>
      <c r="K213" s="39"/>
      <c r="L213" s="39"/>
      <c r="M213" s="24"/>
      <c r="N213" s="24"/>
      <c r="O213" s="23"/>
      <c r="P213" s="75"/>
      <c r="Q213" s="72"/>
      <c r="AB213" s="64"/>
      <c r="AC213" s="33"/>
      <c r="AD213" s="64"/>
      <c r="AE213" s="64"/>
      <c r="AG213" s="64"/>
    </row>
    <row r="214" spans="3:33">
      <c r="C214" s="15"/>
      <c r="D214" s="26"/>
      <c r="E214" s="26"/>
      <c r="F214" s="102"/>
      <c r="G214" s="102"/>
      <c r="H214" s="102"/>
      <c r="I214" s="15"/>
      <c r="J214" s="37"/>
      <c r="K214" s="39"/>
      <c r="L214" s="39"/>
      <c r="M214" s="24"/>
      <c r="N214" s="24"/>
      <c r="O214" s="23"/>
      <c r="P214" s="75"/>
      <c r="Q214" s="72"/>
      <c r="AB214" s="64"/>
      <c r="AC214" s="33"/>
      <c r="AD214" s="64"/>
      <c r="AE214" s="64"/>
      <c r="AG214" s="64"/>
    </row>
    <row r="215" spans="3:33">
      <c r="C215" s="15"/>
      <c r="D215" s="26"/>
      <c r="E215" s="26"/>
      <c r="F215" s="102"/>
      <c r="G215" s="102"/>
      <c r="H215" s="102"/>
      <c r="I215" s="15"/>
      <c r="J215" s="37"/>
      <c r="K215" s="39"/>
      <c r="L215" s="39"/>
      <c r="M215" s="24"/>
      <c r="N215" s="24"/>
      <c r="O215" s="23"/>
      <c r="P215" s="75"/>
      <c r="Q215" s="72"/>
      <c r="AB215" s="64"/>
      <c r="AC215" s="33"/>
      <c r="AD215" s="64"/>
      <c r="AE215" s="64"/>
      <c r="AG215" s="64"/>
    </row>
    <row r="216" spans="3:33">
      <c r="C216" s="15"/>
      <c r="D216" s="26"/>
      <c r="E216" s="26"/>
      <c r="F216" s="102"/>
      <c r="G216" s="102"/>
      <c r="H216" s="102"/>
      <c r="I216" s="15"/>
      <c r="J216" s="37"/>
      <c r="K216" s="39"/>
      <c r="L216" s="39"/>
      <c r="M216" s="24"/>
      <c r="N216" s="24"/>
      <c r="O216" s="23"/>
      <c r="P216" s="75"/>
      <c r="Q216" s="72"/>
      <c r="AB216" s="64"/>
      <c r="AC216" s="33"/>
      <c r="AD216" s="64"/>
      <c r="AE216" s="64"/>
      <c r="AG216" s="64"/>
    </row>
    <row r="217" spans="3:33">
      <c r="C217" s="15"/>
      <c r="D217" s="26"/>
      <c r="E217" s="26"/>
      <c r="F217" s="102"/>
      <c r="G217" s="102"/>
      <c r="H217" s="102"/>
      <c r="I217" s="15"/>
      <c r="J217" s="37"/>
      <c r="K217" s="39"/>
      <c r="L217" s="39"/>
      <c r="M217" s="24"/>
      <c r="N217" s="24"/>
      <c r="O217" s="23"/>
      <c r="P217" s="75"/>
      <c r="Q217" s="72"/>
      <c r="AB217" s="64"/>
      <c r="AC217" s="33"/>
      <c r="AD217" s="64"/>
      <c r="AE217" s="64"/>
      <c r="AG217" s="64"/>
    </row>
    <row r="218" spans="3:33">
      <c r="C218" s="15"/>
      <c r="D218" s="26"/>
      <c r="E218" s="26"/>
      <c r="F218" s="102"/>
      <c r="G218" s="102"/>
      <c r="H218" s="102"/>
      <c r="I218" s="15"/>
      <c r="J218" s="37"/>
      <c r="K218" s="39"/>
      <c r="L218" s="39"/>
      <c r="M218" s="24"/>
      <c r="N218" s="24"/>
      <c r="O218" s="23"/>
      <c r="P218" s="75"/>
      <c r="Q218" s="72"/>
      <c r="AB218" s="64"/>
      <c r="AC218" s="33"/>
      <c r="AD218" s="64"/>
      <c r="AE218" s="64"/>
      <c r="AG218" s="64"/>
    </row>
    <row r="219" spans="3:33">
      <c r="C219" s="15"/>
      <c r="D219" s="26"/>
      <c r="E219" s="26"/>
      <c r="F219" s="102"/>
      <c r="G219" s="102"/>
      <c r="H219" s="102"/>
      <c r="I219" s="15"/>
      <c r="J219" s="37"/>
      <c r="K219" s="39"/>
      <c r="L219" s="39"/>
      <c r="M219" s="24"/>
      <c r="N219" s="24"/>
      <c r="O219" s="23"/>
      <c r="P219" s="75"/>
      <c r="Q219" s="72"/>
      <c r="AB219" s="64"/>
      <c r="AC219" s="33"/>
      <c r="AD219" s="64"/>
      <c r="AE219" s="64"/>
      <c r="AG219" s="64"/>
    </row>
    <row r="220" spans="3:33">
      <c r="C220" s="15"/>
      <c r="D220" s="26"/>
      <c r="E220" s="26"/>
      <c r="F220" s="102"/>
      <c r="G220" s="102"/>
      <c r="H220" s="102"/>
      <c r="I220" s="15"/>
      <c r="J220" s="37"/>
      <c r="K220" s="39"/>
      <c r="L220" s="39"/>
      <c r="M220" s="24"/>
      <c r="N220" s="24"/>
      <c r="O220" s="23"/>
      <c r="P220" s="75"/>
      <c r="Q220" s="72"/>
      <c r="AB220" s="64"/>
      <c r="AC220" s="33"/>
      <c r="AD220" s="64"/>
      <c r="AE220" s="64"/>
      <c r="AG220" s="64"/>
    </row>
    <row r="221" spans="3:33">
      <c r="C221" s="15"/>
      <c r="D221" s="26"/>
      <c r="E221" s="26"/>
      <c r="F221" s="102"/>
      <c r="G221" s="102"/>
      <c r="H221" s="102"/>
      <c r="I221" s="15"/>
      <c r="J221" s="37"/>
      <c r="K221" s="39"/>
      <c r="L221" s="39"/>
      <c r="M221" s="24"/>
      <c r="N221" s="24"/>
      <c r="O221" s="23"/>
      <c r="P221" s="75"/>
      <c r="Q221" s="72"/>
      <c r="AB221" s="64"/>
      <c r="AC221" s="33"/>
      <c r="AD221" s="64"/>
      <c r="AE221" s="64"/>
      <c r="AG221" s="64"/>
    </row>
    <row r="222" spans="3:33">
      <c r="C222" s="15"/>
      <c r="D222" s="26"/>
      <c r="E222" s="26"/>
      <c r="F222" s="102"/>
      <c r="G222" s="102"/>
      <c r="H222" s="102"/>
      <c r="I222" s="15"/>
      <c r="J222" s="37"/>
      <c r="K222" s="39"/>
      <c r="L222" s="39"/>
      <c r="M222" s="24"/>
      <c r="N222" s="24"/>
      <c r="O222" s="23"/>
      <c r="P222" s="75"/>
      <c r="Q222" s="72"/>
      <c r="AB222" s="64"/>
      <c r="AC222" s="33"/>
      <c r="AD222" s="64"/>
      <c r="AE222" s="64"/>
      <c r="AG222" s="64"/>
    </row>
    <row r="223" spans="3:33">
      <c r="C223" s="15"/>
      <c r="D223" s="26"/>
      <c r="E223" s="26"/>
      <c r="F223" s="102"/>
      <c r="G223" s="102"/>
      <c r="H223" s="102"/>
      <c r="I223" s="15"/>
      <c r="J223" s="37"/>
      <c r="K223" s="39"/>
      <c r="L223" s="39"/>
      <c r="M223" s="24"/>
      <c r="N223" s="24"/>
      <c r="O223" s="23"/>
      <c r="P223" s="75"/>
      <c r="Q223" s="72"/>
      <c r="AB223" s="64"/>
      <c r="AC223" s="33"/>
      <c r="AD223" s="64"/>
      <c r="AE223" s="64"/>
      <c r="AG223" s="64"/>
    </row>
    <row r="224" spans="3:33">
      <c r="C224" s="15"/>
      <c r="D224" s="26"/>
      <c r="E224" s="26"/>
      <c r="F224" s="102"/>
      <c r="G224" s="102"/>
      <c r="H224" s="102"/>
      <c r="I224" s="15"/>
      <c r="J224" s="37"/>
      <c r="K224" s="39"/>
      <c r="L224" s="39"/>
      <c r="M224" s="24"/>
      <c r="N224" s="24"/>
      <c r="O224" s="23"/>
      <c r="P224" s="75"/>
      <c r="Q224" s="72"/>
      <c r="AB224" s="64"/>
      <c r="AC224" s="33"/>
      <c r="AD224" s="64"/>
      <c r="AE224" s="64"/>
      <c r="AG224" s="64"/>
    </row>
    <row r="225" spans="3:33">
      <c r="C225" s="15"/>
      <c r="D225" s="26"/>
      <c r="E225" s="26"/>
      <c r="F225" s="102"/>
      <c r="G225" s="102"/>
      <c r="H225" s="102"/>
      <c r="I225" s="15"/>
      <c r="J225" s="37"/>
      <c r="K225" s="39"/>
      <c r="L225" s="39"/>
      <c r="M225" s="24"/>
      <c r="N225" s="24"/>
      <c r="O225" s="23"/>
      <c r="P225" s="75"/>
      <c r="Q225" s="72"/>
      <c r="AB225" s="64"/>
      <c r="AC225" s="33"/>
      <c r="AD225" s="64"/>
      <c r="AE225" s="64"/>
      <c r="AG225" s="64"/>
    </row>
    <row r="226" spans="3:33">
      <c r="C226" s="15"/>
      <c r="D226" s="26"/>
      <c r="E226" s="26"/>
      <c r="F226" s="102"/>
      <c r="G226" s="102"/>
      <c r="H226" s="102"/>
      <c r="I226" s="15"/>
      <c r="J226" s="37"/>
      <c r="K226" s="39"/>
      <c r="L226" s="39"/>
      <c r="M226" s="24"/>
      <c r="N226" s="24"/>
      <c r="O226" s="23"/>
      <c r="P226" s="75"/>
      <c r="Q226" s="72"/>
      <c r="AB226" s="64"/>
      <c r="AC226" s="33"/>
      <c r="AD226" s="64"/>
      <c r="AE226" s="64"/>
      <c r="AG226" s="64"/>
    </row>
    <row r="227" spans="3:33">
      <c r="C227" s="15"/>
      <c r="D227" s="26"/>
      <c r="E227" s="26"/>
      <c r="F227" s="102"/>
      <c r="G227" s="102"/>
      <c r="H227" s="102"/>
      <c r="I227" s="15"/>
      <c r="J227" s="37"/>
      <c r="K227" s="39"/>
      <c r="L227" s="39"/>
      <c r="M227" s="24"/>
      <c r="N227" s="24"/>
      <c r="O227" s="23"/>
      <c r="P227" s="75"/>
      <c r="Q227" s="72"/>
      <c r="AB227" s="64"/>
      <c r="AC227" s="33"/>
      <c r="AD227" s="64"/>
      <c r="AE227" s="64"/>
      <c r="AG227" s="64"/>
    </row>
    <row r="228" spans="3:33">
      <c r="C228" s="15"/>
      <c r="D228" s="26"/>
      <c r="E228" s="26"/>
      <c r="F228" s="102"/>
      <c r="G228" s="102"/>
      <c r="H228" s="102"/>
      <c r="I228" s="15"/>
      <c r="J228" s="37"/>
      <c r="K228" s="39"/>
      <c r="L228" s="39"/>
      <c r="M228" s="24"/>
      <c r="N228" s="24"/>
      <c r="O228" s="23"/>
      <c r="P228" s="75"/>
      <c r="Q228" s="72"/>
      <c r="AB228" s="64"/>
      <c r="AC228" s="33"/>
      <c r="AD228" s="64"/>
      <c r="AE228" s="64"/>
      <c r="AG228" s="64"/>
    </row>
    <row r="229" spans="3:33">
      <c r="C229" s="15"/>
      <c r="D229" s="26"/>
      <c r="E229" s="26"/>
      <c r="F229" s="102"/>
      <c r="G229" s="102"/>
      <c r="H229" s="102"/>
      <c r="I229" s="15"/>
      <c r="J229" s="37"/>
      <c r="K229" s="39"/>
      <c r="L229" s="39"/>
      <c r="M229" s="24"/>
      <c r="N229" s="24"/>
      <c r="O229" s="23"/>
      <c r="P229" s="75"/>
      <c r="Q229" s="72"/>
      <c r="AB229" s="64"/>
      <c r="AC229" s="33"/>
      <c r="AD229" s="64"/>
      <c r="AE229" s="64"/>
      <c r="AG229" s="64"/>
    </row>
    <row r="230" spans="3:33">
      <c r="C230" s="15"/>
      <c r="D230" s="26"/>
      <c r="E230" s="26"/>
      <c r="F230" s="102"/>
      <c r="G230" s="102"/>
      <c r="H230" s="102"/>
      <c r="I230" s="15"/>
      <c r="J230" s="37"/>
      <c r="K230" s="39"/>
      <c r="L230" s="39"/>
      <c r="M230" s="24"/>
      <c r="N230" s="24"/>
      <c r="O230" s="23"/>
      <c r="P230" s="75"/>
      <c r="Q230" s="72"/>
      <c r="AB230" s="64"/>
      <c r="AC230" s="33"/>
      <c r="AD230" s="64"/>
      <c r="AE230" s="64"/>
      <c r="AG230" s="64"/>
    </row>
    <row r="231" spans="3:33">
      <c r="C231" s="15"/>
      <c r="D231" s="26"/>
      <c r="E231" s="26"/>
      <c r="F231" s="102"/>
      <c r="G231" s="102"/>
      <c r="H231" s="102"/>
      <c r="I231" s="15"/>
      <c r="J231" s="37"/>
      <c r="K231" s="39"/>
      <c r="L231" s="39"/>
      <c r="M231" s="24"/>
      <c r="N231" s="24"/>
      <c r="O231" s="23"/>
      <c r="P231" s="75"/>
      <c r="Q231" s="72"/>
      <c r="AB231" s="64"/>
      <c r="AC231" s="33"/>
      <c r="AD231" s="64"/>
      <c r="AE231" s="64"/>
      <c r="AG231" s="64"/>
    </row>
    <row r="232" spans="3:33">
      <c r="C232" s="15"/>
      <c r="D232" s="26"/>
      <c r="E232" s="26"/>
      <c r="F232" s="102"/>
      <c r="G232" s="102"/>
      <c r="H232" s="102"/>
      <c r="I232" s="15"/>
      <c r="J232" s="37"/>
      <c r="K232" s="39"/>
      <c r="L232" s="39"/>
      <c r="M232" s="24"/>
      <c r="N232" s="24"/>
      <c r="O232" s="23"/>
      <c r="P232" s="75"/>
      <c r="Q232" s="72"/>
      <c r="AB232" s="64"/>
      <c r="AC232" s="33"/>
      <c r="AD232" s="64"/>
      <c r="AE232" s="64"/>
      <c r="AG232" s="64"/>
    </row>
    <row r="233" spans="3:33">
      <c r="C233" s="15"/>
      <c r="D233" s="26"/>
      <c r="E233" s="26"/>
      <c r="F233" s="102"/>
      <c r="G233" s="102"/>
      <c r="H233" s="102"/>
      <c r="I233" s="15"/>
      <c r="J233" s="37"/>
      <c r="K233" s="39"/>
      <c r="L233" s="39"/>
      <c r="M233" s="24"/>
      <c r="N233" s="24"/>
      <c r="O233" s="23"/>
      <c r="P233" s="75"/>
      <c r="Q233" s="72"/>
      <c r="AB233" s="64"/>
      <c r="AC233" s="33"/>
      <c r="AD233" s="64"/>
      <c r="AE233" s="64"/>
      <c r="AG233" s="64"/>
    </row>
    <row r="234" spans="3:33">
      <c r="C234" s="15"/>
      <c r="D234" s="26"/>
      <c r="E234" s="26"/>
      <c r="F234" s="102"/>
      <c r="G234" s="102"/>
      <c r="H234" s="102"/>
      <c r="I234" s="15"/>
      <c r="J234" s="37"/>
      <c r="K234" s="39"/>
      <c r="L234" s="39"/>
      <c r="M234" s="24"/>
      <c r="N234" s="24"/>
      <c r="O234" s="23"/>
      <c r="P234" s="75"/>
      <c r="Q234" s="72"/>
      <c r="AB234" s="64"/>
      <c r="AC234" s="33"/>
      <c r="AD234" s="64"/>
      <c r="AE234" s="64"/>
      <c r="AG234" s="64"/>
    </row>
    <row r="235" spans="3:33">
      <c r="C235" s="15"/>
      <c r="D235" s="26"/>
      <c r="E235" s="26"/>
      <c r="F235" s="102"/>
      <c r="G235" s="102"/>
      <c r="H235" s="102"/>
      <c r="I235" s="15"/>
      <c r="J235" s="37"/>
      <c r="K235" s="39"/>
      <c r="L235" s="39"/>
      <c r="M235" s="24"/>
      <c r="N235" s="24"/>
      <c r="O235" s="23"/>
      <c r="P235" s="75"/>
      <c r="Q235" s="72"/>
      <c r="AB235" s="64"/>
      <c r="AC235" s="33"/>
      <c r="AD235" s="64"/>
      <c r="AE235" s="64"/>
      <c r="AG235" s="64"/>
    </row>
    <row r="236" spans="3:33">
      <c r="C236" s="15"/>
      <c r="D236" s="26"/>
      <c r="E236" s="26"/>
      <c r="F236" s="102"/>
      <c r="G236" s="102"/>
      <c r="H236" s="102"/>
      <c r="I236" s="15"/>
      <c r="J236" s="37"/>
      <c r="K236" s="39"/>
      <c r="L236" s="39"/>
      <c r="M236" s="24"/>
      <c r="N236" s="24"/>
      <c r="O236" s="23"/>
      <c r="P236" s="75"/>
      <c r="Q236" s="72"/>
      <c r="AB236" s="64"/>
      <c r="AC236" s="33"/>
      <c r="AD236" s="64"/>
      <c r="AE236" s="64"/>
      <c r="AG236" s="64"/>
    </row>
    <row r="237" spans="3:33">
      <c r="C237" s="15"/>
      <c r="D237" s="26"/>
      <c r="E237" s="26"/>
      <c r="F237" s="102"/>
      <c r="G237" s="102"/>
      <c r="H237" s="102"/>
      <c r="I237" s="15"/>
      <c r="J237" s="37"/>
      <c r="K237" s="39"/>
      <c r="L237" s="39"/>
      <c r="M237" s="24"/>
      <c r="N237" s="24"/>
      <c r="O237" s="23"/>
      <c r="P237" s="75"/>
      <c r="Q237" s="72"/>
      <c r="AB237" s="64"/>
      <c r="AC237" s="33"/>
      <c r="AD237" s="64"/>
      <c r="AE237" s="64"/>
      <c r="AG237" s="64"/>
    </row>
    <row r="238" spans="3:33">
      <c r="C238" s="15"/>
      <c r="D238" s="26"/>
      <c r="E238" s="26"/>
      <c r="F238" s="102"/>
      <c r="G238" s="102"/>
      <c r="H238" s="102"/>
      <c r="I238" s="15"/>
      <c r="J238" s="37"/>
      <c r="K238" s="39"/>
      <c r="L238" s="39"/>
      <c r="M238" s="24"/>
      <c r="N238" s="24"/>
      <c r="O238" s="23"/>
      <c r="P238" s="75"/>
      <c r="Q238" s="72"/>
      <c r="AB238" s="64"/>
      <c r="AC238" s="33"/>
      <c r="AD238" s="64"/>
      <c r="AE238" s="64"/>
      <c r="AG238" s="64"/>
    </row>
    <row r="239" spans="3:33">
      <c r="D239" s="51"/>
      <c r="E239" s="51"/>
      <c r="F239" s="81"/>
      <c r="G239" s="81"/>
      <c r="H239" s="81"/>
      <c r="I239" s="15"/>
      <c r="J239" s="37"/>
      <c r="K239" s="39"/>
      <c r="L239" s="39"/>
      <c r="M239" s="24"/>
      <c r="N239" s="24"/>
      <c r="O239" s="23"/>
      <c r="P239" s="75"/>
      <c r="Q239" s="72"/>
      <c r="AB239" s="64"/>
      <c r="AC239" s="33"/>
      <c r="AD239" s="64"/>
      <c r="AE239" s="64"/>
      <c r="AG239" s="64"/>
    </row>
    <row r="240" spans="3:33">
      <c r="D240" s="51"/>
      <c r="E240" s="51"/>
      <c r="F240" s="81"/>
      <c r="G240" s="81"/>
      <c r="H240" s="81"/>
      <c r="I240" s="15"/>
      <c r="J240" s="37"/>
      <c r="K240" s="39"/>
      <c r="L240" s="39"/>
      <c r="M240" s="24"/>
      <c r="N240" s="24"/>
      <c r="O240" s="23"/>
      <c r="P240" s="75"/>
      <c r="Q240" s="72"/>
      <c r="AB240" s="64"/>
      <c r="AC240" s="33"/>
      <c r="AD240" s="64"/>
      <c r="AE240" s="64"/>
      <c r="AG240" s="64"/>
    </row>
    <row r="241" spans="3:33">
      <c r="D241" s="51"/>
      <c r="E241" s="51"/>
      <c r="F241" s="81"/>
      <c r="G241" s="81"/>
      <c r="H241" s="81"/>
      <c r="I241" s="15"/>
      <c r="J241" s="37"/>
      <c r="K241" s="39"/>
      <c r="L241" s="39"/>
      <c r="M241" s="24"/>
      <c r="N241" s="24"/>
      <c r="O241" s="23"/>
      <c r="P241" s="75"/>
      <c r="Q241" s="72"/>
      <c r="AB241" s="64"/>
      <c r="AC241" s="33"/>
      <c r="AD241" s="64"/>
      <c r="AE241" s="64"/>
      <c r="AG241" s="64"/>
    </row>
    <row r="242" spans="3:33">
      <c r="D242" s="51"/>
      <c r="E242" s="51"/>
      <c r="F242" s="81"/>
      <c r="G242" s="81"/>
      <c r="H242" s="81"/>
      <c r="I242" s="15"/>
      <c r="J242" s="37"/>
      <c r="K242" s="39"/>
      <c r="L242" s="39"/>
      <c r="M242" s="24"/>
      <c r="N242" s="24"/>
      <c r="O242" s="23"/>
      <c r="P242" s="75"/>
      <c r="Q242" s="72"/>
      <c r="AB242" s="64"/>
      <c r="AC242" s="33"/>
      <c r="AD242" s="64"/>
      <c r="AE242" s="64"/>
      <c r="AG242" s="64"/>
    </row>
    <row r="243" spans="3:33">
      <c r="D243" s="51"/>
      <c r="E243" s="51"/>
      <c r="F243" s="81"/>
      <c r="G243" s="81"/>
      <c r="H243" s="81"/>
      <c r="I243" s="15"/>
      <c r="J243" s="37"/>
      <c r="K243" s="39"/>
      <c r="L243" s="39"/>
      <c r="M243" s="24"/>
      <c r="N243" s="24"/>
      <c r="O243" s="23"/>
      <c r="P243" s="75"/>
      <c r="Q243" s="40"/>
      <c r="AB243" s="64"/>
      <c r="AC243" s="33"/>
      <c r="AD243" s="64"/>
      <c r="AE243" s="64"/>
      <c r="AG243" s="64"/>
    </row>
    <row r="244" spans="3:33">
      <c r="D244" s="51"/>
      <c r="E244" s="51"/>
      <c r="F244" s="81"/>
      <c r="G244" s="81"/>
      <c r="H244" s="81"/>
      <c r="I244" s="15"/>
      <c r="J244" s="37"/>
      <c r="K244" s="39"/>
      <c r="L244" s="39"/>
      <c r="M244" s="24"/>
      <c r="N244" s="24"/>
      <c r="O244" s="23"/>
      <c r="P244" s="75"/>
      <c r="Q244" s="40"/>
      <c r="AB244" s="64"/>
      <c r="AC244" s="33"/>
      <c r="AD244" s="64"/>
      <c r="AE244" s="64"/>
      <c r="AG244" s="64"/>
    </row>
    <row r="245" spans="3:33">
      <c r="C245" s="15"/>
      <c r="D245" s="26"/>
      <c r="E245" s="26"/>
      <c r="F245" s="102"/>
      <c r="G245" s="102"/>
      <c r="H245" s="102"/>
      <c r="I245" s="15"/>
      <c r="J245" s="37"/>
      <c r="K245" s="39"/>
      <c r="L245" s="39"/>
      <c r="M245" s="24"/>
      <c r="N245" s="24"/>
      <c r="O245" s="23"/>
      <c r="P245" s="75"/>
      <c r="Q245" s="40"/>
      <c r="AB245" s="64"/>
      <c r="AC245" s="33"/>
      <c r="AD245" s="64"/>
      <c r="AE245" s="64"/>
      <c r="AG245" s="64"/>
    </row>
    <row r="246" spans="3:33">
      <c r="C246" s="15"/>
      <c r="D246" s="26"/>
      <c r="E246" s="26"/>
      <c r="F246" s="102"/>
      <c r="G246" s="102"/>
      <c r="H246" s="102"/>
      <c r="I246" s="15"/>
      <c r="J246" s="37"/>
      <c r="K246" s="39"/>
      <c r="L246" s="39"/>
      <c r="M246" s="24"/>
      <c r="N246" s="24"/>
      <c r="O246" s="23"/>
      <c r="P246" s="75"/>
      <c r="Q246" s="40"/>
      <c r="AB246" s="64"/>
      <c r="AC246" s="33"/>
      <c r="AD246" s="64"/>
      <c r="AE246" s="64"/>
      <c r="AG246" s="64"/>
    </row>
    <row r="247" spans="3:33">
      <c r="C247" s="15"/>
      <c r="D247" s="26"/>
      <c r="E247" s="26"/>
      <c r="F247" s="102"/>
      <c r="G247" s="102"/>
      <c r="H247" s="102"/>
      <c r="I247" s="15"/>
      <c r="J247" s="37"/>
      <c r="K247" s="39"/>
      <c r="L247" s="39"/>
      <c r="M247" s="24"/>
      <c r="N247" s="24"/>
      <c r="O247" s="23"/>
      <c r="P247" s="75"/>
      <c r="Q247" s="40"/>
      <c r="AB247" s="64"/>
      <c r="AC247" s="33"/>
      <c r="AD247" s="64"/>
      <c r="AE247" s="64"/>
      <c r="AG247" s="64"/>
    </row>
    <row r="248" spans="3:33">
      <c r="C248" s="15"/>
      <c r="D248" s="26"/>
      <c r="E248" s="26"/>
      <c r="F248" s="102"/>
      <c r="G248" s="102"/>
      <c r="H248" s="102"/>
      <c r="I248" s="15"/>
      <c r="J248" s="37"/>
      <c r="K248" s="39"/>
      <c r="L248" s="39"/>
      <c r="M248" s="24"/>
      <c r="N248" s="24"/>
      <c r="O248" s="23"/>
      <c r="P248" s="75"/>
      <c r="Q248" s="40"/>
      <c r="AB248" s="64"/>
      <c r="AC248" s="33"/>
      <c r="AD248" s="64"/>
      <c r="AE248" s="64"/>
      <c r="AG248" s="64"/>
    </row>
    <row r="249" spans="3:33">
      <c r="C249" s="15"/>
      <c r="D249" s="26"/>
      <c r="E249" s="26"/>
      <c r="F249" s="102"/>
      <c r="G249" s="102"/>
      <c r="H249" s="102"/>
      <c r="I249" s="15"/>
      <c r="J249" s="37"/>
      <c r="K249" s="39"/>
      <c r="L249" s="39"/>
      <c r="M249" s="24"/>
      <c r="N249" s="24"/>
      <c r="O249" s="23"/>
      <c r="P249" s="75"/>
      <c r="Q249" s="40"/>
      <c r="AB249" s="64"/>
      <c r="AC249" s="33"/>
      <c r="AD249" s="64"/>
      <c r="AE249" s="64"/>
      <c r="AG249" s="64"/>
    </row>
    <row r="250" spans="3:33">
      <c r="D250" s="51"/>
      <c r="E250" s="51"/>
      <c r="F250" s="81"/>
      <c r="G250" s="81"/>
      <c r="H250" s="81"/>
      <c r="I250" s="15"/>
      <c r="J250" s="37"/>
      <c r="K250" s="39"/>
      <c r="L250" s="39"/>
      <c r="M250" s="24"/>
      <c r="N250" s="24"/>
      <c r="O250" s="23"/>
      <c r="P250" s="75"/>
      <c r="Q250" s="40"/>
      <c r="AB250" s="64"/>
      <c r="AC250" s="33"/>
      <c r="AD250" s="64"/>
      <c r="AE250" s="64"/>
      <c r="AG250" s="64"/>
    </row>
    <row r="251" spans="3:33">
      <c r="D251" s="51"/>
      <c r="E251" s="51"/>
      <c r="F251" s="81"/>
      <c r="G251" s="81"/>
      <c r="H251" s="81"/>
      <c r="I251" s="15"/>
      <c r="J251" s="37"/>
      <c r="K251" s="39"/>
      <c r="L251" s="39"/>
      <c r="M251" s="24"/>
      <c r="N251" s="24"/>
      <c r="O251" s="23"/>
      <c r="P251" s="75"/>
      <c r="Q251" s="40"/>
      <c r="AB251" s="64"/>
      <c r="AC251" s="33"/>
      <c r="AD251" s="64"/>
      <c r="AE251" s="64"/>
      <c r="AG251" s="64"/>
    </row>
    <row r="252" spans="3:33">
      <c r="D252" s="51"/>
      <c r="E252" s="51"/>
      <c r="F252" s="81"/>
      <c r="G252" s="81"/>
      <c r="H252" s="81"/>
      <c r="I252" s="15"/>
      <c r="J252" s="37"/>
      <c r="K252" s="39"/>
      <c r="L252" s="39"/>
      <c r="M252" s="24"/>
      <c r="N252" s="24"/>
      <c r="O252" s="23"/>
      <c r="P252" s="75"/>
      <c r="Q252" s="40"/>
      <c r="AB252" s="64"/>
      <c r="AC252" s="33"/>
      <c r="AD252" s="64"/>
      <c r="AE252" s="64"/>
      <c r="AG252" s="64"/>
    </row>
    <row r="253" spans="3:33">
      <c r="D253" s="51"/>
      <c r="E253" s="51"/>
      <c r="F253" s="81"/>
      <c r="G253" s="81"/>
      <c r="H253" s="81"/>
      <c r="I253" s="15"/>
      <c r="J253" s="37"/>
      <c r="K253" s="39"/>
      <c r="L253" s="39"/>
      <c r="M253" s="24"/>
      <c r="N253" s="24"/>
      <c r="O253" s="23"/>
      <c r="P253" s="75"/>
      <c r="Q253" s="40"/>
      <c r="AB253" s="64"/>
      <c r="AC253" s="33"/>
      <c r="AD253" s="64"/>
      <c r="AE253" s="64"/>
      <c r="AG253" s="64"/>
    </row>
    <row r="254" spans="3:33">
      <c r="D254" s="51"/>
      <c r="E254" s="51"/>
      <c r="F254" s="81"/>
      <c r="G254" s="81"/>
      <c r="H254" s="81"/>
      <c r="I254" s="15"/>
      <c r="J254" s="37"/>
      <c r="K254" s="39"/>
      <c r="L254" s="39"/>
      <c r="M254" s="24"/>
      <c r="N254" s="24"/>
      <c r="O254" s="23"/>
      <c r="P254" s="75"/>
      <c r="Q254" s="40"/>
      <c r="AB254" s="64"/>
      <c r="AC254" s="33"/>
      <c r="AD254" s="64"/>
      <c r="AE254" s="64"/>
      <c r="AG254" s="64"/>
    </row>
    <row r="255" spans="3:33">
      <c r="D255" s="51"/>
      <c r="E255" s="51"/>
      <c r="F255" s="81"/>
      <c r="G255" s="81"/>
      <c r="H255" s="81"/>
      <c r="I255" s="15"/>
      <c r="J255" s="37"/>
      <c r="K255" s="39"/>
      <c r="L255" s="39"/>
      <c r="M255" s="24"/>
      <c r="N255" s="24"/>
      <c r="O255" s="23"/>
      <c r="P255" s="75"/>
      <c r="Q255" s="40"/>
      <c r="AB255" s="64"/>
      <c r="AC255" s="33"/>
      <c r="AD255" s="64"/>
      <c r="AE255" s="64"/>
      <c r="AG255" s="64"/>
    </row>
    <row r="256" spans="3:33">
      <c r="D256" s="51"/>
      <c r="E256" s="51"/>
      <c r="F256" s="81"/>
      <c r="G256" s="81"/>
      <c r="H256" s="81"/>
      <c r="I256" s="15"/>
      <c r="K256" s="103"/>
      <c r="L256" s="103"/>
      <c r="M256" s="104"/>
      <c r="N256" s="104"/>
      <c r="O256" s="89"/>
      <c r="P256" s="105"/>
      <c r="AB256" s="64"/>
      <c r="AC256" s="33"/>
      <c r="AD256" s="64"/>
      <c r="AE256" s="64"/>
      <c r="AG256" s="64"/>
    </row>
    <row r="257" spans="4:33">
      <c r="D257" s="51"/>
      <c r="E257" s="51"/>
      <c r="F257" s="81"/>
      <c r="G257" s="81"/>
      <c r="H257" s="81"/>
      <c r="I257" s="15"/>
      <c r="K257" s="103"/>
      <c r="L257" s="103"/>
      <c r="M257" s="104"/>
      <c r="N257" s="104"/>
      <c r="O257" s="89"/>
      <c r="P257" s="105"/>
      <c r="AB257" s="64"/>
      <c r="AC257" s="33"/>
      <c r="AD257" s="64"/>
      <c r="AE257" s="64"/>
      <c r="AG257" s="64"/>
    </row>
    <row r="258" spans="4:33">
      <c r="D258" s="51"/>
      <c r="E258" s="51"/>
      <c r="F258" s="81"/>
      <c r="G258" s="81"/>
      <c r="H258" s="81"/>
      <c r="I258" s="15"/>
      <c r="K258" s="103"/>
      <c r="L258" s="103"/>
      <c r="M258" s="104"/>
      <c r="N258" s="104"/>
      <c r="O258" s="89"/>
      <c r="P258" s="105"/>
      <c r="AB258" s="64"/>
      <c r="AC258" s="33"/>
      <c r="AD258" s="64"/>
      <c r="AE258" s="64"/>
      <c r="AG258" s="64"/>
    </row>
    <row r="259" spans="4:33">
      <c r="D259" s="51"/>
      <c r="E259" s="51"/>
      <c r="F259" s="81"/>
      <c r="G259" s="81"/>
      <c r="H259" s="81"/>
      <c r="I259" s="15"/>
      <c r="K259" s="103"/>
      <c r="L259" s="103"/>
      <c r="M259" s="104"/>
      <c r="N259" s="104"/>
      <c r="O259" s="89"/>
      <c r="P259" s="105"/>
      <c r="AB259" s="64"/>
      <c r="AC259" s="33"/>
      <c r="AD259" s="64"/>
      <c r="AE259" s="64"/>
      <c r="AG259" s="64"/>
    </row>
    <row r="260" spans="4:33">
      <c r="D260" s="51"/>
      <c r="E260" s="51"/>
      <c r="F260" s="81"/>
      <c r="G260" s="81"/>
      <c r="H260" s="81"/>
      <c r="I260" s="15"/>
      <c r="K260" s="103"/>
      <c r="L260" s="103"/>
      <c r="M260" s="104"/>
      <c r="N260" s="104"/>
      <c r="O260" s="89"/>
      <c r="P260" s="105"/>
      <c r="AB260" s="64"/>
      <c r="AC260" s="33"/>
      <c r="AD260" s="64"/>
      <c r="AE260" s="64"/>
      <c r="AG260" s="64"/>
    </row>
    <row r="261" spans="4:33">
      <c r="D261" s="51"/>
      <c r="E261" s="51"/>
      <c r="F261" s="81"/>
      <c r="G261" s="81"/>
      <c r="H261" s="81"/>
      <c r="I261" s="15"/>
      <c r="K261" s="103"/>
      <c r="L261" s="103"/>
      <c r="M261" s="104"/>
      <c r="N261" s="104"/>
      <c r="O261" s="89"/>
      <c r="P261" s="105"/>
      <c r="AB261" s="64"/>
      <c r="AC261" s="33"/>
      <c r="AD261" s="64"/>
      <c r="AE261" s="64"/>
      <c r="AG261" s="64"/>
    </row>
    <row r="262" spans="4:33">
      <c r="D262" s="51"/>
      <c r="E262" s="51"/>
      <c r="F262" s="81"/>
      <c r="G262" s="81"/>
      <c r="H262" s="81"/>
      <c r="I262" s="15"/>
      <c r="K262" s="103"/>
      <c r="L262" s="103"/>
      <c r="M262" s="104"/>
      <c r="N262" s="104"/>
      <c r="O262" s="89"/>
      <c r="P262" s="105"/>
      <c r="AB262" s="64"/>
      <c r="AC262" s="33"/>
      <c r="AD262" s="64"/>
      <c r="AE262" s="64"/>
      <c r="AG262" s="64"/>
    </row>
    <row r="263" spans="4:33">
      <c r="D263" s="51"/>
      <c r="E263" s="51"/>
      <c r="F263" s="81"/>
      <c r="G263" s="81"/>
      <c r="H263" s="81"/>
      <c r="I263" s="15"/>
      <c r="K263" s="103"/>
      <c r="L263" s="103"/>
      <c r="M263" s="104"/>
      <c r="N263" s="104"/>
      <c r="O263" s="89"/>
      <c r="P263" s="105"/>
      <c r="AB263" s="64"/>
      <c r="AC263" s="33"/>
      <c r="AD263" s="64"/>
      <c r="AE263" s="64"/>
      <c r="AG263" s="64"/>
    </row>
    <row r="264" spans="4:33">
      <c r="D264" s="51"/>
      <c r="E264" s="51"/>
      <c r="F264" s="81"/>
      <c r="G264" s="81"/>
      <c r="H264" s="81"/>
      <c r="I264" s="15"/>
      <c r="K264" s="103"/>
      <c r="L264" s="103"/>
      <c r="M264" s="104"/>
      <c r="N264" s="104"/>
      <c r="O264" s="89"/>
      <c r="P264" s="105"/>
      <c r="AB264" s="64"/>
      <c r="AC264" s="33"/>
      <c r="AD264" s="64"/>
      <c r="AE264" s="64"/>
      <c r="AG264" s="64"/>
    </row>
    <row r="265" spans="4:33">
      <c r="D265" s="51"/>
      <c r="E265" s="51"/>
      <c r="F265" s="81"/>
      <c r="G265" s="81"/>
      <c r="H265" s="81"/>
      <c r="I265" s="15"/>
      <c r="K265" s="103"/>
      <c r="L265" s="103"/>
      <c r="M265" s="104"/>
      <c r="N265" s="104"/>
      <c r="O265" s="89"/>
      <c r="P265" s="105"/>
      <c r="AB265" s="64"/>
      <c r="AC265" s="33"/>
      <c r="AD265" s="64"/>
      <c r="AE265" s="64"/>
      <c r="AG265" s="64"/>
    </row>
    <row r="266" spans="4:33">
      <c r="D266" s="51"/>
      <c r="E266" s="51"/>
      <c r="F266" s="81"/>
      <c r="G266" s="81"/>
      <c r="H266" s="81"/>
      <c r="I266" s="15"/>
      <c r="K266" s="103"/>
      <c r="L266" s="103"/>
      <c r="M266" s="104"/>
      <c r="N266" s="104"/>
      <c r="O266" s="89"/>
      <c r="P266" s="105"/>
      <c r="AB266" s="64"/>
      <c r="AC266" s="33"/>
      <c r="AD266" s="64"/>
      <c r="AE266" s="64"/>
      <c r="AG266" s="64"/>
    </row>
    <row r="267" spans="4:33">
      <c r="D267" s="51"/>
      <c r="E267" s="51"/>
      <c r="F267" s="81"/>
      <c r="G267" s="81"/>
      <c r="H267" s="81"/>
      <c r="I267" s="15"/>
      <c r="K267" s="103"/>
      <c r="L267" s="103"/>
      <c r="M267" s="104"/>
      <c r="N267" s="104"/>
      <c r="O267" s="89"/>
      <c r="P267" s="105"/>
      <c r="AB267" s="64"/>
      <c r="AC267" s="33"/>
      <c r="AD267" s="64"/>
      <c r="AE267" s="64"/>
      <c r="AG267" s="64"/>
    </row>
    <row r="268" spans="4:33">
      <c r="D268" s="51"/>
      <c r="E268" s="51"/>
      <c r="F268" s="81"/>
      <c r="G268" s="81"/>
      <c r="H268" s="81"/>
      <c r="I268" s="15"/>
      <c r="K268" s="103"/>
      <c r="L268" s="103"/>
      <c r="M268" s="104"/>
      <c r="N268" s="104"/>
      <c r="O268" s="89"/>
      <c r="P268" s="105"/>
      <c r="AB268" s="64"/>
      <c r="AC268" s="33"/>
      <c r="AD268" s="64"/>
      <c r="AE268" s="64"/>
      <c r="AG268" s="64"/>
    </row>
    <row r="269" spans="4:33">
      <c r="D269" s="51"/>
      <c r="E269" s="51"/>
      <c r="F269" s="81"/>
      <c r="G269" s="81"/>
      <c r="H269" s="81"/>
      <c r="I269" s="15"/>
      <c r="K269" s="103"/>
      <c r="L269" s="103"/>
      <c r="M269" s="104"/>
      <c r="N269" s="104"/>
      <c r="O269" s="89"/>
      <c r="P269" s="105"/>
      <c r="AB269" s="64"/>
      <c r="AC269" s="33"/>
      <c r="AD269" s="64"/>
      <c r="AE269" s="64"/>
      <c r="AG269" s="64"/>
    </row>
    <row r="270" spans="4:33">
      <c r="D270" s="51"/>
      <c r="E270" s="51"/>
      <c r="F270" s="81"/>
      <c r="G270" s="81"/>
      <c r="H270" s="81"/>
      <c r="I270" s="15"/>
      <c r="K270" s="103"/>
      <c r="L270" s="103"/>
      <c r="M270" s="104"/>
      <c r="N270" s="104"/>
      <c r="O270" s="89"/>
      <c r="P270" s="105"/>
      <c r="AB270" s="64"/>
      <c r="AC270" s="33"/>
      <c r="AD270" s="64"/>
      <c r="AE270" s="64"/>
      <c r="AG270" s="64"/>
    </row>
    <row r="271" spans="4:33">
      <c r="D271" s="51"/>
      <c r="E271" s="51"/>
      <c r="F271" s="81"/>
      <c r="G271" s="81"/>
      <c r="H271" s="81"/>
      <c r="I271" s="15"/>
      <c r="K271" s="103"/>
      <c r="L271" s="103"/>
      <c r="M271" s="104"/>
      <c r="N271" s="104"/>
      <c r="O271" s="89"/>
      <c r="P271" s="105"/>
      <c r="AB271" s="64"/>
      <c r="AC271" s="33"/>
      <c r="AD271" s="64"/>
      <c r="AE271" s="64"/>
      <c r="AG271" s="64"/>
    </row>
    <row r="272" spans="4:33">
      <c r="D272" s="51"/>
      <c r="E272" s="51"/>
      <c r="F272" s="81"/>
      <c r="G272" s="81"/>
      <c r="H272" s="81"/>
      <c r="I272" s="15"/>
      <c r="K272" s="103"/>
      <c r="L272" s="103"/>
      <c r="M272" s="104"/>
      <c r="N272" s="104"/>
      <c r="O272" s="89"/>
      <c r="P272" s="105"/>
      <c r="AB272" s="64"/>
      <c r="AC272" s="33"/>
      <c r="AD272" s="64"/>
      <c r="AE272" s="64"/>
      <c r="AG272" s="64"/>
    </row>
    <row r="273" spans="4:33">
      <c r="D273" s="51"/>
      <c r="E273" s="51"/>
      <c r="F273" s="81"/>
      <c r="G273" s="81"/>
      <c r="H273" s="81"/>
      <c r="I273" s="15"/>
      <c r="K273" s="103"/>
      <c r="L273" s="103"/>
      <c r="M273" s="104"/>
      <c r="N273" s="104"/>
      <c r="O273" s="89"/>
      <c r="P273" s="105"/>
      <c r="AB273" s="64"/>
      <c r="AC273" s="33"/>
      <c r="AD273" s="64"/>
      <c r="AE273" s="64"/>
      <c r="AG273" s="64"/>
    </row>
    <row r="274" spans="4:33">
      <c r="D274" s="51"/>
      <c r="E274" s="51"/>
      <c r="F274" s="81"/>
      <c r="G274" s="81"/>
      <c r="H274" s="81"/>
      <c r="I274" s="15"/>
      <c r="K274" s="103"/>
      <c r="L274" s="103"/>
      <c r="M274" s="104"/>
      <c r="N274" s="104"/>
      <c r="O274" s="89"/>
      <c r="P274" s="105"/>
      <c r="AB274" s="64"/>
      <c r="AC274" s="33"/>
      <c r="AD274" s="64"/>
      <c r="AE274" s="64"/>
      <c r="AG274" s="64"/>
    </row>
    <row r="275" spans="4:33">
      <c r="D275" s="51"/>
      <c r="E275" s="51"/>
      <c r="F275" s="81"/>
      <c r="G275" s="81"/>
      <c r="H275" s="81"/>
      <c r="I275" s="15"/>
      <c r="K275" s="103"/>
      <c r="L275" s="103"/>
      <c r="M275" s="104"/>
      <c r="N275" s="104"/>
      <c r="O275" s="89"/>
      <c r="P275" s="105"/>
      <c r="AB275" s="64"/>
      <c r="AC275" s="33"/>
      <c r="AD275" s="64"/>
      <c r="AE275" s="64"/>
      <c r="AG275" s="64"/>
    </row>
    <row r="276" spans="4:33">
      <c r="D276" s="51"/>
      <c r="E276" s="51"/>
      <c r="F276" s="81"/>
      <c r="G276" s="81"/>
      <c r="H276" s="81"/>
      <c r="I276" s="15"/>
      <c r="K276" s="103"/>
      <c r="L276" s="103"/>
      <c r="M276" s="104"/>
      <c r="N276" s="104"/>
      <c r="O276" s="89"/>
      <c r="P276" s="105"/>
      <c r="AB276" s="64"/>
      <c r="AC276" s="33"/>
      <c r="AD276" s="64"/>
      <c r="AE276" s="64"/>
      <c r="AG276" s="64"/>
    </row>
    <row r="277" spans="4:33">
      <c r="D277" s="51"/>
      <c r="E277" s="51"/>
      <c r="F277" s="81"/>
      <c r="G277" s="81"/>
      <c r="H277" s="81"/>
      <c r="I277" s="15"/>
      <c r="K277" s="103"/>
      <c r="L277" s="103"/>
      <c r="M277" s="104"/>
      <c r="N277" s="104"/>
      <c r="O277" s="89"/>
      <c r="P277" s="105"/>
      <c r="AB277" s="64"/>
      <c r="AC277" s="33"/>
      <c r="AD277" s="64"/>
      <c r="AE277" s="64"/>
      <c r="AG277" s="64"/>
    </row>
    <row r="278" spans="4:33">
      <c r="D278" s="51"/>
      <c r="E278" s="51"/>
      <c r="F278" s="81"/>
      <c r="G278" s="81"/>
      <c r="H278" s="81"/>
      <c r="I278" s="15"/>
      <c r="K278" s="103"/>
      <c r="L278" s="103"/>
      <c r="M278" s="104"/>
      <c r="N278" s="104"/>
      <c r="O278" s="89"/>
      <c r="P278" s="105"/>
      <c r="AB278" s="64"/>
      <c r="AC278" s="33"/>
      <c r="AD278" s="64"/>
      <c r="AE278" s="64"/>
      <c r="AG278" s="64"/>
    </row>
    <row r="279" spans="4:33">
      <c r="I279" s="15"/>
      <c r="K279" s="103"/>
      <c r="L279" s="103"/>
      <c r="M279" s="104"/>
      <c r="N279" s="104"/>
      <c r="O279" s="89"/>
      <c r="P279" s="105"/>
      <c r="AB279" s="64"/>
      <c r="AC279" s="33"/>
      <c r="AD279" s="64"/>
      <c r="AE279" s="64"/>
      <c r="AG279" s="64"/>
    </row>
    <row r="280" spans="4:33">
      <c r="I280" s="15"/>
      <c r="K280" s="103"/>
      <c r="L280" s="103"/>
      <c r="M280" s="104"/>
      <c r="N280" s="104"/>
      <c r="O280" s="89"/>
      <c r="P280" s="105"/>
      <c r="AB280" s="64"/>
      <c r="AC280" s="33"/>
      <c r="AD280" s="64"/>
      <c r="AE280" s="64"/>
      <c r="AG280" s="64"/>
    </row>
    <row r="281" spans="4:33">
      <c r="I281" s="15"/>
      <c r="K281" s="103"/>
      <c r="L281" s="103"/>
      <c r="M281" s="104"/>
      <c r="N281" s="104"/>
      <c r="O281" s="89"/>
      <c r="P281" s="105"/>
      <c r="AB281" s="64"/>
      <c r="AC281" s="33"/>
      <c r="AD281" s="64"/>
      <c r="AE281" s="64"/>
      <c r="AG281" s="64"/>
    </row>
    <row r="282" spans="4:33">
      <c r="I282" s="15"/>
      <c r="K282" s="103"/>
      <c r="L282" s="103"/>
      <c r="M282" s="104"/>
      <c r="N282" s="104"/>
      <c r="O282" s="89"/>
      <c r="P282" s="105"/>
      <c r="AB282" s="64"/>
      <c r="AC282" s="33"/>
      <c r="AD282" s="64"/>
      <c r="AE282" s="64"/>
      <c r="AG282" s="64"/>
    </row>
    <row r="283" spans="4:33">
      <c r="D283" s="51"/>
      <c r="E283" s="51"/>
      <c r="F283" s="81"/>
      <c r="G283" s="81"/>
      <c r="H283" s="81"/>
      <c r="I283" s="15"/>
      <c r="K283" s="103"/>
      <c r="L283" s="103"/>
      <c r="M283" s="104"/>
      <c r="N283" s="104"/>
      <c r="O283" s="89"/>
      <c r="P283" s="105"/>
      <c r="AB283" s="64"/>
      <c r="AC283" s="33"/>
      <c r="AD283" s="64"/>
      <c r="AE283" s="64"/>
      <c r="AG283" s="64"/>
    </row>
    <row r="284" spans="4:33">
      <c r="D284" s="51"/>
      <c r="E284" s="51"/>
      <c r="F284" s="81"/>
      <c r="G284" s="81"/>
      <c r="H284" s="81"/>
      <c r="I284" s="15"/>
      <c r="K284" s="103"/>
      <c r="L284" s="103"/>
      <c r="M284" s="104"/>
      <c r="N284" s="104"/>
      <c r="O284" s="89"/>
      <c r="P284" s="105"/>
      <c r="AB284" s="64"/>
      <c r="AC284" s="33"/>
      <c r="AD284" s="64"/>
      <c r="AE284" s="64"/>
      <c r="AG284" s="64"/>
    </row>
    <row r="285" spans="4:33">
      <c r="D285" s="51"/>
      <c r="E285" s="51"/>
      <c r="F285" s="81"/>
      <c r="G285" s="81"/>
      <c r="H285" s="81"/>
      <c r="I285" s="15"/>
      <c r="K285" s="103"/>
      <c r="L285" s="103"/>
      <c r="M285" s="104"/>
      <c r="N285" s="104"/>
      <c r="O285" s="89"/>
      <c r="P285" s="105"/>
      <c r="AB285" s="64"/>
      <c r="AC285" s="33"/>
      <c r="AD285" s="64"/>
      <c r="AE285" s="64"/>
      <c r="AG285" s="64"/>
    </row>
    <row r="286" spans="4:33">
      <c r="D286" s="51"/>
      <c r="E286" s="51"/>
      <c r="F286" s="81"/>
      <c r="G286" s="81"/>
      <c r="H286" s="81"/>
      <c r="I286" s="15"/>
      <c r="K286" s="103"/>
      <c r="L286" s="103"/>
      <c r="M286" s="104"/>
      <c r="N286" s="104"/>
      <c r="O286" s="89"/>
      <c r="P286" s="105"/>
      <c r="AB286" s="64"/>
      <c r="AC286" s="33"/>
      <c r="AD286" s="64"/>
      <c r="AE286" s="64"/>
      <c r="AG286" s="64"/>
    </row>
    <row r="287" spans="4:33">
      <c r="D287" s="51"/>
      <c r="E287" s="51"/>
      <c r="F287" s="81"/>
      <c r="G287" s="81"/>
      <c r="H287" s="81"/>
      <c r="I287" s="15"/>
      <c r="K287" s="103"/>
      <c r="L287" s="103"/>
      <c r="M287" s="104"/>
      <c r="N287" s="104"/>
      <c r="O287" s="89"/>
      <c r="P287" s="105"/>
      <c r="AB287" s="64"/>
      <c r="AC287" s="33"/>
      <c r="AD287" s="64"/>
      <c r="AE287" s="64"/>
      <c r="AG287" s="64"/>
    </row>
    <row r="288" spans="4:33">
      <c r="D288" s="51"/>
      <c r="E288" s="51"/>
      <c r="F288" s="81"/>
      <c r="G288" s="81"/>
      <c r="H288" s="81"/>
      <c r="I288" s="15"/>
      <c r="K288" s="103"/>
      <c r="L288" s="103"/>
      <c r="M288" s="104"/>
      <c r="N288" s="104"/>
      <c r="O288" s="89"/>
      <c r="P288" s="105"/>
      <c r="AB288" s="64"/>
      <c r="AC288" s="33"/>
      <c r="AD288" s="64"/>
      <c r="AE288" s="64"/>
      <c r="AG288" s="64"/>
    </row>
    <row r="289" spans="4:33">
      <c r="D289" s="51"/>
      <c r="E289" s="51"/>
      <c r="F289" s="81"/>
      <c r="G289" s="81"/>
      <c r="H289" s="81"/>
      <c r="I289" s="15"/>
      <c r="K289" s="103"/>
      <c r="L289" s="103"/>
      <c r="M289" s="104"/>
      <c r="N289" s="104"/>
      <c r="O289" s="89"/>
      <c r="P289" s="105"/>
      <c r="AB289" s="64"/>
      <c r="AC289" s="33"/>
      <c r="AD289" s="64"/>
      <c r="AE289" s="64"/>
      <c r="AG289" s="64"/>
    </row>
    <row r="290" spans="4:33">
      <c r="D290" s="51"/>
      <c r="E290" s="51"/>
      <c r="F290" s="81"/>
      <c r="G290" s="81"/>
      <c r="H290" s="81"/>
      <c r="I290" s="15"/>
      <c r="K290" s="103"/>
      <c r="L290" s="103"/>
      <c r="M290" s="104"/>
      <c r="N290" s="104"/>
      <c r="O290" s="89"/>
      <c r="P290" s="105"/>
      <c r="AB290" s="64"/>
      <c r="AC290" s="33"/>
      <c r="AD290" s="64"/>
      <c r="AE290" s="64"/>
      <c r="AG290" s="64"/>
    </row>
    <row r="291" spans="4:33">
      <c r="D291" s="51"/>
      <c r="E291" s="51"/>
      <c r="F291" s="81"/>
      <c r="G291" s="81"/>
      <c r="H291" s="81"/>
      <c r="I291" s="15"/>
      <c r="K291" s="103"/>
      <c r="L291" s="103"/>
      <c r="M291" s="104"/>
      <c r="N291" s="104"/>
      <c r="O291" s="89"/>
      <c r="P291" s="105"/>
      <c r="AB291" s="64"/>
      <c r="AC291" s="33"/>
      <c r="AD291" s="64"/>
      <c r="AE291" s="64"/>
      <c r="AG291" s="64"/>
    </row>
    <row r="292" spans="4:33">
      <c r="D292" s="51"/>
      <c r="E292" s="51"/>
      <c r="F292" s="81"/>
      <c r="G292" s="81"/>
      <c r="H292" s="81"/>
      <c r="I292" s="15"/>
      <c r="K292" s="103"/>
      <c r="L292" s="103"/>
      <c r="M292" s="104"/>
      <c r="N292" s="104"/>
      <c r="O292" s="89"/>
      <c r="P292" s="105"/>
      <c r="AB292" s="64"/>
      <c r="AC292" s="33"/>
      <c r="AD292" s="64"/>
      <c r="AE292" s="64"/>
      <c r="AG292" s="64"/>
    </row>
    <row r="293" spans="4:33">
      <c r="D293" s="51"/>
      <c r="E293" s="51"/>
      <c r="F293" s="81"/>
      <c r="G293" s="81"/>
      <c r="H293" s="81"/>
      <c r="I293" s="15"/>
      <c r="K293" s="103"/>
      <c r="L293" s="103"/>
      <c r="M293" s="104"/>
      <c r="N293" s="104"/>
      <c r="O293" s="89"/>
      <c r="P293" s="105"/>
      <c r="AB293" s="64"/>
      <c r="AC293" s="33"/>
      <c r="AD293" s="64"/>
      <c r="AE293" s="64"/>
      <c r="AG293" s="64"/>
    </row>
    <row r="294" spans="4:33">
      <c r="D294" s="51"/>
      <c r="E294" s="51"/>
      <c r="F294" s="81"/>
      <c r="G294" s="81"/>
      <c r="H294" s="81"/>
      <c r="I294" s="15"/>
      <c r="K294" s="103"/>
      <c r="L294" s="103"/>
      <c r="M294" s="104"/>
      <c r="N294" s="104"/>
      <c r="O294" s="89"/>
      <c r="P294" s="105"/>
      <c r="AB294" s="64"/>
      <c r="AC294" s="33"/>
      <c r="AD294" s="64"/>
      <c r="AE294" s="64"/>
      <c r="AG294" s="64"/>
    </row>
    <row r="295" spans="4:33">
      <c r="D295" s="51"/>
      <c r="E295" s="51"/>
      <c r="F295" s="81"/>
      <c r="G295" s="81"/>
      <c r="H295" s="81"/>
      <c r="I295" s="15"/>
      <c r="K295" s="103"/>
      <c r="L295" s="103"/>
      <c r="M295" s="104"/>
      <c r="N295" s="104"/>
      <c r="O295" s="89"/>
      <c r="P295" s="105"/>
      <c r="AB295" s="64"/>
      <c r="AC295" s="33"/>
      <c r="AD295" s="64"/>
      <c r="AE295" s="64"/>
      <c r="AG295" s="64"/>
    </row>
    <row r="296" spans="4:33">
      <c r="D296" s="51"/>
      <c r="E296" s="51"/>
      <c r="F296" s="81"/>
      <c r="G296" s="81"/>
      <c r="H296" s="81"/>
      <c r="I296" s="15"/>
      <c r="K296" s="103"/>
      <c r="L296" s="103"/>
      <c r="M296" s="104"/>
      <c r="N296" s="104"/>
      <c r="O296" s="89"/>
      <c r="P296" s="105"/>
      <c r="AB296" s="64"/>
      <c r="AC296" s="33"/>
      <c r="AD296" s="64"/>
      <c r="AE296" s="64"/>
      <c r="AG296" s="64"/>
    </row>
    <row r="297" spans="4:33">
      <c r="D297" s="51"/>
      <c r="E297" s="51"/>
      <c r="F297" s="81"/>
      <c r="G297" s="81"/>
      <c r="H297" s="81"/>
      <c r="I297" s="15"/>
      <c r="K297" s="103"/>
      <c r="L297" s="103"/>
      <c r="M297" s="104"/>
      <c r="N297" s="104"/>
      <c r="O297" s="89"/>
      <c r="P297" s="105"/>
      <c r="AB297" s="64"/>
      <c r="AC297" s="33"/>
      <c r="AD297" s="64"/>
      <c r="AE297" s="64"/>
      <c r="AG297" s="64"/>
    </row>
    <row r="298" spans="4:33">
      <c r="D298" s="51"/>
      <c r="E298" s="51"/>
      <c r="F298" s="81"/>
      <c r="G298" s="81"/>
      <c r="H298" s="81"/>
      <c r="I298" s="15"/>
      <c r="K298" s="103"/>
      <c r="L298" s="103"/>
      <c r="M298" s="104"/>
      <c r="N298" s="104"/>
      <c r="O298" s="89"/>
      <c r="P298" s="105"/>
      <c r="AB298" s="64"/>
      <c r="AC298" s="33"/>
      <c r="AD298" s="64"/>
      <c r="AE298" s="64"/>
      <c r="AG298" s="64"/>
    </row>
    <row r="299" spans="4:33">
      <c r="D299" s="51"/>
      <c r="E299" s="51"/>
      <c r="F299" s="81"/>
      <c r="G299" s="81"/>
      <c r="H299" s="81"/>
      <c r="I299" s="15"/>
      <c r="K299" s="103"/>
      <c r="L299" s="103"/>
      <c r="M299" s="104"/>
      <c r="N299" s="104"/>
      <c r="O299" s="89"/>
      <c r="P299" s="105"/>
      <c r="AB299" s="64"/>
      <c r="AC299" s="33"/>
      <c r="AD299" s="64"/>
      <c r="AE299" s="64"/>
      <c r="AG299" s="64"/>
    </row>
    <row r="300" spans="4:33">
      <c r="D300" s="51"/>
      <c r="E300" s="51"/>
      <c r="F300" s="81"/>
      <c r="G300" s="81"/>
      <c r="H300" s="81"/>
      <c r="I300" s="15"/>
      <c r="K300" s="103"/>
      <c r="L300" s="103"/>
      <c r="M300" s="104"/>
      <c r="N300" s="104"/>
      <c r="O300" s="89"/>
      <c r="P300" s="105"/>
      <c r="AB300" s="64"/>
      <c r="AC300" s="33"/>
      <c r="AD300" s="64"/>
      <c r="AE300" s="64"/>
      <c r="AG300" s="64"/>
    </row>
    <row r="301" spans="4:33">
      <c r="D301" s="51"/>
      <c r="E301" s="51"/>
      <c r="F301" s="81"/>
      <c r="G301" s="81"/>
      <c r="H301" s="81"/>
      <c r="I301" s="15"/>
      <c r="K301" s="103"/>
      <c r="L301" s="103"/>
      <c r="M301" s="104"/>
      <c r="N301" s="104"/>
      <c r="O301" s="89"/>
      <c r="P301" s="105"/>
      <c r="AB301" s="64"/>
      <c r="AC301" s="33"/>
      <c r="AD301" s="64"/>
      <c r="AE301" s="64"/>
      <c r="AG301" s="64"/>
    </row>
    <row r="302" spans="4:33">
      <c r="D302" s="51"/>
      <c r="E302" s="51"/>
      <c r="F302" s="81"/>
      <c r="G302" s="81"/>
      <c r="H302" s="81"/>
      <c r="I302" s="15"/>
      <c r="K302" s="103"/>
      <c r="L302" s="103"/>
      <c r="M302" s="104"/>
      <c r="N302" s="104"/>
      <c r="O302" s="89"/>
      <c r="P302" s="105"/>
      <c r="AB302" s="64"/>
      <c r="AC302" s="33"/>
      <c r="AD302" s="64"/>
      <c r="AE302" s="64"/>
      <c r="AG302" s="64"/>
    </row>
    <row r="303" spans="4:33">
      <c r="D303" s="51"/>
      <c r="E303" s="51"/>
      <c r="F303" s="81"/>
      <c r="G303" s="81"/>
      <c r="H303" s="81"/>
      <c r="I303" s="15"/>
      <c r="K303" s="103"/>
      <c r="L303" s="103"/>
      <c r="M303" s="104"/>
      <c r="N303" s="104"/>
      <c r="O303" s="89"/>
      <c r="P303" s="105"/>
      <c r="AB303" s="64"/>
      <c r="AC303" s="33"/>
      <c r="AD303" s="64"/>
      <c r="AE303" s="64"/>
      <c r="AG303" s="64"/>
    </row>
    <row r="304" spans="4:33">
      <c r="D304" s="51"/>
      <c r="E304" s="51"/>
      <c r="F304" s="81"/>
      <c r="G304" s="81"/>
      <c r="H304" s="81"/>
      <c r="I304" s="15"/>
      <c r="K304" s="103"/>
      <c r="L304" s="103"/>
      <c r="M304" s="104"/>
      <c r="N304" s="104"/>
      <c r="O304" s="89"/>
      <c r="P304" s="105"/>
      <c r="AB304" s="64"/>
      <c r="AC304" s="33"/>
      <c r="AD304" s="64"/>
      <c r="AE304" s="64"/>
      <c r="AG304" s="64"/>
    </row>
    <row r="305" spans="4:33">
      <c r="D305" s="51"/>
      <c r="E305" s="51"/>
      <c r="F305" s="81"/>
      <c r="G305" s="81"/>
      <c r="H305" s="81"/>
      <c r="I305" s="15"/>
      <c r="K305" s="103"/>
      <c r="L305" s="103"/>
      <c r="M305" s="104"/>
      <c r="N305" s="104"/>
      <c r="O305" s="89"/>
      <c r="P305" s="105"/>
      <c r="AB305" s="64"/>
      <c r="AC305" s="33"/>
      <c r="AD305" s="64"/>
      <c r="AE305" s="64"/>
      <c r="AG305" s="64"/>
    </row>
    <row r="306" spans="4:33">
      <c r="D306" s="51"/>
      <c r="E306" s="51"/>
      <c r="F306" s="81"/>
      <c r="G306" s="81"/>
      <c r="H306" s="81"/>
      <c r="I306" s="15"/>
      <c r="K306" s="103"/>
      <c r="L306" s="103"/>
      <c r="M306" s="104"/>
      <c r="N306" s="104"/>
      <c r="O306" s="89"/>
      <c r="P306" s="105"/>
      <c r="AB306" s="64"/>
      <c r="AC306" s="33"/>
      <c r="AD306" s="64"/>
      <c r="AE306" s="64"/>
      <c r="AG306" s="64"/>
    </row>
    <row r="307" spans="4:33">
      <c r="D307" s="51"/>
      <c r="E307" s="51"/>
      <c r="F307" s="81"/>
      <c r="G307" s="81"/>
      <c r="H307" s="81"/>
      <c r="I307" s="15"/>
      <c r="K307" s="103"/>
      <c r="L307" s="103"/>
      <c r="M307" s="104"/>
      <c r="N307" s="104"/>
      <c r="O307" s="89"/>
      <c r="P307" s="105"/>
      <c r="AB307" s="64"/>
      <c r="AC307" s="33"/>
      <c r="AD307" s="64"/>
      <c r="AE307" s="64"/>
      <c r="AG307" s="64"/>
    </row>
    <row r="308" spans="4:33">
      <c r="D308" s="51"/>
      <c r="E308" s="51"/>
      <c r="F308" s="81"/>
      <c r="G308" s="81"/>
      <c r="H308" s="81"/>
      <c r="I308" s="15"/>
      <c r="K308" s="103"/>
      <c r="L308" s="103"/>
      <c r="M308" s="104"/>
      <c r="N308" s="104"/>
      <c r="O308" s="89"/>
      <c r="P308" s="105"/>
      <c r="AB308" s="64"/>
      <c r="AC308" s="33"/>
      <c r="AD308" s="64"/>
      <c r="AE308" s="64"/>
      <c r="AG308" s="64"/>
    </row>
    <row r="309" spans="4:33">
      <c r="D309" s="51"/>
      <c r="E309" s="51"/>
      <c r="F309" s="81"/>
      <c r="G309" s="81"/>
      <c r="H309" s="81"/>
      <c r="I309" s="15"/>
      <c r="K309" s="103"/>
      <c r="L309" s="103"/>
      <c r="M309" s="104"/>
      <c r="N309" s="104"/>
      <c r="O309" s="89"/>
      <c r="P309" s="105"/>
      <c r="AB309" s="64"/>
      <c r="AC309" s="33"/>
      <c r="AD309" s="64"/>
      <c r="AE309" s="64"/>
      <c r="AG309" s="64"/>
    </row>
    <row r="310" spans="4:33">
      <c r="D310" s="51"/>
      <c r="E310" s="51"/>
      <c r="F310" s="81"/>
      <c r="G310" s="81"/>
      <c r="H310" s="81"/>
      <c r="I310" s="15"/>
      <c r="K310" s="103"/>
      <c r="L310" s="103"/>
      <c r="M310" s="104"/>
      <c r="N310" s="104"/>
      <c r="O310" s="89"/>
      <c r="P310" s="105"/>
      <c r="AB310" s="64"/>
      <c r="AC310" s="33"/>
      <c r="AD310" s="64"/>
      <c r="AE310" s="64"/>
      <c r="AG310" s="64"/>
    </row>
    <row r="311" spans="4:33">
      <c r="D311" s="51"/>
      <c r="E311" s="51"/>
      <c r="F311" s="81"/>
      <c r="G311" s="81"/>
      <c r="H311" s="81"/>
      <c r="I311" s="15"/>
      <c r="K311" s="103"/>
      <c r="L311" s="103"/>
      <c r="M311" s="104"/>
      <c r="N311" s="104"/>
      <c r="O311" s="89"/>
      <c r="P311" s="105"/>
      <c r="AB311" s="64"/>
      <c r="AC311" s="33"/>
      <c r="AD311" s="64"/>
      <c r="AE311" s="64"/>
      <c r="AG311" s="64"/>
    </row>
    <row r="312" spans="4:33">
      <c r="D312" s="51"/>
      <c r="E312" s="51"/>
      <c r="F312" s="81"/>
      <c r="G312" s="81"/>
      <c r="H312" s="81"/>
      <c r="I312" s="15"/>
      <c r="K312" s="103"/>
      <c r="L312" s="103"/>
      <c r="M312" s="104"/>
      <c r="N312" s="104"/>
      <c r="O312" s="89"/>
      <c r="P312" s="105"/>
      <c r="AB312" s="64"/>
      <c r="AC312" s="33"/>
      <c r="AD312" s="64"/>
      <c r="AE312" s="64"/>
      <c r="AG312" s="64"/>
    </row>
    <row r="313" spans="4:33">
      <c r="D313" s="51"/>
      <c r="E313" s="51"/>
      <c r="F313" s="81"/>
      <c r="G313" s="81"/>
      <c r="H313" s="81"/>
      <c r="I313" s="15"/>
      <c r="K313" s="103"/>
      <c r="L313" s="103"/>
      <c r="M313" s="104"/>
      <c r="N313" s="104"/>
      <c r="O313" s="89"/>
      <c r="P313" s="105"/>
      <c r="AB313" s="64"/>
      <c r="AC313" s="33"/>
      <c r="AD313" s="64"/>
      <c r="AE313" s="64"/>
      <c r="AG313" s="64"/>
    </row>
    <row r="314" spans="4:33">
      <c r="D314" s="51"/>
      <c r="E314" s="51"/>
      <c r="F314" s="81"/>
      <c r="G314" s="81"/>
      <c r="H314" s="81"/>
      <c r="I314" s="15"/>
      <c r="K314" s="103"/>
      <c r="L314" s="103"/>
      <c r="M314" s="104"/>
      <c r="N314" s="104"/>
      <c r="O314" s="89"/>
      <c r="P314" s="105"/>
      <c r="AB314" s="64"/>
      <c r="AC314" s="33"/>
      <c r="AD314" s="64"/>
      <c r="AE314" s="64"/>
      <c r="AG314" s="64"/>
    </row>
    <row r="315" spans="4:33">
      <c r="D315" s="51"/>
      <c r="E315" s="51"/>
      <c r="F315" s="81"/>
      <c r="G315" s="81"/>
      <c r="H315" s="81"/>
      <c r="I315" s="15"/>
      <c r="K315" s="103"/>
      <c r="L315" s="103"/>
      <c r="M315" s="104"/>
      <c r="N315" s="104"/>
      <c r="O315" s="89"/>
      <c r="P315" s="105"/>
      <c r="AB315" s="64"/>
      <c r="AC315" s="33"/>
      <c r="AD315" s="64"/>
      <c r="AE315" s="64"/>
      <c r="AG315" s="64"/>
    </row>
    <row r="316" spans="4:33">
      <c r="D316" s="51"/>
      <c r="E316" s="51"/>
      <c r="F316" s="81"/>
      <c r="G316" s="81"/>
      <c r="H316" s="81"/>
      <c r="I316" s="15"/>
      <c r="K316" s="103"/>
      <c r="L316" s="103"/>
      <c r="M316" s="104"/>
      <c r="N316" s="104"/>
      <c r="O316" s="89"/>
      <c r="P316" s="105"/>
      <c r="AB316" s="64"/>
      <c r="AC316" s="33"/>
      <c r="AD316" s="64"/>
      <c r="AE316" s="64"/>
      <c r="AG316" s="64"/>
    </row>
    <row r="317" spans="4:33">
      <c r="D317" s="51"/>
      <c r="E317" s="51"/>
      <c r="F317" s="81"/>
      <c r="G317" s="81"/>
      <c r="H317" s="81"/>
      <c r="I317" s="15"/>
      <c r="K317" s="103"/>
      <c r="L317" s="103"/>
      <c r="M317" s="104"/>
      <c r="N317" s="104"/>
      <c r="O317" s="89"/>
      <c r="P317" s="105"/>
      <c r="AB317" s="64"/>
      <c r="AC317" s="33"/>
      <c r="AD317" s="64"/>
      <c r="AE317" s="64"/>
      <c r="AG317" s="64"/>
    </row>
    <row r="318" spans="4:33">
      <c r="D318" s="51"/>
      <c r="E318" s="51"/>
      <c r="F318" s="81"/>
      <c r="G318" s="81"/>
      <c r="H318" s="81"/>
      <c r="I318" s="15"/>
      <c r="K318" s="103"/>
      <c r="L318" s="103"/>
      <c r="M318" s="104"/>
      <c r="N318" s="104"/>
      <c r="O318" s="89"/>
      <c r="P318" s="105"/>
      <c r="AB318" s="64"/>
      <c r="AC318" s="33"/>
      <c r="AD318" s="64"/>
      <c r="AE318" s="64"/>
      <c r="AG318" s="64"/>
    </row>
    <row r="319" spans="4:33">
      <c r="D319" s="51"/>
      <c r="E319" s="51"/>
      <c r="F319" s="81"/>
      <c r="G319" s="81"/>
      <c r="H319" s="81"/>
      <c r="I319" s="15"/>
      <c r="K319" s="103"/>
      <c r="L319" s="103"/>
      <c r="M319" s="104"/>
      <c r="N319" s="104"/>
      <c r="O319" s="89"/>
      <c r="P319" s="105"/>
      <c r="AB319" s="64"/>
      <c r="AC319" s="33"/>
      <c r="AD319" s="64"/>
      <c r="AE319" s="64"/>
      <c r="AG319" s="64"/>
    </row>
    <row r="320" spans="4:33">
      <c r="D320" s="51"/>
      <c r="E320" s="51"/>
      <c r="F320" s="81"/>
      <c r="G320" s="81"/>
      <c r="H320" s="81"/>
      <c r="I320" s="15"/>
      <c r="K320" s="103"/>
      <c r="L320" s="103"/>
      <c r="M320" s="104"/>
      <c r="N320" s="104"/>
      <c r="O320" s="89"/>
      <c r="P320" s="105"/>
      <c r="AB320" s="64"/>
      <c r="AC320" s="33"/>
      <c r="AD320" s="64"/>
      <c r="AE320" s="64"/>
      <c r="AG320" s="64"/>
    </row>
    <row r="321" spans="4:33">
      <c r="D321" s="51"/>
      <c r="E321" s="51"/>
      <c r="F321" s="81"/>
      <c r="G321" s="81"/>
      <c r="H321" s="81"/>
      <c r="I321" s="15"/>
      <c r="K321" s="103"/>
      <c r="L321" s="103"/>
      <c r="M321" s="104"/>
      <c r="N321" s="104"/>
      <c r="O321" s="89"/>
      <c r="P321" s="105"/>
      <c r="AB321" s="64"/>
      <c r="AC321" s="33"/>
      <c r="AD321" s="64"/>
      <c r="AE321" s="64"/>
      <c r="AG321" s="64"/>
    </row>
    <row r="322" spans="4:33">
      <c r="D322" s="51"/>
      <c r="E322" s="51"/>
      <c r="F322" s="81"/>
      <c r="G322" s="81"/>
      <c r="H322" s="81"/>
      <c r="I322" s="15"/>
      <c r="K322" s="103"/>
      <c r="L322" s="103"/>
      <c r="M322" s="104"/>
      <c r="N322" s="104"/>
      <c r="O322" s="89"/>
      <c r="P322" s="105"/>
      <c r="AB322" s="64"/>
      <c r="AC322" s="33"/>
      <c r="AD322" s="64"/>
      <c r="AE322" s="64"/>
      <c r="AG322" s="64"/>
    </row>
    <row r="323" spans="4:33">
      <c r="D323" s="51"/>
      <c r="E323" s="51"/>
      <c r="F323" s="81"/>
      <c r="G323" s="81"/>
      <c r="H323" s="81"/>
      <c r="I323" s="15"/>
      <c r="K323" s="103"/>
      <c r="L323" s="103"/>
      <c r="M323" s="104"/>
      <c r="N323" s="104"/>
      <c r="O323" s="89"/>
      <c r="P323" s="105"/>
      <c r="AB323" s="64"/>
      <c r="AC323" s="33"/>
      <c r="AD323" s="64"/>
      <c r="AE323" s="64"/>
      <c r="AG323" s="64"/>
    </row>
    <row r="324" spans="4:33">
      <c r="D324" s="51"/>
      <c r="E324" s="51"/>
      <c r="F324" s="81"/>
      <c r="G324" s="81"/>
      <c r="H324" s="81"/>
      <c r="I324" s="15"/>
      <c r="K324" s="103"/>
      <c r="L324" s="103"/>
      <c r="M324" s="104"/>
      <c r="N324" s="104"/>
      <c r="O324" s="89"/>
      <c r="P324" s="105"/>
      <c r="AB324" s="64"/>
      <c r="AC324" s="33"/>
      <c r="AD324" s="64"/>
      <c r="AE324" s="64"/>
      <c r="AG324" s="64"/>
    </row>
    <row r="325" spans="4:33">
      <c r="D325" s="51"/>
      <c r="E325" s="51"/>
      <c r="F325" s="81"/>
      <c r="G325" s="81"/>
      <c r="H325" s="81"/>
      <c r="I325" s="15"/>
      <c r="K325" s="103"/>
      <c r="L325" s="103"/>
      <c r="M325" s="104"/>
      <c r="N325" s="104"/>
      <c r="O325" s="89"/>
      <c r="P325" s="105"/>
      <c r="AB325" s="64"/>
      <c r="AC325" s="33"/>
      <c r="AD325" s="64"/>
      <c r="AE325" s="64"/>
      <c r="AG325" s="64"/>
    </row>
    <row r="326" spans="4:33">
      <c r="D326" s="51"/>
      <c r="E326" s="51"/>
      <c r="F326" s="81"/>
      <c r="G326" s="81"/>
      <c r="H326" s="81"/>
      <c r="I326" s="15"/>
      <c r="K326" s="103"/>
      <c r="L326" s="103"/>
      <c r="M326" s="104"/>
      <c r="N326" s="104"/>
      <c r="O326" s="89"/>
      <c r="P326" s="105"/>
      <c r="AB326" s="64"/>
      <c r="AC326" s="33"/>
      <c r="AD326" s="64"/>
      <c r="AE326" s="64"/>
      <c r="AG326" s="64"/>
    </row>
    <row r="327" spans="4:33">
      <c r="D327" s="51"/>
      <c r="E327" s="51"/>
      <c r="F327" s="81"/>
      <c r="G327" s="81"/>
      <c r="H327" s="81"/>
      <c r="I327" s="15"/>
      <c r="K327" s="103"/>
      <c r="L327" s="103"/>
      <c r="M327" s="104"/>
      <c r="N327" s="104"/>
      <c r="O327" s="89"/>
      <c r="P327" s="105"/>
      <c r="AB327" s="64"/>
      <c r="AC327" s="33"/>
      <c r="AD327" s="64"/>
      <c r="AE327" s="64"/>
      <c r="AG327" s="64"/>
    </row>
    <row r="328" spans="4:33">
      <c r="D328" s="51"/>
      <c r="E328" s="51"/>
      <c r="F328" s="81"/>
      <c r="G328" s="81"/>
      <c r="H328" s="81"/>
      <c r="I328" s="15"/>
      <c r="K328" s="103"/>
      <c r="L328" s="103"/>
      <c r="M328" s="104"/>
      <c r="N328" s="104"/>
      <c r="O328" s="89"/>
      <c r="P328" s="105"/>
      <c r="AB328" s="64"/>
      <c r="AC328" s="33"/>
      <c r="AD328" s="64"/>
      <c r="AE328" s="64"/>
      <c r="AG328" s="64"/>
    </row>
    <row r="329" spans="4:33">
      <c r="D329" s="51"/>
      <c r="E329" s="51"/>
      <c r="F329" s="81"/>
      <c r="G329" s="81"/>
      <c r="H329" s="81"/>
      <c r="I329" s="15"/>
      <c r="K329" s="103"/>
      <c r="L329" s="103"/>
      <c r="M329" s="104"/>
      <c r="N329" s="104"/>
      <c r="O329" s="89"/>
      <c r="P329" s="105"/>
      <c r="AB329" s="64"/>
      <c r="AC329" s="33"/>
      <c r="AD329" s="64"/>
      <c r="AE329" s="64"/>
      <c r="AG329" s="64"/>
    </row>
    <row r="330" spans="4:33">
      <c r="D330" s="51"/>
      <c r="E330" s="51"/>
      <c r="F330" s="81"/>
      <c r="G330" s="81"/>
      <c r="H330" s="81"/>
      <c r="I330" s="15"/>
      <c r="K330" s="103"/>
      <c r="L330" s="103"/>
      <c r="M330" s="104"/>
      <c r="N330" s="104"/>
      <c r="O330" s="89"/>
      <c r="P330" s="105"/>
      <c r="AB330" s="64"/>
      <c r="AC330" s="33"/>
      <c r="AD330" s="64"/>
      <c r="AE330" s="64"/>
      <c r="AG330" s="64"/>
    </row>
    <row r="331" spans="4:33">
      <c r="D331" s="51"/>
      <c r="E331" s="51"/>
      <c r="F331" s="81"/>
      <c r="G331" s="81"/>
      <c r="H331" s="81"/>
      <c r="I331" s="15"/>
      <c r="K331" s="103"/>
      <c r="L331" s="103"/>
      <c r="M331" s="104"/>
      <c r="N331" s="104"/>
      <c r="O331" s="89"/>
      <c r="P331" s="105"/>
      <c r="AB331" s="64"/>
      <c r="AC331" s="33"/>
      <c r="AD331" s="64"/>
      <c r="AE331" s="64"/>
      <c r="AG331" s="64"/>
    </row>
    <row r="332" spans="4:33">
      <c r="D332" s="51"/>
      <c r="E332" s="51"/>
      <c r="F332" s="81"/>
      <c r="G332" s="81"/>
      <c r="H332" s="81"/>
      <c r="I332" s="15"/>
      <c r="K332" s="103"/>
      <c r="L332" s="103"/>
      <c r="M332" s="104"/>
      <c r="N332" s="104"/>
      <c r="O332" s="89"/>
      <c r="P332" s="105"/>
      <c r="AB332" s="64"/>
      <c r="AC332" s="33"/>
      <c r="AD332" s="64"/>
      <c r="AE332" s="64"/>
      <c r="AG332" s="64"/>
    </row>
    <row r="333" spans="4:33">
      <c r="D333" s="51"/>
      <c r="E333" s="51"/>
      <c r="F333" s="81"/>
      <c r="G333" s="81"/>
      <c r="H333" s="81"/>
      <c r="I333" s="15"/>
      <c r="K333" s="103"/>
      <c r="L333" s="103"/>
      <c r="M333" s="104"/>
      <c r="N333" s="104"/>
      <c r="O333" s="89"/>
      <c r="P333" s="105"/>
      <c r="AB333" s="64"/>
      <c r="AC333" s="33"/>
      <c r="AD333" s="64"/>
      <c r="AE333" s="64"/>
      <c r="AG333" s="64"/>
    </row>
    <row r="334" spans="4:33">
      <c r="D334" s="51"/>
      <c r="E334" s="51"/>
      <c r="F334" s="81"/>
      <c r="G334" s="81"/>
      <c r="H334" s="81"/>
      <c r="I334" s="15"/>
      <c r="K334" s="103"/>
      <c r="L334" s="103"/>
      <c r="M334" s="104"/>
      <c r="N334" s="104"/>
      <c r="O334" s="89"/>
      <c r="P334" s="105"/>
      <c r="AB334" s="64"/>
      <c r="AC334" s="33"/>
      <c r="AD334" s="64"/>
      <c r="AE334" s="64"/>
      <c r="AG334" s="64"/>
    </row>
    <row r="335" spans="4:33">
      <c r="D335" s="51"/>
      <c r="E335" s="51"/>
      <c r="F335" s="81"/>
      <c r="G335" s="81"/>
      <c r="H335" s="81"/>
      <c r="I335" s="15"/>
      <c r="K335" s="103"/>
      <c r="L335" s="103"/>
      <c r="M335" s="104"/>
      <c r="N335" s="104"/>
      <c r="O335" s="89"/>
      <c r="P335" s="105"/>
      <c r="AB335" s="64"/>
      <c r="AC335" s="33"/>
      <c r="AD335" s="64"/>
      <c r="AE335" s="64"/>
      <c r="AG335" s="64"/>
    </row>
    <row r="336" spans="4:33">
      <c r="D336" s="51"/>
      <c r="E336" s="51"/>
      <c r="F336" s="81"/>
      <c r="G336" s="81"/>
      <c r="H336" s="81"/>
      <c r="I336" s="15"/>
      <c r="K336" s="103"/>
      <c r="L336" s="103"/>
      <c r="M336" s="104"/>
      <c r="N336" s="104"/>
      <c r="O336" s="89"/>
      <c r="P336" s="105"/>
      <c r="AB336" s="64"/>
      <c r="AC336" s="33"/>
      <c r="AD336" s="64"/>
      <c r="AE336" s="64"/>
      <c r="AG336" s="64"/>
    </row>
    <row r="337" spans="4:33">
      <c r="D337" s="51"/>
      <c r="E337" s="51"/>
      <c r="F337" s="81"/>
      <c r="G337" s="81"/>
      <c r="H337" s="81"/>
      <c r="I337" s="15"/>
      <c r="K337" s="103"/>
      <c r="L337" s="103"/>
      <c r="M337" s="104"/>
      <c r="N337" s="104"/>
      <c r="O337" s="89"/>
      <c r="P337" s="105"/>
      <c r="AB337" s="64"/>
      <c r="AC337" s="33"/>
      <c r="AD337" s="64"/>
      <c r="AE337" s="64"/>
      <c r="AG337" s="64"/>
    </row>
    <row r="338" spans="4:33">
      <c r="D338" s="51"/>
      <c r="E338" s="51"/>
      <c r="F338" s="81"/>
      <c r="G338" s="81"/>
      <c r="H338" s="81"/>
      <c r="I338" s="15"/>
      <c r="K338" s="103"/>
      <c r="L338" s="103"/>
      <c r="M338" s="104"/>
      <c r="N338" s="104"/>
      <c r="O338" s="89"/>
      <c r="P338" s="105"/>
      <c r="AB338" s="64"/>
      <c r="AC338" s="33"/>
      <c r="AD338" s="64"/>
      <c r="AE338" s="64"/>
      <c r="AG338" s="64"/>
    </row>
    <row r="339" spans="4:33">
      <c r="D339" s="51"/>
      <c r="E339" s="51"/>
      <c r="F339" s="81"/>
      <c r="G339" s="81"/>
      <c r="H339" s="81"/>
      <c r="I339" s="15"/>
      <c r="K339" s="103"/>
      <c r="L339" s="103"/>
      <c r="M339" s="104"/>
      <c r="N339" s="104"/>
      <c r="O339" s="89"/>
      <c r="P339" s="105"/>
      <c r="AB339" s="64"/>
      <c r="AC339" s="33"/>
      <c r="AD339" s="64"/>
      <c r="AE339" s="64"/>
      <c r="AG339" s="64"/>
    </row>
    <row r="340" spans="4:33">
      <c r="D340" s="51"/>
      <c r="E340" s="51"/>
      <c r="F340" s="81"/>
      <c r="G340" s="81"/>
      <c r="H340" s="81"/>
      <c r="I340" s="15"/>
      <c r="K340" s="103"/>
      <c r="L340" s="103"/>
      <c r="M340" s="104"/>
      <c r="N340" s="104"/>
      <c r="O340" s="89"/>
      <c r="P340" s="105"/>
      <c r="AB340" s="64"/>
      <c r="AC340" s="33"/>
      <c r="AD340" s="64"/>
      <c r="AE340" s="64"/>
      <c r="AG340" s="64"/>
    </row>
    <row r="341" spans="4:33">
      <c r="D341" s="51"/>
      <c r="E341" s="51"/>
      <c r="F341" s="81"/>
      <c r="G341" s="81"/>
      <c r="H341" s="81"/>
      <c r="I341" s="15"/>
      <c r="K341" s="103"/>
      <c r="L341" s="103"/>
      <c r="M341" s="104"/>
      <c r="N341" s="104"/>
      <c r="O341" s="89"/>
      <c r="P341" s="105"/>
      <c r="AB341" s="64"/>
      <c r="AC341" s="33"/>
      <c r="AD341" s="64"/>
      <c r="AE341" s="64"/>
      <c r="AG341" s="64"/>
    </row>
    <row r="342" spans="4:33">
      <c r="D342" s="51"/>
      <c r="E342" s="51"/>
      <c r="F342" s="81"/>
      <c r="G342" s="81"/>
      <c r="H342" s="81"/>
      <c r="I342" s="15"/>
      <c r="K342" s="103"/>
      <c r="L342" s="103"/>
      <c r="M342" s="104"/>
      <c r="N342" s="104"/>
      <c r="O342" s="89"/>
      <c r="P342" s="105"/>
      <c r="AB342" s="64"/>
      <c r="AC342" s="33"/>
      <c r="AD342" s="64"/>
      <c r="AE342" s="64"/>
      <c r="AG342" s="64"/>
    </row>
    <row r="343" spans="4:33">
      <c r="D343" s="51"/>
      <c r="E343" s="51"/>
      <c r="F343" s="81"/>
      <c r="G343" s="81"/>
      <c r="H343" s="81"/>
      <c r="I343" s="15"/>
      <c r="K343" s="103"/>
      <c r="L343" s="103"/>
      <c r="M343" s="104"/>
      <c r="N343" s="104"/>
      <c r="O343" s="89"/>
      <c r="P343" s="105"/>
      <c r="AB343" s="64"/>
      <c r="AC343" s="33"/>
      <c r="AD343" s="64"/>
      <c r="AE343" s="64"/>
      <c r="AG343" s="64"/>
    </row>
    <row r="344" spans="4:33">
      <c r="D344" s="51"/>
      <c r="E344" s="51"/>
      <c r="F344" s="81"/>
      <c r="G344" s="81"/>
      <c r="H344" s="81"/>
      <c r="I344" s="15"/>
      <c r="K344" s="103"/>
      <c r="L344" s="103"/>
      <c r="M344" s="104"/>
      <c r="N344" s="104"/>
      <c r="O344" s="89"/>
      <c r="P344" s="105"/>
      <c r="AB344" s="64"/>
      <c r="AC344" s="33"/>
      <c r="AD344" s="64"/>
      <c r="AE344" s="64"/>
      <c r="AG344" s="64"/>
    </row>
    <row r="345" spans="4:33">
      <c r="D345" s="51"/>
      <c r="E345" s="51"/>
      <c r="F345" s="81"/>
      <c r="G345" s="81"/>
      <c r="H345" s="81"/>
      <c r="I345" s="15"/>
      <c r="K345" s="103"/>
      <c r="L345" s="103"/>
      <c r="M345" s="104"/>
      <c r="N345" s="104"/>
      <c r="O345" s="89"/>
      <c r="P345" s="105"/>
      <c r="AB345" s="64"/>
      <c r="AC345" s="33"/>
      <c r="AD345" s="64"/>
      <c r="AE345" s="64"/>
      <c r="AG345" s="64"/>
    </row>
    <row r="346" spans="4:33">
      <c r="D346" s="51"/>
      <c r="E346" s="51"/>
      <c r="F346" s="81"/>
      <c r="G346" s="81"/>
      <c r="H346" s="81"/>
      <c r="I346" s="15"/>
      <c r="K346" s="103"/>
      <c r="L346" s="103"/>
      <c r="M346" s="104"/>
      <c r="N346" s="104"/>
      <c r="O346" s="89"/>
      <c r="P346" s="105"/>
      <c r="AB346" s="64"/>
      <c r="AC346" s="33"/>
      <c r="AD346" s="64"/>
      <c r="AE346" s="64"/>
      <c r="AG346" s="64"/>
    </row>
    <row r="347" spans="4:33">
      <c r="D347" s="51"/>
      <c r="E347" s="51"/>
      <c r="F347" s="81"/>
      <c r="G347" s="81"/>
      <c r="H347" s="81"/>
      <c r="I347" s="15"/>
      <c r="K347" s="103"/>
      <c r="L347" s="103"/>
      <c r="M347" s="104"/>
      <c r="N347" s="104"/>
      <c r="O347" s="89"/>
      <c r="P347" s="105"/>
      <c r="AB347" s="64"/>
      <c r="AC347" s="33"/>
      <c r="AD347" s="64"/>
      <c r="AE347" s="64"/>
      <c r="AG347" s="64"/>
    </row>
    <row r="348" spans="4:33">
      <c r="D348" s="51"/>
      <c r="E348" s="51"/>
      <c r="F348" s="81"/>
      <c r="G348" s="81"/>
      <c r="H348" s="81"/>
      <c r="I348" s="15"/>
      <c r="K348" s="103"/>
      <c r="L348" s="103"/>
      <c r="M348" s="104"/>
      <c r="N348" s="104"/>
      <c r="O348" s="89"/>
      <c r="P348" s="105"/>
      <c r="AB348" s="64"/>
      <c r="AC348" s="33"/>
      <c r="AD348" s="64"/>
      <c r="AE348" s="64"/>
      <c r="AG348" s="64"/>
    </row>
    <row r="349" spans="4:33">
      <c r="D349" s="51"/>
      <c r="E349" s="51"/>
      <c r="F349" s="81"/>
      <c r="G349" s="81"/>
      <c r="H349" s="81"/>
      <c r="I349" s="15"/>
      <c r="K349" s="103"/>
      <c r="L349" s="103"/>
      <c r="M349" s="104"/>
      <c r="N349" s="104"/>
      <c r="O349" s="89"/>
      <c r="P349" s="105"/>
      <c r="AB349" s="64"/>
      <c r="AC349" s="33"/>
      <c r="AD349" s="64"/>
      <c r="AE349" s="64"/>
      <c r="AG349" s="64"/>
    </row>
    <row r="350" spans="4:33">
      <c r="D350" s="51"/>
      <c r="E350" s="51"/>
      <c r="F350" s="81"/>
      <c r="G350" s="81"/>
      <c r="H350" s="81"/>
      <c r="I350" s="15"/>
      <c r="K350" s="103"/>
      <c r="L350" s="103"/>
      <c r="M350" s="104"/>
      <c r="N350" s="104"/>
      <c r="O350" s="89"/>
      <c r="P350" s="105"/>
      <c r="AB350" s="64"/>
      <c r="AC350" s="33"/>
      <c r="AD350" s="64"/>
      <c r="AE350" s="64"/>
      <c r="AG350" s="64"/>
    </row>
    <row r="351" spans="4:33">
      <c r="D351" s="51"/>
      <c r="E351" s="51"/>
      <c r="F351" s="81"/>
      <c r="G351" s="81"/>
      <c r="H351" s="81"/>
      <c r="I351" s="15"/>
      <c r="K351" s="103"/>
      <c r="L351" s="103"/>
      <c r="M351" s="104"/>
      <c r="N351" s="104"/>
      <c r="O351" s="89"/>
      <c r="P351" s="105"/>
      <c r="AB351" s="64"/>
      <c r="AC351" s="33"/>
      <c r="AD351" s="64"/>
      <c r="AE351" s="64"/>
      <c r="AG351" s="64"/>
    </row>
    <row r="352" spans="4:33">
      <c r="D352" s="51"/>
      <c r="E352" s="51"/>
      <c r="F352" s="81"/>
      <c r="G352" s="81"/>
      <c r="H352" s="81"/>
      <c r="I352" s="15"/>
      <c r="K352" s="103"/>
      <c r="L352" s="103"/>
      <c r="M352" s="104"/>
      <c r="N352" s="104"/>
      <c r="O352" s="89"/>
      <c r="P352" s="105"/>
      <c r="AB352" s="64"/>
      <c r="AC352" s="33"/>
      <c r="AD352" s="64"/>
      <c r="AE352" s="64"/>
      <c r="AG352" s="64"/>
    </row>
    <row r="353" spans="4:33">
      <c r="D353" s="51"/>
      <c r="E353" s="51"/>
      <c r="F353" s="81"/>
      <c r="G353" s="81"/>
      <c r="H353" s="81"/>
      <c r="I353" s="15"/>
      <c r="K353" s="103"/>
      <c r="L353" s="103"/>
      <c r="M353" s="104"/>
      <c r="N353" s="104"/>
      <c r="O353" s="89"/>
      <c r="P353" s="105"/>
      <c r="AB353" s="64"/>
      <c r="AC353" s="33"/>
      <c r="AD353" s="64"/>
      <c r="AE353" s="64"/>
      <c r="AG353" s="64"/>
    </row>
    <row r="354" spans="4:33">
      <c r="D354" s="51"/>
      <c r="E354" s="51"/>
      <c r="F354" s="81"/>
      <c r="G354" s="81"/>
      <c r="H354" s="81"/>
      <c r="I354" s="15"/>
      <c r="K354" s="103"/>
      <c r="L354" s="103"/>
      <c r="M354" s="104"/>
      <c r="N354" s="104"/>
      <c r="O354" s="89"/>
      <c r="P354" s="105"/>
      <c r="AB354" s="64"/>
      <c r="AC354" s="33"/>
      <c r="AD354" s="64"/>
      <c r="AE354" s="64"/>
      <c r="AG354" s="64"/>
    </row>
    <row r="355" spans="4:33">
      <c r="D355" s="51"/>
      <c r="E355" s="51"/>
      <c r="F355" s="81"/>
      <c r="G355" s="81"/>
      <c r="H355" s="81"/>
      <c r="I355" s="15"/>
      <c r="K355" s="103"/>
      <c r="L355" s="103"/>
      <c r="M355" s="104"/>
      <c r="N355" s="104"/>
      <c r="O355" s="89"/>
      <c r="P355" s="105"/>
      <c r="AB355" s="64"/>
      <c r="AC355" s="33"/>
      <c r="AD355" s="64"/>
      <c r="AE355" s="64"/>
      <c r="AG355" s="64"/>
    </row>
    <row r="356" spans="4:33">
      <c r="D356" s="51"/>
      <c r="E356" s="51"/>
      <c r="F356" s="81"/>
      <c r="G356" s="81"/>
      <c r="H356" s="81"/>
      <c r="I356" s="15"/>
      <c r="K356" s="103"/>
      <c r="L356" s="103"/>
      <c r="M356" s="104"/>
      <c r="N356" s="104"/>
      <c r="O356" s="89"/>
      <c r="P356" s="105"/>
      <c r="AB356" s="64"/>
      <c r="AC356" s="33"/>
      <c r="AD356" s="64"/>
      <c r="AE356" s="64"/>
      <c r="AG356" s="64"/>
    </row>
    <row r="357" spans="4:33">
      <c r="D357" s="51"/>
      <c r="E357" s="51"/>
      <c r="F357" s="81"/>
      <c r="G357" s="81"/>
      <c r="H357" s="81"/>
      <c r="I357" s="15"/>
      <c r="K357" s="103"/>
      <c r="L357" s="103"/>
      <c r="M357" s="104"/>
      <c r="N357" s="104"/>
      <c r="O357" s="89"/>
      <c r="P357" s="105"/>
      <c r="AB357" s="64"/>
      <c r="AC357" s="33"/>
      <c r="AD357" s="64"/>
      <c r="AE357" s="64"/>
      <c r="AG357" s="64"/>
    </row>
    <row r="358" spans="4:33">
      <c r="D358" s="51"/>
      <c r="E358" s="51"/>
      <c r="F358" s="81"/>
      <c r="G358" s="81"/>
      <c r="H358" s="81"/>
      <c r="I358" s="15"/>
      <c r="K358" s="103"/>
      <c r="L358" s="103"/>
      <c r="M358" s="104"/>
      <c r="N358" s="104"/>
      <c r="O358" s="89"/>
      <c r="P358" s="105"/>
      <c r="AB358" s="64"/>
      <c r="AC358" s="33"/>
      <c r="AD358" s="64"/>
      <c r="AE358" s="64"/>
      <c r="AG358" s="64"/>
    </row>
    <row r="359" spans="4:33">
      <c r="D359" s="51"/>
      <c r="E359" s="51"/>
      <c r="F359" s="81"/>
      <c r="G359" s="81"/>
      <c r="H359" s="81"/>
      <c r="I359" s="15"/>
      <c r="K359" s="103"/>
      <c r="L359" s="103"/>
      <c r="M359" s="104"/>
      <c r="N359" s="104"/>
      <c r="O359" s="89"/>
      <c r="P359" s="105"/>
      <c r="AB359" s="64"/>
      <c r="AC359" s="33"/>
      <c r="AD359" s="64"/>
      <c r="AE359" s="64"/>
      <c r="AG359" s="64"/>
    </row>
    <row r="360" spans="4:33">
      <c r="D360" s="51"/>
      <c r="E360" s="51"/>
      <c r="F360" s="81"/>
      <c r="G360" s="81"/>
      <c r="H360" s="81"/>
      <c r="I360" s="15"/>
      <c r="K360" s="103"/>
      <c r="L360" s="103"/>
      <c r="M360" s="104"/>
      <c r="N360" s="104"/>
      <c r="O360" s="89"/>
      <c r="P360" s="105"/>
      <c r="AB360" s="64"/>
      <c r="AC360" s="33"/>
      <c r="AD360" s="64"/>
      <c r="AE360" s="64"/>
      <c r="AG360" s="64"/>
    </row>
    <row r="361" spans="4:33">
      <c r="D361" s="51"/>
      <c r="E361" s="51"/>
      <c r="F361" s="81"/>
      <c r="G361" s="81"/>
      <c r="H361" s="81"/>
      <c r="I361" s="15"/>
      <c r="K361" s="103"/>
      <c r="L361" s="103"/>
      <c r="M361" s="104"/>
      <c r="N361" s="104"/>
      <c r="O361" s="89"/>
      <c r="P361" s="105"/>
      <c r="AB361" s="64"/>
      <c r="AC361" s="33"/>
      <c r="AD361" s="64"/>
      <c r="AE361" s="64"/>
      <c r="AG361" s="64"/>
    </row>
    <row r="362" spans="4:33">
      <c r="D362" s="51"/>
      <c r="E362" s="51"/>
      <c r="F362" s="81"/>
      <c r="G362" s="81"/>
      <c r="H362" s="81"/>
      <c r="I362" s="15"/>
      <c r="K362" s="103"/>
      <c r="L362" s="103"/>
      <c r="M362" s="104"/>
      <c r="N362" s="104"/>
      <c r="O362" s="89"/>
      <c r="P362" s="105"/>
      <c r="AB362" s="64"/>
      <c r="AC362" s="33"/>
      <c r="AD362" s="64"/>
      <c r="AE362" s="64"/>
      <c r="AG362" s="64"/>
    </row>
    <row r="363" spans="4:33">
      <c r="D363" s="51"/>
      <c r="E363" s="51"/>
      <c r="F363" s="81"/>
      <c r="G363" s="81"/>
      <c r="H363" s="81"/>
      <c r="I363" s="15"/>
      <c r="K363" s="103"/>
      <c r="L363" s="103"/>
      <c r="M363" s="104"/>
      <c r="N363" s="104"/>
      <c r="O363" s="89"/>
      <c r="P363" s="105"/>
      <c r="AB363" s="64"/>
      <c r="AC363" s="33"/>
      <c r="AD363" s="64"/>
      <c r="AE363" s="64"/>
      <c r="AG363" s="64"/>
    </row>
    <row r="364" spans="4:33">
      <c r="D364" s="51"/>
      <c r="E364" s="51"/>
      <c r="F364" s="81"/>
      <c r="G364" s="81"/>
      <c r="H364" s="81"/>
      <c r="I364" s="15"/>
      <c r="K364" s="103"/>
      <c r="L364" s="103"/>
      <c r="M364" s="104"/>
      <c r="N364" s="104"/>
      <c r="O364" s="89"/>
      <c r="P364" s="105"/>
      <c r="AB364" s="64"/>
      <c r="AC364" s="33"/>
      <c r="AD364" s="64"/>
      <c r="AE364" s="64"/>
      <c r="AG364" s="64"/>
    </row>
    <row r="365" spans="4:33">
      <c r="D365" s="51"/>
      <c r="E365" s="51"/>
      <c r="F365" s="81"/>
      <c r="G365" s="81"/>
      <c r="H365" s="81"/>
      <c r="I365" s="15"/>
      <c r="K365" s="103"/>
      <c r="L365" s="103"/>
      <c r="M365" s="104"/>
      <c r="N365" s="104"/>
      <c r="O365" s="89"/>
      <c r="P365" s="105"/>
      <c r="AB365" s="64"/>
      <c r="AC365" s="33"/>
      <c r="AD365" s="64"/>
      <c r="AE365" s="64"/>
      <c r="AG365" s="64"/>
    </row>
    <row r="366" spans="4:33">
      <c r="D366" s="51"/>
      <c r="E366" s="51"/>
      <c r="F366" s="81"/>
      <c r="G366" s="81"/>
      <c r="H366" s="81"/>
      <c r="I366" s="15"/>
      <c r="K366" s="103"/>
      <c r="L366" s="103"/>
      <c r="M366" s="104"/>
      <c r="N366" s="104"/>
      <c r="O366" s="89"/>
      <c r="P366" s="105"/>
      <c r="AB366" s="64"/>
      <c r="AC366" s="33"/>
      <c r="AD366" s="64"/>
      <c r="AE366" s="64"/>
      <c r="AG366" s="64"/>
    </row>
    <row r="367" spans="4:33">
      <c r="D367" s="51"/>
      <c r="E367" s="51"/>
      <c r="F367" s="81"/>
      <c r="G367" s="81"/>
      <c r="H367" s="81"/>
      <c r="I367" s="15"/>
      <c r="K367" s="103"/>
      <c r="L367" s="103"/>
      <c r="M367" s="104"/>
      <c r="N367" s="104"/>
      <c r="O367" s="89"/>
      <c r="P367" s="105"/>
      <c r="AB367" s="64"/>
      <c r="AC367" s="33"/>
      <c r="AD367" s="64"/>
      <c r="AE367" s="64"/>
      <c r="AG367" s="64"/>
    </row>
    <row r="368" spans="4:33">
      <c r="D368" s="51"/>
      <c r="E368" s="51"/>
      <c r="F368" s="81"/>
      <c r="G368" s="81"/>
      <c r="H368" s="81"/>
      <c r="I368" s="15"/>
      <c r="K368" s="103"/>
      <c r="L368" s="103"/>
      <c r="M368" s="104"/>
      <c r="N368" s="104"/>
      <c r="O368" s="89"/>
      <c r="P368" s="105"/>
      <c r="AB368" s="64"/>
      <c r="AC368" s="33"/>
      <c r="AD368" s="64"/>
      <c r="AE368" s="64"/>
      <c r="AG368" s="64"/>
    </row>
    <row r="369" spans="4:33">
      <c r="D369" s="51"/>
      <c r="E369" s="51"/>
      <c r="F369" s="81"/>
      <c r="G369" s="81"/>
      <c r="H369" s="81"/>
      <c r="I369" s="15"/>
      <c r="K369" s="103"/>
      <c r="L369" s="103"/>
      <c r="M369" s="104"/>
      <c r="N369" s="104"/>
      <c r="O369" s="89"/>
      <c r="P369" s="105"/>
      <c r="AB369" s="64"/>
      <c r="AC369" s="33"/>
      <c r="AD369" s="64"/>
      <c r="AE369" s="64"/>
      <c r="AG369" s="64"/>
    </row>
    <row r="370" spans="4:33">
      <c r="D370" s="51"/>
      <c r="E370" s="51"/>
      <c r="F370" s="81"/>
      <c r="G370" s="81"/>
      <c r="H370" s="81"/>
      <c r="I370" s="15"/>
      <c r="K370" s="103"/>
      <c r="L370" s="103"/>
      <c r="M370" s="104"/>
      <c r="N370" s="104"/>
      <c r="O370" s="89"/>
      <c r="P370" s="105"/>
      <c r="AB370" s="64"/>
      <c r="AC370" s="33"/>
      <c r="AD370" s="64"/>
      <c r="AE370" s="64"/>
      <c r="AG370" s="64"/>
    </row>
    <row r="371" spans="4:33">
      <c r="D371" s="51"/>
      <c r="E371" s="51"/>
      <c r="F371" s="81"/>
      <c r="G371" s="81"/>
      <c r="H371" s="81"/>
      <c r="I371" s="15"/>
      <c r="K371" s="103"/>
      <c r="L371" s="103"/>
      <c r="M371" s="104"/>
      <c r="N371" s="104"/>
      <c r="O371" s="89"/>
      <c r="P371" s="105"/>
      <c r="AB371" s="64"/>
      <c r="AC371" s="33"/>
      <c r="AD371" s="64"/>
      <c r="AE371" s="64"/>
      <c r="AG371" s="64"/>
    </row>
    <row r="372" spans="4:33">
      <c r="D372" s="51"/>
      <c r="E372" s="51"/>
      <c r="F372" s="81"/>
      <c r="G372" s="81"/>
      <c r="H372" s="81"/>
      <c r="I372" s="15"/>
      <c r="K372" s="103"/>
      <c r="L372" s="103"/>
      <c r="M372" s="104"/>
      <c r="N372" s="104"/>
      <c r="O372" s="89"/>
      <c r="P372" s="105"/>
      <c r="AB372" s="64"/>
      <c r="AC372" s="33"/>
      <c r="AD372" s="64"/>
      <c r="AE372" s="64"/>
      <c r="AG372" s="64"/>
    </row>
    <row r="373" spans="4:33">
      <c r="D373" s="51"/>
      <c r="E373" s="51"/>
      <c r="F373" s="81"/>
      <c r="G373" s="81"/>
      <c r="H373" s="81"/>
      <c r="I373" s="15"/>
      <c r="K373" s="103"/>
      <c r="L373" s="103"/>
      <c r="M373" s="104"/>
      <c r="N373" s="104"/>
      <c r="O373" s="89"/>
      <c r="P373" s="105"/>
      <c r="AB373" s="64"/>
      <c r="AC373" s="33"/>
      <c r="AD373" s="64"/>
      <c r="AE373" s="64"/>
      <c r="AG373" s="64"/>
    </row>
    <row r="374" spans="4:33">
      <c r="D374" s="51"/>
      <c r="E374" s="51"/>
      <c r="F374" s="81"/>
      <c r="G374" s="81"/>
      <c r="H374" s="81"/>
      <c r="I374" s="15"/>
      <c r="K374" s="103"/>
      <c r="L374" s="103"/>
      <c r="M374" s="104"/>
      <c r="N374" s="104"/>
      <c r="O374" s="89"/>
      <c r="P374" s="105"/>
      <c r="AB374" s="64"/>
      <c r="AC374" s="33"/>
      <c r="AD374" s="64"/>
      <c r="AE374" s="64"/>
      <c r="AG374" s="64"/>
    </row>
    <row r="375" spans="4:33">
      <c r="D375" s="51"/>
      <c r="E375" s="51"/>
      <c r="F375" s="81"/>
      <c r="G375" s="81"/>
      <c r="H375" s="81"/>
      <c r="I375" s="15"/>
      <c r="K375" s="103"/>
      <c r="L375" s="103"/>
      <c r="M375" s="104"/>
      <c r="N375" s="104"/>
      <c r="O375" s="89"/>
      <c r="P375" s="105"/>
      <c r="AB375" s="64"/>
      <c r="AC375" s="33"/>
      <c r="AD375" s="64"/>
      <c r="AE375" s="64"/>
      <c r="AG375" s="64"/>
    </row>
    <row r="376" spans="4:33">
      <c r="D376" s="51"/>
      <c r="E376" s="51"/>
      <c r="F376" s="81"/>
      <c r="G376" s="81"/>
      <c r="H376" s="81"/>
      <c r="I376" s="15"/>
      <c r="K376" s="103"/>
      <c r="L376" s="103"/>
      <c r="M376" s="104"/>
      <c r="N376" s="104"/>
      <c r="O376" s="89"/>
      <c r="P376" s="105"/>
      <c r="AB376" s="64"/>
      <c r="AC376" s="33"/>
      <c r="AD376" s="64"/>
      <c r="AE376" s="64"/>
      <c r="AG376" s="64"/>
    </row>
    <row r="377" spans="4:33">
      <c r="D377" s="51"/>
      <c r="E377" s="51"/>
      <c r="F377" s="81"/>
      <c r="G377" s="81"/>
      <c r="H377" s="81"/>
      <c r="I377" s="15"/>
      <c r="K377" s="103"/>
      <c r="L377" s="103"/>
      <c r="M377" s="104"/>
      <c r="N377" s="104"/>
      <c r="O377" s="89"/>
      <c r="P377" s="105"/>
      <c r="AB377" s="64"/>
      <c r="AC377" s="33"/>
      <c r="AD377" s="64"/>
      <c r="AE377" s="64"/>
      <c r="AG377" s="64"/>
    </row>
    <row r="378" spans="4:33">
      <c r="D378" s="51"/>
      <c r="E378" s="51"/>
      <c r="F378" s="81"/>
      <c r="G378" s="81"/>
      <c r="H378" s="81"/>
      <c r="I378" s="15"/>
      <c r="K378" s="103"/>
      <c r="L378" s="103"/>
      <c r="M378" s="104"/>
      <c r="N378" s="104"/>
      <c r="O378" s="89"/>
      <c r="P378" s="105"/>
      <c r="AB378" s="64"/>
      <c r="AC378" s="33"/>
      <c r="AD378" s="64"/>
      <c r="AE378" s="64"/>
      <c r="AG378" s="64"/>
    </row>
    <row r="379" spans="4:33">
      <c r="D379" s="51"/>
      <c r="E379" s="51"/>
      <c r="F379" s="81"/>
      <c r="G379" s="81"/>
      <c r="H379" s="81"/>
      <c r="I379" s="15"/>
      <c r="K379" s="103"/>
      <c r="L379" s="103"/>
      <c r="M379" s="104"/>
      <c r="N379" s="104"/>
      <c r="O379" s="89"/>
      <c r="P379" s="105"/>
      <c r="AB379" s="64"/>
      <c r="AC379" s="33"/>
      <c r="AD379" s="64"/>
      <c r="AE379" s="64"/>
      <c r="AG379" s="64"/>
    </row>
    <row r="380" spans="4:33">
      <c r="D380" s="51"/>
      <c r="E380" s="51"/>
      <c r="F380" s="81"/>
      <c r="G380" s="81"/>
      <c r="H380" s="81"/>
      <c r="I380" s="15"/>
      <c r="K380" s="103"/>
      <c r="L380" s="103"/>
      <c r="M380" s="104"/>
      <c r="N380" s="104"/>
      <c r="O380" s="89"/>
      <c r="P380" s="105"/>
      <c r="AB380" s="64"/>
      <c r="AC380" s="33"/>
      <c r="AD380" s="64"/>
      <c r="AE380" s="64"/>
      <c r="AG380" s="64"/>
    </row>
    <row r="381" spans="4:33">
      <c r="D381" s="51"/>
      <c r="E381" s="51"/>
      <c r="F381" s="81"/>
      <c r="G381" s="81"/>
      <c r="H381" s="81"/>
      <c r="I381" s="15"/>
      <c r="K381" s="103"/>
      <c r="L381" s="103"/>
      <c r="M381" s="104"/>
      <c r="N381" s="104"/>
      <c r="O381" s="89"/>
      <c r="P381" s="105"/>
      <c r="AB381" s="64"/>
      <c r="AC381" s="33"/>
      <c r="AD381" s="64"/>
      <c r="AE381" s="64"/>
      <c r="AG381" s="64"/>
    </row>
    <row r="382" spans="4:33">
      <c r="D382" s="51"/>
      <c r="E382" s="51"/>
      <c r="F382" s="81"/>
      <c r="G382" s="81"/>
      <c r="H382" s="81"/>
      <c r="I382" s="15"/>
      <c r="K382" s="103"/>
      <c r="L382" s="103"/>
      <c r="M382" s="104"/>
      <c r="N382" s="104"/>
      <c r="O382" s="89"/>
      <c r="P382" s="105"/>
      <c r="AB382" s="64"/>
      <c r="AC382" s="33"/>
      <c r="AD382" s="64"/>
      <c r="AE382" s="64"/>
      <c r="AG382" s="64"/>
    </row>
    <row r="383" spans="4:33">
      <c r="D383" s="51"/>
      <c r="E383" s="51"/>
      <c r="F383" s="81"/>
      <c r="G383" s="81"/>
      <c r="H383" s="81"/>
      <c r="I383" s="15"/>
      <c r="K383" s="103"/>
      <c r="L383" s="103"/>
      <c r="M383" s="104"/>
      <c r="N383" s="104"/>
      <c r="O383" s="89"/>
      <c r="P383" s="105"/>
      <c r="AB383" s="64"/>
      <c r="AC383" s="33"/>
      <c r="AD383" s="64"/>
      <c r="AE383" s="64"/>
      <c r="AG383" s="64"/>
    </row>
    <row r="384" spans="4:33">
      <c r="D384" s="51"/>
      <c r="E384" s="51"/>
      <c r="F384" s="81"/>
      <c r="G384" s="81"/>
      <c r="H384" s="81"/>
      <c r="I384" s="15"/>
      <c r="K384" s="103"/>
      <c r="L384" s="103"/>
      <c r="M384" s="104"/>
      <c r="N384" s="104"/>
      <c r="O384" s="89"/>
      <c r="P384" s="105"/>
      <c r="AB384" s="64"/>
      <c r="AC384" s="33"/>
      <c r="AD384" s="64"/>
      <c r="AE384" s="64"/>
      <c r="AG384" s="64"/>
    </row>
    <row r="385" spans="4:33">
      <c r="D385" s="51"/>
      <c r="E385" s="51"/>
      <c r="F385" s="81"/>
      <c r="G385" s="81"/>
      <c r="H385" s="81"/>
      <c r="I385" s="15"/>
      <c r="K385" s="103"/>
      <c r="L385" s="103"/>
      <c r="M385" s="104"/>
      <c r="N385" s="104"/>
      <c r="O385" s="89"/>
      <c r="P385" s="105"/>
      <c r="AB385" s="64"/>
      <c r="AC385" s="33"/>
      <c r="AD385" s="64"/>
      <c r="AE385" s="64"/>
      <c r="AG385" s="64"/>
    </row>
    <row r="386" spans="4:33">
      <c r="D386" s="51"/>
      <c r="E386" s="51"/>
      <c r="F386" s="81"/>
      <c r="G386" s="81"/>
      <c r="H386" s="81"/>
      <c r="I386" s="15"/>
      <c r="K386" s="103"/>
      <c r="L386" s="103"/>
      <c r="M386" s="104"/>
      <c r="N386" s="104"/>
      <c r="O386" s="89"/>
      <c r="P386" s="105"/>
      <c r="AB386" s="64"/>
      <c r="AC386" s="33"/>
      <c r="AD386" s="64"/>
      <c r="AE386" s="64"/>
      <c r="AG386" s="64"/>
    </row>
    <row r="387" spans="4:33">
      <c r="D387" s="51"/>
      <c r="E387" s="51"/>
      <c r="F387" s="81"/>
      <c r="G387" s="81"/>
      <c r="H387" s="81"/>
      <c r="I387" s="15"/>
      <c r="K387" s="103"/>
      <c r="L387" s="103"/>
      <c r="M387" s="104"/>
      <c r="N387" s="104"/>
      <c r="O387" s="89"/>
      <c r="P387" s="105"/>
      <c r="AB387" s="64"/>
      <c r="AC387" s="33"/>
      <c r="AD387" s="64"/>
      <c r="AE387" s="64"/>
      <c r="AG387" s="64"/>
    </row>
    <row r="388" spans="4:33">
      <c r="D388" s="51"/>
      <c r="E388" s="51"/>
      <c r="F388" s="81"/>
      <c r="G388" s="81"/>
      <c r="H388" s="81"/>
      <c r="I388" s="15"/>
      <c r="K388" s="103"/>
      <c r="L388" s="103"/>
      <c r="M388" s="104"/>
      <c r="N388" s="104"/>
      <c r="O388" s="89"/>
      <c r="P388" s="105"/>
      <c r="AB388" s="64"/>
      <c r="AC388" s="33"/>
      <c r="AD388" s="64"/>
      <c r="AE388" s="64"/>
      <c r="AG388" s="64"/>
    </row>
    <row r="389" spans="4:33">
      <c r="D389" s="51"/>
      <c r="E389" s="51"/>
      <c r="F389" s="81"/>
      <c r="G389" s="81"/>
      <c r="H389" s="81"/>
      <c r="I389" s="15"/>
      <c r="K389" s="103"/>
      <c r="L389" s="103"/>
      <c r="M389" s="104"/>
      <c r="N389" s="104"/>
      <c r="O389" s="89"/>
      <c r="P389" s="105"/>
      <c r="AB389" s="64"/>
      <c r="AC389" s="33"/>
      <c r="AD389" s="64"/>
      <c r="AE389" s="64"/>
      <c r="AG389" s="64"/>
    </row>
    <row r="390" spans="4:33">
      <c r="D390" s="51"/>
      <c r="E390" s="51"/>
      <c r="F390" s="81"/>
      <c r="G390" s="81"/>
      <c r="H390" s="81"/>
      <c r="I390" s="15"/>
      <c r="K390" s="103"/>
      <c r="L390" s="103"/>
      <c r="M390" s="104"/>
      <c r="N390" s="104"/>
      <c r="O390" s="89"/>
      <c r="P390" s="105"/>
      <c r="AB390" s="64"/>
      <c r="AC390" s="33"/>
      <c r="AD390" s="64"/>
      <c r="AE390" s="64"/>
      <c r="AG390" s="64"/>
    </row>
    <row r="391" spans="4:33">
      <c r="D391" s="51"/>
      <c r="E391" s="51"/>
      <c r="F391" s="81"/>
      <c r="G391" s="81"/>
      <c r="H391" s="81"/>
      <c r="I391" s="15"/>
      <c r="K391" s="103"/>
      <c r="L391" s="103"/>
      <c r="M391" s="104"/>
      <c r="N391" s="104"/>
      <c r="O391" s="89"/>
      <c r="P391" s="105"/>
      <c r="AB391" s="64"/>
      <c r="AC391" s="33"/>
      <c r="AD391" s="64"/>
      <c r="AE391" s="64"/>
      <c r="AG391" s="64"/>
    </row>
    <row r="392" spans="4:33">
      <c r="D392" s="51"/>
      <c r="E392" s="51"/>
      <c r="F392" s="81"/>
      <c r="G392" s="81"/>
      <c r="H392" s="81"/>
      <c r="I392" s="15"/>
      <c r="K392" s="103"/>
      <c r="L392" s="103"/>
      <c r="M392" s="104"/>
      <c r="N392" s="104"/>
      <c r="O392" s="89"/>
      <c r="P392" s="105"/>
      <c r="AB392" s="64"/>
      <c r="AC392" s="33"/>
      <c r="AD392" s="64"/>
      <c r="AE392" s="64"/>
      <c r="AG392" s="64"/>
    </row>
    <row r="393" spans="4:33">
      <c r="D393" s="51"/>
      <c r="E393" s="51"/>
      <c r="F393" s="81"/>
      <c r="G393" s="81"/>
      <c r="H393" s="81"/>
      <c r="I393" s="15"/>
      <c r="K393" s="103"/>
      <c r="L393" s="103"/>
      <c r="M393" s="104"/>
      <c r="N393" s="104"/>
      <c r="O393" s="89"/>
      <c r="P393" s="105"/>
      <c r="AB393" s="64"/>
      <c r="AC393" s="33"/>
      <c r="AD393" s="64"/>
      <c r="AE393" s="64"/>
      <c r="AG393" s="64"/>
    </row>
    <row r="394" spans="4:33">
      <c r="D394" s="51"/>
      <c r="E394" s="51"/>
      <c r="F394" s="81"/>
      <c r="G394" s="81"/>
      <c r="H394" s="81"/>
      <c r="I394" s="15"/>
      <c r="K394" s="103"/>
      <c r="L394" s="103"/>
      <c r="M394" s="104"/>
      <c r="N394" s="104"/>
      <c r="O394" s="89"/>
      <c r="P394" s="105"/>
      <c r="AB394" s="64"/>
      <c r="AC394" s="33"/>
      <c r="AD394" s="64"/>
      <c r="AE394" s="64"/>
      <c r="AG394" s="64"/>
    </row>
    <row r="395" spans="4:33">
      <c r="D395" s="51"/>
      <c r="E395" s="51"/>
      <c r="F395" s="81"/>
      <c r="G395" s="81"/>
      <c r="H395" s="81"/>
      <c r="I395" s="15"/>
      <c r="K395" s="103"/>
      <c r="L395" s="103"/>
      <c r="M395" s="104"/>
      <c r="N395" s="104"/>
      <c r="O395" s="89"/>
      <c r="P395" s="105"/>
      <c r="AB395" s="64"/>
      <c r="AC395" s="33"/>
      <c r="AD395" s="64"/>
      <c r="AE395" s="64"/>
      <c r="AG395" s="64"/>
    </row>
    <row r="396" spans="4:33">
      <c r="D396" s="51"/>
      <c r="E396" s="51"/>
      <c r="F396" s="81"/>
      <c r="G396" s="81"/>
      <c r="H396" s="81"/>
      <c r="I396" s="15"/>
      <c r="K396" s="103"/>
      <c r="L396" s="103"/>
      <c r="M396" s="104"/>
      <c r="N396" s="104"/>
      <c r="O396" s="89"/>
      <c r="P396" s="105"/>
      <c r="AB396" s="64"/>
      <c r="AC396" s="33"/>
      <c r="AD396" s="64"/>
      <c r="AE396" s="64"/>
      <c r="AG396" s="64"/>
    </row>
    <row r="397" spans="4:33">
      <c r="D397" s="51"/>
      <c r="E397" s="51"/>
      <c r="F397" s="81"/>
      <c r="G397" s="81"/>
      <c r="H397" s="81"/>
      <c r="I397" s="15"/>
      <c r="K397" s="103"/>
      <c r="L397" s="103"/>
      <c r="M397" s="104"/>
      <c r="N397" s="104"/>
      <c r="O397" s="89"/>
      <c r="P397" s="105"/>
      <c r="AB397" s="64"/>
      <c r="AC397" s="33"/>
      <c r="AD397" s="64"/>
      <c r="AE397" s="64"/>
      <c r="AG397" s="64"/>
    </row>
    <row r="398" spans="4:33">
      <c r="D398" s="51"/>
      <c r="E398" s="51"/>
      <c r="F398" s="81"/>
      <c r="G398" s="81"/>
      <c r="H398" s="81"/>
      <c r="I398" s="15"/>
      <c r="K398" s="103"/>
      <c r="L398" s="103"/>
      <c r="M398" s="104"/>
      <c r="N398" s="104"/>
      <c r="O398" s="89"/>
      <c r="P398" s="105"/>
      <c r="AB398" s="64"/>
      <c r="AC398" s="33"/>
      <c r="AD398" s="64"/>
      <c r="AE398" s="64"/>
      <c r="AG398" s="64"/>
    </row>
    <row r="399" spans="4:33">
      <c r="D399" s="51"/>
      <c r="E399" s="51"/>
      <c r="F399" s="81"/>
      <c r="G399" s="81"/>
      <c r="H399" s="81"/>
      <c r="I399" s="15"/>
      <c r="K399" s="103"/>
      <c r="L399" s="103"/>
      <c r="M399" s="104"/>
      <c r="N399" s="104"/>
      <c r="O399" s="89"/>
      <c r="P399" s="105"/>
      <c r="AB399" s="64"/>
      <c r="AC399" s="33"/>
      <c r="AD399" s="64"/>
      <c r="AE399" s="64"/>
      <c r="AG399" s="64"/>
    </row>
    <row r="400" spans="4:33">
      <c r="D400" s="51"/>
      <c r="E400" s="51"/>
      <c r="F400" s="81"/>
      <c r="G400" s="81"/>
      <c r="H400" s="81"/>
      <c r="I400" s="15"/>
      <c r="K400" s="103"/>
      <c r="L400" s="103"/>
      <c r="M400" s="104"/>
      <c r="N400" s="104"/>
      <c r="O400" s="89"/>
      <c r="P400" s="105"/>
      <c r="AB400" s="64"/>
      <c r="AC400" s="33"/>
      <c r="AD400" s="64"/>
      <c r="AE400" s="64"/>
      <c r="AG400" s="64"/>
    </row>
    <row r="401" spans="4:33">
      <c r="D401" s="51"/>
      <c r="E401" s="51"/>
      <c r="F401" s="81"/>
      <c r="G401" s="81"/>
      <c r="H401" s="81"/>
      <c r="I401" s="15"/>
      <c r="K401" s="103"/>
      <c r="L401" s="103"/>
      <c r="M401" s="104"/>
      <c r="N401" s="104"/>
      <c r="O401" s="89"/>
      <c r="P401" s="105"/>
      <c r="AB401" s="64"/>
      <c r="AC401" s="33"/>
      <c r="AD401" s="64"/>
      <c r="AE401" s="64"/>
      <c r="AG401" s="64"/>
    </row>
    <row r="402" spans="4:33">
      <c r="D402" s="51"/>
      <c r="E402" s="51"/>
      <c r="F402" s="81"/>
      <c r="G402" s="81"/>
      <c r="H402" s="81"/>
      <c r="I402" s="15"/>
      <c r="K402" s="103"/>
      <c r="L402" s="103"/>
      <c r="M402" s="104"/>
      <c r="N402" s="104"/>
      <c r="O402" s="89"/>
      <c r="P402" s="105"/>
      <c r="AB402" s="64"/>
      <c r="AC402" s="33"/>
      <c r="AD402" s="64"/>
      <c r="AE402" s="64"/>
      <c r="AG402" s="64"/>
    </row>
    <row r="403" spans="4:33">
      <c r="D403" s="51"/>
      <c r="E403" s="51"/>
      <c r="F403" s="81"/>
      <c r="G403" s="81"/>
      <c r="H403" s="81"/>
      <c r="I403" s="15"/>
      <c r="K403" s="103"/>
      <c r="L403" s="103"/>
      <c r="M403" s="104"/>
      <c r="N403" s="104"/>
      <c r="O403" s="89"/>
      <c r="P403" s="105"/>
      <c r="AB403" s="64"/>
      <c r="AC403" s="33"/>
      <c r="AD403" s="64"/>
      <c r="AE403" s="64"/>
      <c r="AG403" s="64"/>
    </row>
    <row r="404" spans="4:33">
      <c r="D404" s="51"/>
      <c r="E404" s="51"/>
      <c r="F404" s="81"/>
      <c r="G404" s="81"/>
      <c r="H404" s="81"/>
      <c r="I404" s="15"/>
      <c r="K404" s="103"/>
      <c r="L404" s="103"/>
      <c r="M404" s="104"/>
      <c r="N404" s="104"/>
      <c r="O404" s="89"/>
      <c r="P404" s="105"/>
      <c r="AB404" s="64"/>
      <c r="AC404" s="33"/>
      <c r="AD404" s="64"/>
      <c r="AE404" s="64"/>
      <c r="AG404" s="64"/>
    </row>
    <row r="405" spans="4:33">
      <c r="D405" s="51"/>
      <c r="E405" s="51"/>
      <c r="F405" s="81"/>
      <c r="G405" s="81"/>
      <c r="H405" s="81"/>
      <c r="I405" s="15"/>
      <c r="K405" s="103"/>
      <c r="L405" s="103"/>
      <c r="M405" s="104"/>
      <c r="N405" s="104"/>
      <c r="O405" s="89"/>
      <c r="P405" s="105"/>
      <c r="AB405" s="64"/>
      <c r="AC405" s="33"/>
      <c r="AD405" s="64"/>
      <c r="AE405" s="64"/>
      <c r="AG405" s="64"/>
    </row>
    <row r="406" spans="4:33">
      <c r="D406" s="51"/>
      <c r="E406" s="51"/>
      <c r="F406" s="81"/>
      <c r="G406" s="81"/>
      <c r="H406" s="81"/>
      <c r="I406" s="15"/>
      <c r="K406" s="103"/>
      <c r="L406" s="103"/>
      <c r="M406" s="104"/>
      <c r="N406" s="104"/>
      <c r="O406" s="89"/>
      <c r="P406" s="105"/>
      <c r="AB406" s="64"/>
      <c r="AC406" s="33"/>
      <c r="AD406" s="64"/>
      <c r="AE406" s="64"/>
      <c r="AG406" s="64"/>
    </row>
    <row r="407" spans="4:33">
      <c r="D407" s="51"/>
      <c r="E407" s="51"/>
      <c r="F407" s="81"/>
      <c r="G407" s="81"/>
      <c r="H407" s="81"/>
      <c r="I407" s="15"/>
      <c r="K407" s="103"/>
      <c r="L407" s="103"/>
      <c r="M407" s="104"/>
      <c r="N407" s="104"/>
      <c r="O407" s="89"/>
      <c r="P407" s="105"/>
      <c r="AB407" s="64"/>
      <c r="AC407" s="33"/>
      <c r="AD407" s="64"/>
      <c r="AE407" s="64"/>
      <c r="AG407" s="64"/>
    </row>
    <row r="408" spans="4:33">
      <c r="D408" s="51"/>
      <c r="E408" s="51"/>
      <c r="F408" s="81"/>
      <c r="G408" s="81"/>
      <c r="H408" s="81"/>
      <c r="I408" s="15"/>
      <c r="K408" s="103"/>
      <c r="L408" s="103"/>
      <c r="M408" s="104"/>
      <c r="N408" s="104"/>
      <c r="O408" s="89"/>
      <c r="P408" s="105"/>
      <c r="AB408" s="64"/>
      <c r="AC408" s="33"/>
      <c r="AD408" s="64"/>
      <c r="AE408" s="64"/>
      <c r="AG408" s="64"/>
    </row>
    <row r="409" spans="4:33">
      <c r="D409" s="51"/>
      <c r="E409" s="51"/>
      <c r="F409" s="81"/>
      <c r="G409" s="81"/>
      <c r="H409" s="81"/>
      <c r="I409" s="15"/>
      <c r="K409" s="103"/>
      <c r="L409" s="103"/>
      <c r="M409" s="104"/>
      <c r="N409" s="104"/>
      <c r="O409" s="89"/>
      <c r="P409" s="105"/>
      <c r="AB409" s="64"/>
      <c r="AC409" s="33"/>
      <c r="AD409" s="64"/>
      <c r="AE409" s="64"/>
      <c r="AG409" s="64"/>
    </row>
    <row r="410" spans="4:33">
      <c r="D410" s="51"/>
      <c r="E410" s="51"/>
      <c r="F410" s="81"/>
      <c r="G410" s="81"/>
      <c r="H410" s="81"/>
      <c r="I410" s="15"/>
      <c r="K410" s="103"/>
      <c r="L410" s="103"/>
      <c r="M410" s="104"/>
      <c r="N410" s="104"/>
      <c r="O410" s="89"/>
      <c r="P410" s="105"/>
      <c r="AB410" s="64"/>
      <c r="AC410" s="33"/>
      <c r="AD410" s="64"/>
      <c r="AE410" s="64"/>
      <c r="AG410" s="64"/>
    </row>
    <row r="411" spans="4:33">
      <c r="D411" s="51"/>
      <c r="E411" s="51"/>
      <c r="F411" s="81"/>
      <c r="G411" s="81"/>
      <c r="H411" s="81"/>
      <c r="I411" s="15"/>
      <c r="K411" s="103"/>
      <c r="L411" s="103"/>
      <c r="M411" s="104"/>
      <c r="N411" s="104"/>
      <c r="O411" s="89"/>
      <c r="P411" s="105"/>
      <c r="AB411" s="64"/>
      <c r="AC411" s="33"/>
      <c r="AD411" s="64"/>
      <c r="AE411" s="64"/>
      <c r="AG411" s="64"/>
    </row>
    <row r="412" spans="4:33">
      <c r="D412" s="51"/>
      <c r="E412" s="51"/>
      <c r="F412" s="81"/>
      <c r="G412" s="81"/>
      <c r="H412" s="81"/>
      <c r="I412" s="15"/>
      <c r="K412" s="103"/>
      <c r="L412" s="103"/>
      <c r="M412" s="104"/>
      <c r="N412" s="104"/>
      <c r="O412" s="89"/>
      <c r="P412" s="105"/>
      <c r="AB412" s="64"/>
      <c r="AC412" s="33"/>
      <c r="AD412" s="64"/>
      <c r="AE412" s="64"/>
      <c r="AG412" s="64"/>
    </row>
    <row r="413" spans="4:33">
      <c r="D413" s="51"/>
      <c r="E413" s="51"/>
      <c r="F413" s="81"/>
      <c r="G413" s="81"/>
      <c r="H413" s="81"/>
      <c r="I413" s="15"/>
      <c r="K413" s="103"/>
      <c r="L413" s="103"/>
      <c r="M413" s="104"/>
      <c r="N413" s="104"/>
      <c r="O413" s="89"/>
      <c r="P413" s="105"/>
      <c r="AB413" s="64"/>
      <c r="AC413" s="33"/>
      <c r="AD413" s="64"/>
      <c r="AE413" s="64"/>
      <c r="AG413" s="64"/>
    </row>
    <row r="414" spans="4:33">
      <c r="D414" s="51"/>
      <c r="E414" s="51"/>
      <c r="F414" s="81"/>
      <c r="G414" s="81"/>
      <c r="H414" s="81"/>
      <c r="I414" s="15"/>
      <c r="K414" s="103"/>
      <c r="L414" s="103"/>
      <c r="M414" s="104"/>
      <c r="N414" s="104"/>
      <c r="O414" s="89"/>
      <c r="P414" s="105"/>
      <c r="AB414" s="64"/>
      <c r="AC414" s="33"/>
      <c r="AD414" s="64"/>
      <c r="AE414" s="64"/>
      <c r="AG414" s="64"/>
    </row>
    <row r="415" spans="4:33">
      <c r="D415" s="51"/>
      <c r="E415" s="51"/>
      <c r="F415" s="81"/>
      <c r="G415" s="81"/>
      <c r="H415" s="81"/>
      <c r="I415" s="15"/>
      <c r="K415" s="103"/>
      <c r="L415" s="103"/>
      <c r="M415" s="104"/>
      <c r="N415" s="104"/>
      <c r="O415" s="89"/>
      <c r="P415" s="105"/>
      <c r="AB415" s="64"/>
      <c r="AC415" s="33"/>
      <c r="AD415" s="64"/>
      <c r="AE415" s="64"/>
      <c r="AG415" s="64"/>
    </row>
    <row r="416" spans="4:33">
      <c r="D416" s="51"/>
      <c r="E416" s="51"/>
      <c r="F416" s="81"/>
      <c r="G416" s="81"/>
      <c r="H416" s="81"/>
      <c r="I416" s="15"/>
      <c r="K416" s="103"/>
      <c r="L416" s="103"/>
      <c r="M416" s="104"/>
      <c r="N416" s="104"/>
      <c r="O416" s="89"/>
      <c r="P416" s="105"/>
      <c r="AB416" s="64"/>
      <c r="AC416" s="33"/>
      <c r="AD416" s="64"/>
      <c r="AE416" s="64"/>
      <c r="AG416" s="64"/>
    </row>
    <row r="417" spans="4:34">
      <c r="D417" s="51"/>
      <c r="E417" s="51"/>
      <c r="F417" s="81"/>
      <c r="G417" s="81"/>
      <c r="H417" s="81"/>
      <c r="I417" s="15"/>
      <c r="K417" s="103"/>
      <c r="L417" s="103"/>
      <c r="M417" s="104"/>
      <c r="N417" s="104"/>
      <c r="O417" s="89"/>
      <c r="P417" s="105"/>
      <c r="AB417" s="64"/>
      <c r="AC417" s="33"/>
      <c r="AD417" s="64"/>
      <c r="AE417" s="64"/>
      <c r="AG417" s="64"/>
    </row>
    <row r="418" spans="4:34">
      <c r="D418" s="51"/>
      <c r="E418" s="51"/>
      <c r="F418" s="81"/>
      <c r="G418" s="81"/>
      <c r="H418" s="81"/>
      <c r="I418" s="15"/>
      <c r="K418" s="103"/>
      <c r="L418" s="103"/>
      <c r="M418" s="104"/>
      <c r="N418" s="104"/>
      <c r="O418" s="89"/>
      <c r="P418" s="105"/>
      <c r="AB418" s="64"/>
      <c r="AC418" s="33"/>
      <c r="AD418" s="64"/>
      <c r="AE418" s="64"/>
      <c r="AG418" s="64"/>
    </row>
    <row r="419" spans="4:34">
      <c r="D419" s="51"/>
      <c r="E419" s="51"/>
      <c r="F419" s="81"/>
      <c r="G419" s="81"/>
      <c r="H419" s="81"/>
      <c r="I419" s="15"/>
      <c r="K419" s="103"/>
      <c r="L419" s="103"/>
      <c r="M419" s="104"/>
      <c r="N419" s="104"/>
      <c r="O419" s="89"/>
      <c r="P419" s="105"/>
      <c r="AB419" s="64"/>
      <c r="AC419" s="33"/>
      <c r="AD419" s="64"/>
      <c r="AE419" s="64"/>
      <c r="AG419" s="64"/>
    </row>
    <row r="420" spans="4:34">
      <c r="D420" s="51"/>
      <c r="E420" s="51"/>
      <c r="F420" s="81"/>
      <c r="G420" s="81"/>
      <c r="H420" s="81"/>
      <c r="I420" s="15"/>
      <c r="K420" s="103"/>
      <c r="L420" s="103"/>
      <c r="M420" s="104"/>
      <c r="N420" s="104"/>
      <c r="O420" s="89"/>
      <c r="P420" s="105"/>
      <c r="AB420" s="64"/>
      <c r="AC420" s="33"/>
      <c r="AD420" s="64"/>
      <c r="AE420" s="64"/>
      <c r="AG420" s="64"/>
    </row>
    <row r="421" spans="4:34">
      <c r="D421" s="51"/>
      <c r="E421" s="51"/>
      <c r="F421" s="81"/>
      <c r="G421" s="81"/>
      <c r="H421" s="81"/>
      <c r="I421" s="15"/>
      <c r="K421" s="103"/>
      <c r="L421" s="103"/>
      <c r="M421" s="104"/>
      <c r="N421" s="104"/>
      <c r="O421" s="89"/>
      <c r="P421" s="105"/>
      <c r="AB421" s="64"/>
      <c r="AC421" s="33"/>
      <c r="AD421" s="64"/>
      <c r="AE421" s="64"/>
      <c r="AG421" s="64"/>
    </row>
    <row r="422" spans="4:34">
      <c r="D422" s="51"/>
      <c r="E422" s="51"/>
      <c r="F422" s="81"/>
      <c r="G422" s="81"/>
      <c r="H422" s="81"/>
      <c r="I422" s="15"/>
      <c r="K422" s="103"/>
      <c r="L422" s="103"/>
      <c r="M422" s="104"/>
      <c r="N422" s="104"/>
      <c r="O422" s="89"/>
      <c r="P422" s="105"/>
      <c r="AB422" s="64"/>
      <c r="AC422" s="33"/>
      <c r="AD422" s="64"/>
      <c r="AE422" s="64"/>
      <c r="AG422" s="64"/>
    </row>
    <row r="423" spans="4:34">
      <c r="D423" s="51"/>
      <c r="E423" s="51"/>
      <c r="F423" s="81"/>
      <c r="G423" s="81"/>
      <c r="H423" s="81"/>
      <c r="I423" s="15"/>
      <c r="K423" s="103"/>
      <c r="L423" s="103"/>
      <c r="M423" s="104"/>
      <c r="N423" s="104"/>
      <c r="O423" s="89"/>
      <c r="P423" s="105"/>
      <c r="AB423" s="64"/>
      <c r="AC423" s="33"/>
      <c r="AD423" s="64"/>
      <c r="AE423" s="64"/>
      <c r="AG423" s="64"/>
    </row>
    <row r="424" spans="4:34">
      <c r="D424" s="51"/>
      <c r="E424" s="51"/>
      <c r="F424" s="81"/>
      <c r="G424" s="81"/>
      <c r="H424" s="81"/>
      <c r="I424" s="15"/>
      <c r="K424" s="103"/>
      <c r="L424" s="103"/>
      <c r="M424" s="104"/>
      <c r="N424" s="104"/>
      <c r="O424" s="89"/>
      <c r="P424" s="105"/>
      <c r="AB424" s="64"/>
      <c r="AC424" s="33"/>
      <c r="AD424" s="64"/>
      <c r="AE424" s="64"/>
      <c r="AG424" s="64"/>
    </row>
    <row r="425" spans="4:34">
      <c r="D425" s="51"/>
      <c r="E425" s="51"/>
      <c r="F425" s="81"/>
      <c r="G425" s="81"/>
      <c r="H425" s="81"/>
      <c r="I425" s="15"/>
      <c r="K425" s="103"/>
      <c r="L425" s="103"/>
      <c r="M425" s="104"/>
      <c r="N425" s="104"/>
      <c r="O425" s="89"/>
      <c r="P425" s="105"/>
      <c r="AB425" s="64"/>
      <c r="AC425" s="33"/>
      <c r="AD425" s="64"/>
      <c r="AE425" s="64"/>
      <c r="AG425" s="64"/>
    </row>
    <row r="426" spans="4:34">
      <c r="D426" s="51"/>
      <c r="E426" s="51"/>
      <c r="F426" s="81"/>
      <c r="G426" s="81"/>
      <c r="H426" s="81"/>
      <c r="I426" s="15"/>
      <c r="K426" s="103"/>
      <c r="L426" s="103"/>
      <c r="M426" s="104"/>
      <c r="N426" s="104"/>
      <c r="O426" s="89"/>
      <c r="P426" s="105"/>
      <c r="AB426" s="64"/>
      <c r="AC426" s="33"/>
      <c r="AD426" s="64"/>
      <c r="AE426" s="64"/>
      <c r="AG426" s="64"/>
    </row>
    <row r="427" spans="4:34">
      <c r="D427" s="51"/>
      <c r="E427" s="51"/>
      <c r="F427" s="81"/>
      <c r="G427" s="81"/>
      <c r="H427" s="81"/>
      <c r="I427" s="15"/>
      <c r="K427" s="103"/>
      <c r="L427" s="103"/>
      <c r="M427" s="104"/>
      <c r="N427" s="104"/>
      <c r="O427" s="89"/>
      <c r="P427" s="105"/>
      <c r="AB427" s="64"/>
      <c r="AC427" s="33"/>
      <c r="AD427" s="106"/>
      <c r="AE427" s="106"/>
      <c r="AF427" s="107"/>
      <c r="AG427" s="106"/>
      <c r="AH427" s="108"/>
    </row>
    <row r="428" spans="4:34">
      <c r="D428" s="51"/>
      <c r="E428" s="51"/>
      <c r="F428" s="81"/>
      <c r="G428" s="81"/>
      <c r="H428" s="81"/>
      <c r="I428" s="15"/>
      <c r="K428" s="103"/>
      <c r="L428" s="103"/>
      <c r="M428" s="104"/>
      <c r="N428" s="104"/>
      <c r="O428" s="89"/>
      <c r="P428" s="105"/>
      <c r="AB428" s="64"/>
      <c r="AC428" s="33"/>
      <c r="AD428" s="64"/>
      <c r="AE428" s="64"/>
      <c r="AG428" s="64"/>
    </row>
    <row r="429" spans="4:34">
      <c r="D429" s="51"/>
      <c r="E429" s="51"/>
      <c r="F429" s="81"/>
      <c r="G429" s="81"/>
      <c r="H429" s="81"/>
      <c r="I429" s="15"/>
      <c r="K429" s="103"/>
      <c r="L429" s="103"/>
      <c r="M429" s="104"/>
      <c r="N429" s="104"/>
      <c r="O429" s="89"/>
      <c r="P429" s="105"/>
      <c r="AB429" s="64"/>
      <c r="AC429" s="33"/>
      <c r="AD429" s="64"/>
      <c r="AE429" s="64"/>
      <c r="AG429" s="64"/>
    </row>
    <row r="430" spans="4:34">
      <c r="D430" s="51"/>
      <c r="E430" s="51"/>
      <c r="F430" s="81"/>
      <c r="G430" s="81"/>
      <c r="H430" s="81"/>
      <c r="I430" s="15"/>
      <c r="K430" s="103"/>
      <c r="L430" s="103"/>
      <c r="M430" s="104"/>
      <c r="N430" s="104"/>
      <c r="O430" s="89"/>
      <c r="P430" s="105"/>
      <c r="AB430" s="64"/>
      <c r="AC430" s="33"/>
      <c r="AD430" s="64"/>
      <c r="AE430" s="64"/>
      <c r="AG430" s="64"/>
    </row>
    <row r="431" spans="4:34">
      <c r="D431" s="51"/>
      <c r="E431" s="51"/>
      <c r="F431" s="81"/>
      <c r="G431" s="81"/>
      <c r="H431" s="81"/>
      <c r="I431" s="15"/>
      <c r="K431" s="103"/>
      <c r="L431" s="103"/>
      <c r="M431" s="104"/>
      <c r="N431" s="104"/>
      <c r="O431" s="89"/>
      <c r="P431" s="105"/>
      <c r="AB431" s="64"/>
      <c r="AC431" s="33"/>
      <c r="AD431" s="64"/>
      <c r="AE431" s="64"/>
      <c r="AG431" s="64"/>
    </row>
    <row r="432" spans="4:34">
      <c r="D432" s="51"/>
      <c r="E432" s="51"/>
      <c r="F432" s="81"/>
      <c r="G432" s="81"/>
      <c r="H432" s="81"/>
      <c r="I432" s="15"/>
      <c r="K432" s="103"/>
      <c r="L432" s="103"/>
      <c r="M432" s="104"/>
      <c r="N432" s="104"/>
      <c r="O432" s="89"/>
      <c r="P432" s="105"/>
      <c r="AB432" s="64"/>
      <c r="AC432" s="33"/>
      <c r="AD432" s="64"/>
      <c r="AE432" s="64"/>
      <c r="AG432" s="64"/>
    </row>
    <row r="433" spans="4:33">
      <c r="D433" s="51"/>
      <c r="E433" s="51"/>
      <c r="F433" s="81"/>
      <c r="G433" s="81"/>
      <c r="H433" s="81"/>
      <c r="I433" s="15"/>
      <c r="K433" s="103"/>
      <c r="L433" s="103"/>
      <c r="M433" s="104"/>
      <c r="N433" s="104"/>
      <c r="O433" s="89"/>
      <c r="P433" s="105"/>
      <c r="AB433" s="64"/>
      <c r="AC433" s="33"/>
      <c r="AD433" s="64"/>
      <c r="AE433" s="64"/>
      <c r="AG433" s="64"/>
    </row>
    <row r="434" spans="4:33">
      <c r="D434" s="51"/>
      <c r="E434" s="51"/>
      <c r="F434" s="81"/>
      <c r="G434" s="81"/>
      <c r="H434" s="81"/>
      <c r="I434" s="15"/>
      <c r="K434" s="103"/>
      <c r="L434" s="103"/>
      <c r="M434" s="104"/>
      <c r="N434" s="104"/>
      <c r="O434" s="89"/>
      <c r="P434" s="105"/>
      <c r="AB434" s="64"/>
      <c r="AC434" s="33"/>
      <c r="AD434" s="64"/>
      <c r="AE434" s="64"/>
      <c r="AG434" s="64"/>
    </row>
    <row r="435" spans="4:33">
      <c r="D435" s="51"/>
      <c r="E435" s="51"/>
      <c r="F435" s="81"/>
      <c r="G435" s="81"/>
      <c r="H435" s="81"/>
      <c r="I435" s="15"/>
      <c r="K435" s="103"/>
      <c r="L435" s="103"/>
      <c r="M435" s="104"/>
      <c r="N435" s="104"/>
      <c r="O435" s="89"/>
      <c r="P435" s="105"/>
      <c r="AB435" s="64"/>
      <c r="AC435" s="33"/>
      <c r="AD435" s="64"/>
      <c r="AE435" s="64"/>
      <c r="AG435" s="64"/>
    </row>
    <row r="436" spans="4:33">
      <c r="D436" s="51"/>
      <c r="E436" s="51"/>
      <c r="F436" s="81"/>
      <c r="G436" s="81"/>
      <c r="H436" s="81"/>
      <c r="I436" s="15"/>
      <c r="K436" s="103"/>
      <c r="L436" s="103"/>
      <c r="M436" s="104"/>
      <c r="N436" s="104"/>
      <c r="O436" s="89"/>
      <c r="P436" s="105"/>
      <c r="AB436" s="64"/>
      <c r="AC436" s="33"/>
      <c r="AD436" s="64"/>
      <c r="AE436" s="64"/>
      <c r="AG436" s="64"/>
    </row>
    <row r="437" spans="4:33">
      <c r="D437" s="51"/>
      <c r="E437" s="51"/>
      <c r="F437" s="81"/>
      <c r="G437" s="81"/>
      <c r="H437" s="81"/>
      <c r="I437" s="15"/>
      <c r="K437" s="103"/>
      <c r="L437" s="103"/>
      <c r="M437" s="104"/>
      <c r="N437" s="104"/>
      <c r="O437" s="89"/>
      <c r="P437" s="105"/>
      <c r="AB437" s="64"/>
      <c r="AC437" s="33"/>
      <c r="AD437" s="64"/>
      <c r="AE437" s="64"/>
      <c r="AG437" s="64"/>
    </row>
    <row r="438" spans="4:33">
      <c r="D438" s="51"/>
      <c r="E438" s="51"/>
      <c r="F438" s="81"/>
      <c r="G438" s="81"/>
      <c r="H438" s="81"/>
      <c r="I438" s="15"/>
      <c r="K438" s="103"/>
      <c r="L438" s="103"/>
      <c r="M438" s="104"/>
      <c r="N438" s="104"/>
      <c r="O438" s="89"/>
      <c r="P438" s="105"/>
      <c r="AB438" s="64"/>
      <c r="AC438" s="33"/>
      <c r="AD438" s="64"/>
      <c r="AE438" s="64"/>
      <c r="AG438" s="64"/>
    </row>
    <row r="439" spans="4:33">
      <c r="D439" s="51"/>
      <c r="E439" s="51"/>
      <c r="F439" s="81"/>
      <c r="G439" s="81"/>
      <c r="H439" s="81"/>
      <c r="I439" s="15"/>
      <c r="K439" s="103"/>
      <c r="L439" s="103"/>
      <c r="M439" s="104"/>
      <c r="N439" s="104"/>
      <c r="O439" s="89"/>
      <c r="P439" s="105"/>
      <c r="AB439" s="64"/>
      <c r="AC439" s="33"/>
      <c r="AD439" s="64"/>
      <c r="AE439" s="64"/>
      <c r="AG439" s="64"/>
    </row>
    <row r="440" spans="4:33">
      <c r="D440" s="51"/>
      <c r="E440" s="51"/>
      <c r="F440" s="81"/>
      <c r="G440" s="81"/>
      <c r="H440" s="81"/>
      <c r="I440" s="15"/>
      <c r="K440" s="103"/>
      <c r="L440" s="103"/>
      <c r="M440" s="104"/>
      <c r="N440" s="104"/>
      <c r="O440" s="89"/>
      <c r="P440" s="105"/>
      <c r="AB440" s="64"/>
      <c r="AC440" s="33"/>
      <c r="AD440" s="64"/>
      <c r="AE440" s="64"/>
      <c r="AG440" s="64"/>
    </row>
    <row r="441" spans="4:33">
      <c r="D441" s="51"/>
      <c r="E441" s="51"/>
      <c r="F441" s="81"/>
      <c r="G441" s="81"/>
      <c r="H441" s="81"/>
      <c r="I441" s="15"/>
      <c r="K441" s="103"/>
      <c r="L441" s="103"/>
      <c r="M441" s="104"/>
      <c r="N441" s="104"/>
      <c r="O441" s="89"/>
      <c r="P441" s="105"/>
      <c r="AB441" s="64"/>
      <c r="AC441" s="33"/>
      <c r="AD441" s="64"/>
      <c r="AE441" s="64"/>
      <c r="AG441" s="64"/>
    </row>
    <row r="442" spans="4:33">
      <c r="D442" s="51"/>
      <c r="E442" s="51"/>
      <c r="F442" s="81"/>
      <c r="G442" s="81"/>
      <c r="H442" s="81"/>
      <c r="I442" s="15"/>
      <c r="K442" s="103"/>
      <c r="L442" s="103"/>
      <c r="M442" s="104"/>
      <c r="N442" s="104"/>
      <c r="O442" s="89"/>
      <c r="P442" s="105"/>
      <c r="AB442" s="64"/>
      <c r="AC442" s="33"/>
      <c r="AD442" s="64"/>
      <c r="AE442" s="64"/>
      <c r="AG442" s="64"/>
    </row>
    <row r="443" spans="4:33">
      <c r="D443" s="51"/>
      <c r="E443" s="51"/>
      <c r="F443" s="81"/>
      <c r="G443" s="81"/>
      <c r="H443" s="81"/>
      <c r="I443" s="15"/>
      <c r="K443" s="103"/>
      <c r="L443" s="103"/>
      <c r="M443" s="104"/>
      <c r="N443" s="104"/>
      <c r="O443" s="89"/>
      <c r="P443" s="105"/>
      <c r="AB443" s="64"/>
      <c r="AC443" s="33"/>
      <c r="AD443" s="64"/>
      <c r="AE443" s="64"/>
      <c r="AG443" s="64"/>
    </row>
    <row r="444" spans="4:33">
      <c r="D444" s="51"/>
      <c r="E444" s="51"/>
      <c r="F444" s="81"/>
      <c r="G444" s="81"/>
      <c r="H444" s="81"/>
      <c r="I444" s="15"/>
      <c r="K444" s="103"/>
      <c r="L444" s="103"/>
      <c r="M444" s="104"/>
      <c r="N444" s="104"/>
      <c r="O444" s="89"/>
      <c r="P444" s="105"/>
      <c r="AB444" s="64"/>
      <c r="AC444" s="33"/>
      <c r="AD444" s="64"/>
      <c r="AE444" s="64"/>
      <c r="AG444" s="64"/>
    </row>
    <row r="445" spans="4:33">
      <c r="D445" s="51"/>
      <c r="E445" s="51"/>
      <c r="F445" s="81"/>
      <c r="G445" s="81"/>
      <c r="H445" s="81"/>
      <c r="I445" s="15"/>
      <c r="K445" s="103"/>
      <c r="L445" s="103"/>
      <c r="M445" s="104"/>
      <c r="N445" s="104"/>
      <c r="O445" s="89"/>
      <c r="P445" s="105"/>
      <c r="AB445" s="64"/>
      <c r="AC445" s="33"/>
      <c r="AD445" s="64"/>
      <c r="AE445" s="64"/>
      <c r="AG445" s="64"/>
    </row>
    <row r="446" spans="4:33">
      <c r="D446" s="51"/>
      <c r="E446" s="51"/>
      <c r="F446" s="81"/>
      <c r="G446" s="81"/>
      <c r="H446" s="81"/>
      <c r="I446" s="15"/>
      <c r="K446" s="103"/>
      <c r="L446" s="103"/>
      <c r="M446" s="104"/>
      <c r="N446" s="104"/>
      <c r="O446" s="89"/>
      <c r="P446" s="105"/>
      <c r="AB446" s="64"/>
      <c r="AC446" s="33"/>
      <c r="AD446" s="64"/>
      <c r="AE446" s="64"/>
      <c r="AG446" s="64"/>
    </row>
    <row r="447" spans="4:33">
      <c r="D447" s="51"/>
      <c r="E447" s="51"/>
      <c r="F447" s="81"/>
      <c r="G447" s="81"/>
      <c r="H447" s="81"/>
      <c r="I447" s="15"/>
      <c r="K447" s="103"/>
      <c r="L447" s="103"/>
      <c r="M447" s="104"/>
      <c r="N447" s="104"/>
      <c r="O447" s="89"/>
      <c r="P447" s="105"/>
      <c r="AB447" s="64"/>
      <c r="AC447" s="33"/>
      <c r="AD447" s="64"/>
      <c r="AE447" s="64"/>
      <c r="AG447" s="64"/>
    </row>
    <row r="448" spans="4:33">
      <c r="D448" s="51"/>
      <c r="E448" s="51"/>
      <c r="F448" s="81"/>
      <c r="G448" s="81"/>
      <c r="H448" s="81"/>
      <c r="I448" s="15"/>
      <c r="K448" s="103"/>
      <c r="L448" s="103"/>
      <c r="M448" s="104"/>
      <c r="N448" s="104"/>
      <c r="O448" s="89"/>
      <c r="P448" s="105"/>
      <c r="AB448" s="64"/>
      <c r="AC448" s="33"/>
      <c r="AD448" s="64"/>
      <c r="AE448" s="64"/>
      <c r="AG448" s="64"/>
    </row>
    <row r="449" spans="4:33">
      <c r="D449" s="51"/>
      <c r="E449" s="51"/>
      <c r="F449" s="81"/>
      <c r="G449" s="81"/>
      <c r="H449" s="81"/>
      <c r="I449" s="15"/>
      <c r="K449" s="103"/>
      <c r="L449" s="103"/>
      <c r="M449" s="104"/>
      <c r="N449" s="104"/>
      <c r="O449" s="89"/>
      <c r="P449" s="105"/>
      <c r="AB449" s="64"/>
      <c r="AC449" s="33"/>
      <c r="AD449" s="64"/>
      <c r="AE449" s="64"/>
      <c r="AG449" s="64"/>
    </row>
    <row r="450" spans="4:33">
      <c r="D450" s="51"/>
      <c r="E450" s="51"/>
      <c r="F450" s="81"/>
      <c r="G450" s="81"/>
      <c r="H450" s="81"/>
      <c r="I450" s="15"/>
      <c r="K450" s="103"/>
      <c r="L450" s="103"/>
      <c r="M450" s="104"/>
      <c r="N450" s="104"/>
      <c r="O450" s="89"/>
      <c r="P450" s="105"/>
      <c r="AB450" s="64"/>
      <c r="AC450" s="33"/>
      <c r="AD450" s="64"/>
      <c r="AE450" s="64"/>
      <c r="AG450" s="64"/>
    </row>
    <row r="451" spans="4:33">
      <c r="D451" s="51"/>
      <c r="E451" s="51"/>
      <c r="F451" s="81"/>
      <c r="G451" s="81"/>
      <c r="H451" s="81"/>
      <c r="I451" s="15"/>
      <c r="K451" s="103"/>
      <c r="L451" s="103"/>
      <c r="M451" s="104"/>
      <c r="N451" s="104"/>
      <c r="O451" s="89"/>
      <c r="P451" s="105"/>
      <c r="AB451" s="64"/>
      <c r="AC451" s="33"/>
      <c r="AD451" s="64"/>
      <c r="AE451" s="64"/>
      <c r="AG451" s="64"/>
    </row>
    <row r="452" spans="4:33">
      <c r="D452" s="51"/>
      <c r="E452" s="51"/>
      <c r="F452" s="81"/>
      <c r="G452" s="81"/>
      <c r="H452" s="81"/>
      <c r="I452" s="15"/>
      <c r="K452" s="103"/>
      <c r="L452" s="103"/>
      <c r="M452" s="104"/>
      <c r="N452" s="104"/>
      <c r="O452" s="89"/>
      <c r="P452" s="105"/>
      <c r="AB452" s="64"/>
      <c r="AC452" s="33"/>
      <c r="AD452" s="64"/>
      <c r="AE452" s="64"/>
      <c r="AG452" s="64"/>
    </row>
    <row r="453" spans="4:33">
      <c r="D453" s="51"/>
      <c r="E453" s="51"/>
      <c r="F453" s="81"/>
      <c r="G453" s="81"/>
      <c r="H453" s="81"/>
      <c r="I453" s="15"/>
      <c r="K453" s="103"/>
      <c r="L453" s="103"/>
      <c r="M453" s="104"/>
      <c r="N453" s="104"/>
      <c r="O453" s="89"/>
      <c r="P453" s="105"/>
      <c r="AB453" s="64"/>
      <c r="AC453" s="33"/>
      <c r="AD453" s="64"/>
      <c r="AE453" s="64"/>
      <c r="AG453" s="64"/>
    </row>
    <row r="454" spans="4:33">
      <c r="D454" s="51"/>
      <c r="E454" s="51"/>
      <c r="F454" s="81"/>
      <c r="G454" s="81"/>
      <c r="H454" s="81"/>
      <c r="I454" s="15"/>
      <c r="K454" s="103"/>
      <c r="L454" s="103"/>
      <c r="M454" s="104"/>
      <c r="N454" s="104"/>
      <c r="O454" s="89"/>
      <c r="P454" s="105"/>
      <c r="AB454" s="64"/>
      <c r="AC454" s="33"/>
      <c r="AD454" s="64"/>
      <c r="AE454" s="64"/>
      <c r="AG454" s="64"/>
    </row>
    <row r="455" spans="4:33">
      <c r="D455" s="51"/>
      <c r="E455" s="51"/>
      <c r="F455" s="81"/>
      <c r="G455" s="81"/>
      <c r="H455" s="81"/>
      <c r="I455" s="15"/>
      <c r="K455" s="103"/>
      <c r="L455" s="103"/>
      <c r="M455" s="104"/>
      <c r="N455" s="104"/>
      <c r="O455" s="89"/>
      <c r="P455" s="105"/>
      <c r="AB455" s="64"/>
      <c r="AC455" s="33"/>
      <c r="AD455" s="64"/>
      <c r="AE455" s="64"/>
      <c r="AG455" s="64"/>
    </row>
    <row r="456" spans="4:33">
      <c r="D456" s="51"/>
      <c r="E456" s="51"/>
      <c r="F456" s="81"/>
      <c r="G456" s="81"/>
      <c r="H456" s="81"/>
      <c r="I456" s="15"/>
      <c r="K456" s="103"/>
      <c r="L456" s="103"/>
      <c r="M456" s="104"/>
      <c r="N456" s="104"/>
      <c r="O456" s="89"/>
      <c r="P456" s="105"/>
      <c r="AB456" s="64"/>
      <c r="AC456" s="33"/>
      <c r="AD456" s="64"/>
      <c r="AE456" s="64"/>
      <c r="AG456" s="64"/>
    </row>
    <row r="457" spans="4:33">
      <c r="D457" s="51"/>
      <c r="E457" s="51"/>
      <c r="F457" s="81"/>
      <c r="G457" s="81"/>
      <c r="H457" s="81"/>
      <c r="I457" s="15"/>
      <c r="K457" s="103"/>
      <c r="L457" s="103"/>
      <c r="M457" s="104"/>
      <c r="N457" s="104"/>
      <c r="O457" s="89"/>
      <c r="P457" s="105"/>
      <c r="AB457" s="64"/>
      <c r="AC457" s="33"/>
      <c r="AD457" s="64"/>
      <c r="AE457" s="64"/>
      <c r="AG457" s="64"/>
    </row>
    <row r="458" spans="4:33">
      <c r="D458" s="51"/>
      <c r="E458" s="51"/>
      <c r="F458" s="81"/>
      <c r="G458" s="81"/>
      <c r="H458" s="81"/>
      <c r="I458" s="15"/>
      <c r="K458" s="103"/>
      <c r="L458" s="103"/>
      <c r="M458" s="104"/>
      <c r="N458" s="104"/>
      <c r="O458" s="89"/>
      <c r="P458" s="105"/>
      <c r="AB458" s="64"/>
      <c r="AC458" s="33"/>
      <c r="AD458" s="64"/>
      <c r="AE458" s="64"/>
      <c r="AG458" s="64"/>
    </row>
    <row r="459" spans="4:33">
      <c r="D459" s="51"/>
      <c r="E459" s="51"/>
      <c r="F459" s="81"/>
      <c r="G459" s="81"/>
      <c r="H459" s="81"/>
      <c r="I459" s="15"/>
      <c r="K459" s="103"/>
      <c r="L459" s="103"/>
      <c r="M459" s="104"/>
      <c r="N459" s="104"/>
      <c r="O459" s="89"/>
      <c r="P459" s="105"/>
      <c r="AB459" s="64"/>
      <c r="AC459" s="33"/>
      <c r="AD459" s="64"/>
      <c r="AE459" s="64"/>
      <c r="AG459" s="64"/>
    </row>
    <row r="460" spans="4:33">
      <c r="D460" s="51"/>
      <c r="E460" s="51"/>
      <c r="F460" s="81"/>
      <c r="G460" s="81"/>
      <c r="H460" s="81"/>
      <c r="I460" s="15"/>
      <c r="K460" s="103"/>
      <c r="L460" s="103"/>
      <c r="M460" s="104"/>
      <c r="N460" s="104"/>
      <c r="O460" s="89"/>
      <c r="P460" s="105"/>
      <c r="AB460" s="64"/>
      <c r="AC460" s="33"/>
      <c r="AD460" s="64"/>
      <c r="AE460" s="64"/>
      <c r="AG460" s="64"/>
    </row>
    <row r="461" spans="4:33">
      <c r="D461" s="51"/>
      <c r="E461" s="51"/>
      <c r="F461" s="81"/>
      <c r="G461" s="81"/>
      <c r="H461" s="81"/>
      <c r="I461" s="15"/>
      <c r="K461" s="103"/>
      <c r="L461" s="103"/>
      <c r="M461" s="104"/>
      <c r="N461" s="104"/>
      <c r="O461" s="89"/>
      <c r="P461" s="105"/>
      <c r="AB461" s="64"/>
      <c r="AC461" s="33"/>
      <c r="AD461" s="64"/>
      <c r="AE461" s="64"/>
      <c r="AG461" s="64"/>
    </row>
    <row r="462" spans="4:33">
      <c r="D462" s="51"/>
      <c r="E462" s="51"/>
      <c r="F462" s="81"/>
      <c r="G462" s="81"/>
      <c r="H462" s="81"/>
      <c r="I462" s="15"/>
      <c r="K462" s="103"/>
      <c r="L462" s="103"/>
      <c r="M462" s="104"/>
      <c r="N462" s="104"/>
      <c r="O462" s="89"/>
      <c r="P462" s="105"/>
      <c r="AB462" s="64"/>
      <c r="AC462" s="33"/>
      <c r="AD462" s="64"/>
      <c r="AE462" s="64"/>
      <c r="AG462" s="64"/>
    </row>
    <row r="463" spans="4:33">
      <c r="D463" s="51"/>
      <c r="E463" s="51"/>
      <c r="F463" s="81"/>
      <c r="G463" s="81"/>
      <c r="H463" s="81"/>
      <c r="I463" s="15"/>
      <c r="K463" s="103"/>
      <c r="L463" s="103"/>
      <c r="M463" s="104"/>
      <c r="N463" s="104"/>
      <c r="O463" s="89"/>
      <c r="P463" s="105"/>
      <c r="AB463" s="64"/>
      <c r="AC463" s="33"/>
      <c r="AD463" s="64"/>
      <c r="AE463" s="64"/>
      <c r="AG463" s="64"/>
    </row>
    <row r="464" spans="4:33">
      <c r="D464" s="51"/>
      <c r="E464" s="51"/>
      <c r="F464" s="81"/>
      <c r="G464" s="81"/>
      <c r="H464" s="81"/>
      <c r="I464" s="15"/>
      <c r="K464" s="103"/>
      <c r="L464" s="103"/>
      <c r="M464" s="104"/>
      <c r="N464" s="104"/>
      <c r="O464" s="89"/>
      <c r="P464" s="105"/>
      <c r="AB464" s="64"/>
      <c r="AC464" s="33"/>
      <c r="AD464" s="64"/>
      <c r="AE464" s="64"/>
      <c r="AG464" s="64"/>
    </row>
    <row r="465" spans="4:33">
      <c r="D465" s="51"/>
      <c r="E465" s="51"/>
      <c r="F465" s="81"/>
      <c r="G465" s="81"/>
      <c r="H465" s="81"/>
      <c r="I465" s="15"/>
      <c r="K465" s="103"/>
      <c r="L465" s="103"/>
      <c r="M465" s="104"/>
      <c r="N465" s="104"/>
      <c r="O465" s="89"/>
      <c r="P465" s="105"/>
      <c r="AB465" s="64"/>
      <c r="AC465" s="33"/>
      <c r="AD465" s="64"/>
      <c r="AE465" s="64"/>
      <c r="AG465" s="64"/>
    </row>
    <row r="466" spans="4:33">
      <c r="D466" s="51"/>
      <c r="E466" s="51"/>
      <c r="F466" s="81"/>
      <c r="G466" s="81"/>
      <c r="H466" s="81"/>
      <c r="I466" s="15"/>
      <c r="K466" s="103"/>
      <c r="L466" s="103"/>
      <c r="M466" s="104"/>
      <c r="N466" s="104"/>
      <c r="O466" s="89"/>
      <c r="P466" s="105"/>
      <c r="AB466" s="64"/>
      <c r="AC466" s="33"/>
      <c r="AD466" s="64"/>
      <c r="AE466" s="64"/>
      <c r="AG466" s="64"/>
    </row>
    <row r="467" spans="4:33">
      <c r="D467" s="51"/>
      <c r="E467" s="51"/>
      <c r="F467" s="81"/>
      <c r="G467" s="81"/>
      <c r="H467" s="81"/>
      <c r="I467" s="15"/>
      <c r="K467" s="103"/>
      <c r="L467" s="103"/>
      <c r="M467" s="104"/>
      <c r="N467" s="104"/>
      <c r="O467" s="89"/>
      <c r="P467" s="105"/>
      <c r="AB467" s="64"/>
      <c r="AC467" s="33"/>
      <c r="AD467" s="64"/>
      <c r="AE467" s="64"/>
      <c r="AG467" s="64"/>
    </row>
    <row r="468" spans="4:33">
      <c r="D468" s="51"/>
      <c r="E468" s="51"/>
      <c r="F468" s="81"/>
      <c r="G468" s="81"/>
      <c r="H468" s="81"/>
      <c r="I468" s="15"/>
      <c r="K468" s="103"/>
      <c r="L468" s="103"/>
      <c r="M468" s="104"/>
      <c r="N468" s="104"/>
      <c r="O468" s="89"/>
      <c r="P468" s="105"/>
      <c r="AB468" s="64"/>
      <c r="AC468" s="33"/>
      <c r="AD468" s="64"/>
      <c r="AE468" s="64"/>
      <c r="AG468" s="64"/>
    </row>
    <row r="469" spans="4:33">
      <c r="D469" s="51"/>
      <c r="E469" s="51"/>
      <c r="F469" s="81"/>
      <c r="G469" s="81"/>
      <c r="H469" s="81"/>
      <c r="I469" s="15"/>
      <c r="K469" s="103"/>
      <c r="L469" s="103"/>
      <c r="M469" s="104"/>
      <c r="N469" s="104"/>
      <c r="O469" s="89"/>
      <c r="P469" s="105"/>
      <c r="AB469" s="64"/>
      <c r="AC469" s="33"/>
      <c r="AD469" s="64"/>
      <c r="AE469" s="64"/>
      <c r="AG469" s="64"/>
    </row>
    <row r="470" spans="4:33">
      <c r="D470" s="51"/>
      <c r="E470" s="51"/>
      <c r="F470" s="81"/>
      <c r="G470" s="81"/>
      <c r="H470" s="81"/>
      <c r="I470" s="15"/>
      <c r="K470" s="103"/>
      <c r="L470" s="103"/>
      <c r="M470" s="104"/>
      <c r="N470" s="104"/>
      <c r="O470" s="89"/>
      <c r="P470" s="105"/>
      <c r="AB470" s="64"/>
      <c r="AC470" s="33"/>
      <c r="AD470" s="64"/>
      <c r="AE470" s="64"/>
      <c r="AG470" s="64"/>
    </row>
    <row r="471" spans="4:33">
      <c r="D471" s="51"/>
      <c r="E471" s="51"/>
      <c r="F471" s="81"/>
      <c r="G471" s="81"/>
      <c r="H471" s="81"/>
      <c r="I471" s="15"/>
      <c r="K471" s="103"/>
      <c r="L471" s="103"/>
      <c r="M471" s="104"/>
      <c r="N471" s="104"/>
      <c r="O471" s="89"/>
      <c r="P471" s="105"/>
      <c r="AB471" s="64"/>
      <c r="AC471" s="33"/>
      <c r="AD471" s="64"/>
      <c r="AE471" s="64"/>
      <c r="AG471" s="64"/>
    </row>
    <row r="472" spans="4:33">
      <c r="D472" s="51"/>
      <c r="E472" s="51"/>
      <c r="F472" s="81"/>
      <c r="G472" s="81"/>
      <c r="H472" s="81"/>
      <c r="I472" s="15"/>
      <c r="K472" s="103"/>
      <c r="L472" s="103"/>
      <c r="M472" s="104"/>
      <c r="N472" s="104"/>
      <c r="O472" s="89"/>
      <c r="P472" s="105"/>
      <c r="AB472" s="64"/>
      <c r="AC472" s="33"/>
      <c r="AD472" s="64"/>
      <c r="AE472" s="64"/>
      <c r="AG472" s="64"/>
    </row>
    <row r="473" spans="4:33">
      <c r="D473" s="51"/>
      <c r="E473" s="51"/>
      <c r="F473" s="81"/>
      <c r="G473" s="81"/>
      <c r="H473" s="81"/>
      <c r="I473" s="15"/>
      <c r="K473" s="103"/>
      <c r="L473" s="103"/>
      <c r="M473" s="104"/>
      <c r="N473" s="104"/>
      <c r="O473" s="89"/>
      <c r="P473" s="105"/>
      <c r="AB473" s="64"/>
      <c r="AC473" s="33"/>
      <c r="AD473" s="64"/>
      <c r="AE473" s="64"/>
      <c r="AG473" s="64"/>
    </row>
    <row r="474" spans="4:33">
      <c r="D474" s="51"/>
      <c r="E474" s="51"/>
      <c r="F474" s="81"/>
      <c r="G474" s="81"/>
      <c r="H474" s="81"/>
      <c r="I474" s="15"/>
      <c r="K474" s="103"/>
      <c r="L474" s="103"/>
      <c r="M474" s="104"/>
      <c r="N474" s="104"/>
      <c r="O474" s="89"/>
      <c r="P474" s="105"/>
      <c r="AB474" s="64"/>
      <c r="AC474" s="33"/>
      <c r="AD474" s="64"/>
      <c r="AE474" s="64"/>
      <c r="AG474" s="64"/>
    </row>
    <row r="475" spans="4:33">
      <c r="D475" s="51"/>
      <c r="E475" s="51"/>
      <c r="F475" s="81"/>
      <c r="G475" s="81"/>
      <c r="H475" s="81"/>
      <c r="I475" s="15"/>
      <c r="K475" s="103"/>
      <c r="L475" s="103"/>
      <c r="M475" s="104"/>
      <c r="N475" s="104"/>
      <c r="O475" s="89"/>
      <c r="P475" s="105"/>
      <c r="AB475" s="64"/>
      <c r="AC475" s="33"/>
      <c r="AD475" s="64"/>
      <c r="AE475" s="64"/>
      <c r="AG475" s="64"/>
    </row>
    <row r="476" spans="4:33">
      <c r="D476" s="51"/>
      <c r="E476" s="51"/>
      <c r="F476" s="81"/>
      <c r="G476" s="81"/>
      <c r="H476" s="81"/>
      <c r="I476" s="15"/>
      <c r="K476" s="103"/>
      <c r="L476" s="103"/>
      <c r="M476" s="104"/>
      <c r="N476" s="104"/>
      <c r="O476" s="89"/>
      <c r="P476" s="105"/>
      <c r="AB476" s="64"/>
      <c r="AC476" s="33"/>
      <c r="AD476" s="64"/>
      <c r="AE476" s="64"/>
      <c r="AG476" s="64"/>
    </row>
    <row r="477" spans="4:33">
      <c r="D477" s="51"/>
      <c r="E477" s="51"/>
      <c r="F477" s="81"/>
      <c r="G477" s="81"/>
      <c r="H477" s="81"/>
      <c r="I477" s="15"/>
      <c r="K477" s="103"/>
      <c r="L477" s="103"/>
      <c r="M477" s="104"/>
      <c r="N477" s="104"/>
      <c r="O477" s="89"/>
      <c r="P477" s="105"/>
      <c r="AB477" s="64"/>
      <c r="AC477" s="33"/>
      <c r="AD477" s="64"/>
      <c r="AE477" s="64"/>
      <c r="AG477" s="64"/>
    </row>
    <row r="478" spans="4:33">
      <c r="D478" s="51"/>
      <c r="E478" s="51"/>
      <c r="F478" s="81"/>
      <c r="G478" s="81"/>
      <c r="H478" s="81"/>
      <c r="I478" s="15"/>
      <c r="K478" s="103"/>
      <c r="L478" s="103"/>
      <c r="M478" s="104"/>
      <c r="N478" s="104"/>
      <c r="O478" s="89"/>
      <c r="P478" s="105"/>
      <c r="AB478" s="64"/>
      <c r="AC478" s="33"/>
      <c r="AD478" s="64"/>
      <c r="AE478" s="64"/>
      <c r="AG478" s="64"/>
    </row>
    <row r="479" spans="4:33">
      <c r="D479" s="51"/>
      <c r="E479" s="51"/>
      <c r="F479" s="81"/>
      <c r="G479" s="81"/>
      <c r="H479" s="81"/>
      <c r="I479" s="15"/>
      <c r="K479" s="103"/>
      <c r="L479" s="103"/>
      <c r="M479" s="104"/>
      <c r="N479" s="104"/>
      <c r="O479" s="89"/>
      <c r="P479" s="105"/>
      <c r="AB479" s="64"/>
      <c r="AC479" s="33"/>
      <c r="AD479" s="64"/>
      <c r="AE479" s="64"/>
      <c r="AG479" s="64"/>
    </row>
    <row r="480" spans="4:33">
      <c r="D480" s="51"/>
      <c r="E480" s="51"/>
      <c r="F480" s="81"/>
      <c r="G480" s="81"/>
      <c r="H480" s="81"/>
      <c r="I480" s="15"/>
      <c r="K480" s="103"/>
      <c r="L480" s="103"/>
      <c r="M480" s="104"/>
      <c r="N480" s="104"/>
      <c r="O480" s="89"/>
      <c r="P480" s="105"/>
      <c r="AB480" s="64"/>
      <c r="AC480" s="33"/>
      <c r="AD480" s="64"/>
      <c r="AE480" s="64"/>
      <c r="AG480" s="64"/>
    </row>
    <row r="481" spans="4:33">
      <c r="D481" s="51"/>
      <c r="E481" s="51"/>
      <c r="F481" s="81"/>
      <c r="G481" s="81"/>
      <c r="H481" s="81"/>
      <c r="I481" s="15"/>
      <c r="K481" s="103"/>
      <c r="L481" s="103"/>
      <c r="M481" s="104"/>
      <c r="N481" s="104"/>
      <c r="O481" s="89"/>
      <c r="P481" s="105"/>
      <c r="AB481" s="64"/>
      <c r="AC481" s="33"/>
      <c r="AD481" s="64"/>
      <c r="AE481" s="64"/>
      <c r="AG481" s="64"/>
    </row>
    <row r="482" spans="4:33">
      <c r="D482" s="51"/>
      <c r="E482" s="51"/>
      <c r="F482" s="81"/>
      <c r="G482" s="81"/>
      <c r="H482" s="81"/>
      <c r="I482" s="15"/>
      <c r="K482" s="103"/>
      <c r="L482" s="103"/>
      <c r="M482" s="104"/>
      <c r="N482" s="104"/>
      <c r="O482" s="89"/>
      <c r="P482" s="105"/>
      <c r="AB482" s="64"/>
      <c r="AC482" s="33"/>
      <c r="AD482" s="64"/>
      <c r="AE482" s="64"/>
      <c r="AG482" s="64"/>
    </row>
    <row r="483" spans="4:33">
      <c r="D483" s="51"/>
      <c r="E483" s="51"/>
      <c r="F483" s="81"/>
      <c r="G483" s="81"/>
      <c r="H483" s="81"/>
      <c r="I483" s="15"/>
      <c r="K483" s="103"/>
      <c r="L483" s="103"/>
      <c r="M483" s="104"/>
      <c r="N483" s="104"/>
      <c r="O483" s="89"/>
      <c r="P483" s="105"/>
      <c r="AB483" s="64"/>
      <c r="AC483" s="33"/>
      <c r="AD483" s="64"/>
      <c r="AE483" s="64"/>
      <c r="AG483" s="64"/>
    </row>
    <row r="484" spans="4:33">
      <c r="D484" s="51"/>
      <c r="E484" s="51"/>
      <c r="F484" s="81"/>
      <c r="G484" s="81"/>
      <c r="H484" s="81"/>
      <c r="I484" s="15"/>
      <c r="K484" s="103"/>
      <c r="L484" s="103"/>
      <c r="M484" s="104"/>
      <c r="N484" s="104"/>
      <c r="O484" s="89"/>
      <c r="P484" s="105"/>
      <c r="AB484" s="64"/>
      <c r="AC484" s="33"/>
      <c r="AD484" s="64"/>
      <c r="AE484" s="64"/>
      <c r="AG484" s="64"/>
    </row>
    <row r="485" spans="4:33">
      <c r="D485" s="51"/>
      <c r="E485" s="51"/>
      <c r="F485" s="81"/>
      <c r="G485" s="81"/>
      <c r="H485" s="81"/>
      <c r="I485" s="15"/>
      <c r="K485" s="103"/>
      <c r="L485" s="103"/>
      <c r="M485" s="104"/>
      <c r="N485" s="104"/>
      <c r="O485" s="89"/>
      <c r="P485" s="105"/>
      <c r="AB485" s="64"/>
      <c r="AC485" s="33"/>
      <c r="AD485" s="64"/>
      <c r="AE485" s="64"/>
      <c r="AG485" s="64"/>
    </row>
    <row r="486" spans="4:33">
      <c r="D486" s="51"/>
      <c r="E486" s="51"/>
      <c r="F486" s="81"/>
      <c r="G486" s="81"/>
      <c r="H486" s="81"/>
      <c r="I486" s="15"/>
      <c r="K486" s="103"/>
      <c r="L486" s="103"/>
      <c r="M486" s="104"/>
      <c r="N486" s="104"/>
      <c r="O486" s="89"/>
      <c r="P486" s="105"/>
      <c r="AB486" s="64"/>
      <c r="AC486" s="33"/>
      <c r="AD486" s="64"/>
      <c r="AE486" s="64"/>
      <c r="AG486" s="64"/>
    </row>
    <row r="487" spans="4:33">
      <c r="D487" s="51"/>
      <c r="E487" s="51"/>
      <c r="F487" s="81"/>
      <c r="G487" s="81"/>
      <c r="H487" s="81"/>
      <c r="I487" s="15"/>
      <c r="K487" s="103"/>
      <c r="L487" s="103"/>
      <c r="M487" s="104"/>
      <c r="N487" s="104"/>
      <c r="O487" s="89"/>
      <c r="P487" s="105"/>
      <c r="AB487" s="64"/>
      <c r="AC487" s="33"/>
      <c r="AD487" s="64"/>
      <c r="AE487" s="64"/>
      <c r="AG487" s="64"/>
    </row>
    <row r="488" spans="4:33">
      <c r="D488" s="51"/>
      <c r="E488" s="51"/>
      <c r="F488" s="81"/>
      <c r="G488" s="81"/>
      <c r="H488" s="81"/>
      <c r="I488" s="15"/>
      <c r="K488" s="103"/>
      <c r="L488" s="103"/>
      <c r="M488" s="104"/>
      <c r="N488" s="104"/>
      <c r="O488" s="89"/>
      <c r="P488" s="105"/>
      <c r="AB488" s="64"/>
      <c r="AC488" s="33"/>
      <c r="AD488" s="64"/>
      <c r="AE488" s="64"/>
      <c r="AG488" s="64"/>
    </row>
    <row r="489" spans="4:33">
      <c r="D489" s="51"/>
      <c r="E489" s="51"/>
      <c r="F489" s="81"/>
      <c r="G489" s="81"/>
      <c r="H489" s="81"/>
      <c r="I489" s="15"/>
      <c r="K489" s="103"/>
      <c r="L489" s="103"/>
      <c r="M489" s="104"/>
      <c r="N489" s="104"/>
      <c r="O489" s="89"/>
      <c r="P489" s="105"/>
      <c r="AB489" s="64"/>
      <c r="AC489" s="33"/>
      <c r="AD489" s="64"/>
      <c r="AE489" s="64"/>
      <c r="AG489" s="64"/>
    </row>
    <row r="490" spans="4:33">
      <c r="D490" s="51"/>
      <c r="E490" s="51"/>
      <c r="F490" s="81"/>
      <c r="G490" s="81"/>
      <c r="H490" s="81"/>
      <c r="I490" s="15"/>
      <c r="K490" s="103"/>
      <c r="L490" s="103"/>
      <c r="M490" s="104"/>
      <c r="N490" s="104"/>
      <c r="O490" s="89"/>
      <c r="P490" s="105"/>
      <c r="AB490" s="64"/>
      <c r="AC490" s="33"/>
      <c r="AD490" s="64"/>
      <c r="AE490" s="64"/>
      <c r="AG490" s="64"/>
    </row>
    <row r="491" spans="4:33">
      <c r="D491" s="51"/>
      <c r="E491" s="51"/>
      <c r="F491" s="81"/>
      <c r="G491" s="81"/>
      <c r="H491" s="81"/>
      <c r="I491" s="15"/>
      <c r="K491" s="103"/>
      <c r="L491" s="103"/>
      <c r="M491" s="104"/>
      <c r="N491" s="104"/>
      <c r="O491" s="89"/>
      <c r="P491" s="105"/>
      <c r="AB491" s="64"/>
      <c r="AC491" s="33"/>
      <c r="AD491" s="64"/>
      <c r="AE491" s="64"/>
      <c r="AG491" s="64"/>
    </row>
    <row r="492" spans="4:33">
      <c r="D492" s="51"/>
      <c r="E492" s="51"/>
      <c r="F492" s="81"/>
      <c r="G492" s="81"/>
      <c r="H492" s="81"/>
      <c r="I492" s="15"/>
      <c r="K492" s="103"/>
      <c r="L492" s="103"/>
      <c r="M492" s="104"/>
      <c r="N492" s="104"/>
      <c r="O492" s="89"/>
      <c r="P492" s="105"/>
      <c r="AB492" s="64"/>
      <c r="AC492" s="33"/>
      <c r="AD492" s="64"/>
      <c r="AE492" s="64"/>
      <c r="AG492" s="64"/>
    </row>
    <row r="493" spans="4:33">
      <c r="D493" s="51"/>
      <c r="E493" s="51"/>
      <c r="F493" s="81"/>
      <c r="G493" s="81"/>
      <c r="H493" s="81"/>
      <c r="I493" s="15"/>
      <c r="K493" s="103"/>
      <c r="L493" s="103"/>
      <c r="M493" s="104"/>
      <c r="N493" s="104"/>
      <c r="O493" s="89"/>
      <c r="P493" s="105"/>
      <c r="AB493" s="64"/>
      <c r="AC493" s="33"/>
      <c r="AD493" s="64"/>
      <c r="AE493" s="64"/>
      <c r="AG493" s="64"/>
    </row>
    <row r="494" spans="4:33">
      <c r="D494" s="51"/>
      <c r="E494" s="51"/>
      <c r="F494" s="81"/>
      <c r="G494" s="81"/>
      <c r="H494" s="81"/>
      <c r="I494" s="15"/>
      <c r="K494" s="103"/>
      <c r="L494" s="103"/>
      <c r="M494" s="104"/>
      <c r="N494" s="104"/>
      <c r="O494" s="89"/>
      <c r="P494" s="105"/>
      <c r="AB494" s="64"/>
      <c r="AC494" s="33"/>
      <c r="AD494" s="64"/>
      <c r="AE494" s="64"/>
      <c r="AG494" s="64"/>
    </row>
    <row r="495" spans="4:33">
      <c r="D495" s="51"/>
      <c r="E495" s="51"/>
      <c r="F495" s="81"/>
      <c r="G495" s="81"/>
      <c r="H495" s="81"/>
      <c r="I495" s="15"/>
      <c r="K495" s="103"/>
      <c r="L495" s="103"/>
      <c r="M495" s="104"/>
      <c r="N495" s="104"/>
      <c r="O495" s="89"/>
      <c r="P495" s="105"/>
      <c r="AB495" s="64"/>
      <c r="AC495" s="33"/>
      <c r="AD495" s="64"/>
      <c r="AE495" s="64"/>
      <c r="AG495" s="64"/>
    </row>
    <row r="496" spans="4:33">
      <c r="D496" s="51"/>
      <c r="E496" s="51"/>
      <c r="F496" s="81"/>
      <c r="G496" s="81"/>
      <c r="H496" s="81"/>
      <c r="I496" s="15"/>
      <c r="K496" s="103"/>
      <c r="L496" s="103"/>
      <c r="M496" s="104"/>
      <c r="N496" s="104"/>
      <c r="O496" s="89"/>
      <c r="P496" s="105"/>
      <c r="AB496" s="64"/>
      <c r="AC496" s="33"/>
      <c r="AD496" s="64"/>
      <c r="AE496" s="64"/>
      <c r="AG496" s="64"/>
    </row>
    <row r="497" spans="4:34">
      <c r="D497" s="51"/>
      <c r="E497" s="51"/>
      <c r="F497" s="81"/>
      <c r="G497" s="81"/>
      <c r="H497" s="81"/>
      <c r="I497" s="15"/>
      <c r="K497" s="103"/>
      <c r="L497" s="103"/>
      <c r="M497" s="104"/>
      <c r="N497" s="104"/>
      <c r="O497" s="89"/>
      <c r="P497" s="105"/>
      <c r="AB497" s="64"/>
      <c r="AC497" s="33"/>
      <c r="AD497" s="64"/>
      <c r="AE497" s="64"/>
      <c r="AG497" s="64"/>
    </row>
    <row r="498" spans="4:34">
      <c r="D498" s="51"/>
      <c r="E498" s="51"/>
      <c r="F498" s="81"/>
      <c r="G498" s="81"/>
      <c r="H498" s="81"/>
      <c r="I498" s="15"/>
      <c r="K498" s="103"/>
      <c r="L498" s="103"/>
      <c r="M498" s="104"/>
      <c r="N498" s="104"/>
      <c r="O498" s="89"/>
      <c r="P498" s="105"/>
      <c r="AB498" s="64"/>
      <c r="AC498" s="33"/>
      <c r="AD498" s="64"/>
      <c r="AE498" s="64"/>
      <c r="AG498" s="64"/>
    </row>
    <row r="499" spans="4:34">
      <c r="D499" s="51"/>
      <c r="E499" s="51"/>
      <c r="F499" s="81"/>
      <c r="G499" s="81"/>
      <c r="H499" s="81"/>
      <c r="I499" s="15"/>
      <c r="K499" s="103"/>
      <c r="L499" s="103"/>
      <c r="M499" s="104"/>
      <c r="N499" s="104"/>
      <c r="O499" s="89"/>
      <c r="P499" s="105"/>
      <c r="AB499" s="64"/>
      <c r="AC499" s="33"/>
      <c r="AD499" s="64"/>
      <c r="AE499" s="64"/>
      <c r="AG499" s="64"/>
    </row>
    <row r="500" spans="4:34">
      <c r="D500" s="51"/>
      <c r="E500" s="51"/>
      <c r="F500" s="81"/>
      <c r="G500" s="81"/>
      <c r="H500" s="81"/>
      <c r="I500" s="15"/>
      <c r="K500" s="103"/>
      <c r="L500" s="103"/>
      <c r="M500" s="104"/>
      <c r="N500" s="104"/>
      <c r="O500" s="89"/>
      <c r="P500" s="105"/>
      <c r="AB500" s="64"/>
      <c r="AC500" s="33"/>
      <c r="AD500" s="64"/>
      <c r="AE500" s="64"/>
      <c r="AG500" s="64"/>
    </row>
    <row r="501" spans="4:34">
      <c r="D501" s="51"/>
      <c r="E501" s="51"/>
      <c r="F501" s="81"/>
      <c r="G501" s="81"/>
      <c r="H501" s="81"/>
      <c r="I501" s="15"/>
      <c r="K501" s="103"/>
      <c r="L501" s="103"/>
      <c r="M501" s="104"/>
      <c r="N501" s="104"/>
      <c r="O501" s="89"/>
      <c r="P501" s="105"/>
      <c r="AB501" s="64"/>
      <c r="AC501" s="33"/>
      <c r="AD501" s="64"/>
      <c r="AE501" s="64"/>
      <c r="AG501" s="64"/>
    </row>
    <row r="502" spans="4:34">
      <c r="D502" s="51"/>
      <c r="E502" s="51"/>
      <c r="F502" s="81"/>
      <c r="G502" s="81"/>
      <c r="H502" s="81"/>
      <c r="I502" s="15"/>
      <c r="K502" s="103"/>
      <c r="L502" s="103"/>
      <c r="M502" s="104"/>
      <c r="N502" s="104"/>
      <c r="O502" s="89"/>
      <c r="P502" s="105"/>
      <c r="AB502" s="64"/>
      <c r="AC502" s="33"/>
      <c r="AD502" s="64"/>
      <c r="AE502" s="64"/>
      <c r="AG502" s="64"/>
    </row>
    <row r="503" spans="4:34">
      <c r="D503" s="51"/>
      <c r="E503" s="51"/>
      <c r="F503" s="81"/>
      <c r="G503" s="81"/>
      <c r="H503" s="81"/>
      <c r="I503" s="15"/>
      <c r="K503" s="103"/>
      <c r="L503" s="103"/>
      <c r="M503" s="104"/>
      <c r="N503" s="104"/>
      <c r="O503" s="89"/>
      <c r="P503" s="105"/>
      <c r="AB503" s="64"/>
      <c r="AC503" s="33"/>
      <c r="AD503" s="64"/>
      <c r="AE503" s="64"/>
      <c r="AG503" s="64"/>
    </row>
    <row r="504" spans="4:34">
      <c r="D504" s="51"/>
      <c r="E504" s="51"/>
      <c r="F504" s="81"/>
      <c r="G504" s="81"/>
      <c r="H504" s="81"/>
      <c r="I504" s="15"/>
      <c r="K504" s="103"/>
      <c r="L504" s="103"/>
      <c r="M504" s="104"/>
      <c r="N504" s="104"/>
      <c r="O504" s="89"/>
      <c r="P504" s="105"/>
      <c r="AB504" s="64"/>
      <c r="AC504" s="33"/>
      <c r="AD504" s="64"/>
      <c r="AE504" s="64"/>
      <c r="AG504" s="64"/>
    </row>
    <row r="505" spans="4:34">
      <c r="D505" s="51"/>
      <c r="E505" s="51"/>
      <c r="F505" s="81"/>
      <c r="G505" s="81"/>
      <c r="H505" s="81"/>
      <c r="I505" s="15"/>
      <c r="K505" s="103"/>
      <c r="L505" s="103"/>
      <c r="M505" s="104"/>
      <c r="N505" s="104"/>
      <c r="O505" s="89"/>
      <c r="P505" s="105"/>
      <c r="AB505" s="64"/>
      <c r="AC505" s="33"/>
      <c r="AD505" s="64"/>
      <c r="AE505" s="64"/>
      <c r="AG505" s="64"/>
    </row>
    <row r="506" spans="4:34">
      <c r="D506" s="51"/>
      <c r="E506" s="51"/>
      <c r="F506" s="81"/>
      <c r="G506" s="81"/>
      <c r="H506" s="81"/>
      <c r="I506" s="15"/>
      <c r="K506" s="103"/>
      <c r="L506" s="103"/>
      <c r="M506" s="104"/>
      <c r="N506" s="104"/>
      <c r="O506" s="89"/>
      <c r="P506" s="105"/>
      <c r="AB506" s="64"/>
      <c r="AC506" s="33"/>
      <c r="AD506" s="64"/>
      <c r="AE506" s="64"/>
      <c r="AG506" s="64"/>
    </row>
    <row r="507" spans="4:34">
      <c r="D507" s="51"/>
      <c r="E507" s="51"/>
      <c r="F507" s="81"/>
      <c r="G507" s="81"/>
      <c r="H507" s="81"/>
      <c r="I507" s="15"/>
      <c r="K507" s="103"/>
      <c r="L507" s="103"/>
      <c r="M507" s="104"/>
      <c r="N507" s="104"/>
      <c r="O507" s="89"/>
      <c r="P507" s="105"/>
      <c r="AB507" s="64"/>
      <c r="AC507" s="33"/>
      <c r="AD507" s="64"/>
      <c r="AE507" s="64"/>
      <c r="AG507" s="64"/>
    </row>
    <row r="508" spans="4:34">
      <c r="D508" s="51"/>
      <c r="E508" s="51"/>
      <c r="F508" s="81"/>
      <c r="G508" s="81"/>
      <c r="H508" s="81"/>
      <c r="I508" s="15"/>
      <c r="K508" s="103"/>
      <c r="L508" s="103"/>
      <c r="M508" s="104"/>
      <c r="N508" s="104"/>
      <c r="O508" s="89"/>
      <c r="P508" s="105"/>
      <c r="AB508" s="64"/>
      <c r="AC508" s="33"/>
      <c r="AD508" s="64"/>
      <c r="AE508" s="64"/>
      <c r="AG508" s="64"/>
    </row>
    <row r="509" spans="4:34">
      <c r="D509" s="51"/>
      <c r="E509" s="51"/>
      <c r="F509" s="81"/>
      <c r="G509" s="81"/>
      <c r="H509" s="81"/>
      <c r="I509" s="15"/>
      <c r="K509" s="103"/>
      <c r="L509" s="103"/>
      <c r="M509" s="104"/>
      <c r="N509" s="104"/>
      <c r="O509" s="89"/>
      <c r="P509" s="105"/>
      <c r="AB509" s="64"/>
      <c r="AC509" s="33"/>
      <c r="AD509" s="64"/>
      <c r="AE509" s="64"/>
      <c r="AG509" s="64"/>
    </row>
    <row r="510" spans="4:34">
      <c r="D510" s="51"/>
      <c r="E510" s="51"/>
      <c r="F510" s="81"/>
      <c r="G510" s="81"/>
      <c r="H510" s="81"/>
      <c r="I510" s="15"/>
      <c r="K510" s="103"/>
      <c r="L510" s="103"/>
      <c r="M510" s="104"/>
      <c r="N510" s="104"/>
      <c r="O510" s="89"/>
      <c r="P510" s="105"/>
      <c r="AB510" s="64"/>
      <c r="AC510" s="33"/>
      <c r="AD510" s="64"/>
      <c r="AE510" s="64"/>
      <c r="AG510" s="64"/>
    </row>
    <row r="511" spans="4:34">
      <c r="D511" s="51"/>
      <c r="E511" s="51"/>
      <c r="F511" s="81"/>
      <c r="G511" s="81"/>
      <c r="H511" s="81"/>
      <c r="I511" s="15"/>
      <c r="K511" s="103"/>
      <c r="L511" s="103"/>
      <c r="M511" s="104"/>
      <c r="N511" s="104"/>
      <c r="O511" s="89"/>
      <c r="P511" s="105"/>
      <c r="AB511" s="64"/>
      <c r="AC511" s="33"/>
      <c r="AD511" s="106"/>
      <c r="AE511" s="106"/>
      <c r="AF511" s="107"/>
      <c r="AG511" s="106"/>
      <c r="AH511" s="108"/>
    </row>
    <row r="512" spans="4:34">
      <c r="D512" s="51"/>
      <c r="E512" s="51"/>
      <c r="F512" s="81"/>
      <c r="G512" s="81"/>
      <c r="H512" s="81"/>
      <c r="I512" s="15"/>
      <c r="K512" s="103"/>
      <c r="L512" s="103"/>
      <c r="M512" s="104"/>
      <c r="N512" s="104"/>
      <c r="O512" s="89"/>
      <c r="P512" s="105"/>
      <c r="AB512" s="64"/>
      <c r="AC512" s="33"/>
      <c r="AD512" s="64"/>
      <c r="AE512" s="64"/>
      <c r="AG512" s="64"/>
    </row>
    <row r="513" spans="4:33">
      <c r="D513" s="51"/>
      <c r="E513" s="51"/>
      <c r="F513" s="81"/>
      <c r="G513" s="81"/>
      <c r="H513" s="81"/>
      <c r="I513" s="15"/>
      <c r="K513" s="103"/>
      <c r="L513" s="103"/>
      <c r="M513" s="104"/>
      <c r="N513" s="104"/>
      <c r="O513" s="89"/>
      <c r="P513" s="105"/>
      <c r="AB513" s="64"/>
      <c r="AC513" s="33"/>
      <c r="AD513" s="64"/>
      <c r="AE513" s="64"/>
      <c r="AG513" s="64"/>
    </row>
    <row r="514" spans="4:33">
      <c r="D514" s="51"/>
      <c r="E514" s="51"/>
      <c r="F514" s="81"/>
      <c r="G514" s="81"/>
      <c r="H514" s="81"/>
      <c r="I514" s="15"/>
      <c r="K514" s="103"/>
      <c r="L514" s="103"/>
      <c r="M514" s="104"/>
      <c r="N514" s="104"/>
      <c r="O514" s="89"/>
      <c r="P514" s="105"/>
      <c r="AB514" s="64"/>
      <c r="AC514" s="33"/>
      <c r="AD514" s="64"/>
      <c r="AE514" s="64"/>
      <c r="AG514" s="64"/>
    </row>
    <row r="515" spans="4:33">
      <c r="D515" s="51"/>
      <c r="E515" s="51"/>
      <c r="F515" s="81"/>
      <c r="G515" s="81"/>
      <c r="H515" s="81"/>
      <c r="I515" s="15"/>
      <c r="K515" s="103"/>
      <c r="L515" s="103"/>
      <c r="M515" s="104"/>
      <c r="N515" s="104"/>
      <c r="O515" s="89"/>
      <c r="P515" s="105"/>
      <c r="AB515" s="64"/>
      <c r="AC515" s="33"/>
      <c r="AD515" s="64"/>
      <c r="AE515" s="64"/>
      <c r="AG515" s="64"/>
    </row>
    <row r="516" spans="4:33">
      <c r="D516" s="51"/>
      <c r="E516" s="51"/>
      <c r="F516" s="81"/>
      <c r="G516" s="81"/>
      <c r="H516" s="81"/>
      <c r="I516" s="15"/>
      <c r="K516" s="103"/>
      <c r="L516" s="103"/>
      <c r="M516" s="104"/>
      <c r="N516" s="104"/>
      <c r="O516" s="89"/>
      <c r="P516" s="105"/>
      <c r="AB516" s="64"/>
      <c r="AC516" s="33"/>
      <c r="AD516" s="64"/>
      <c r="AE516" s="64"/>
      <c r="AG516" s="64"/>
    </row>
    <row r="517" spans="4:33">
      <c r="D517" s="51"/>
      <c r="E517" s="51"/>
      <c r="F517" s="81"/>
      <c r="G517" s="81"/>
      <c r="H517" s="81"/>
      <c r="I517" s="15"/>
      <c r="K517" s="103"/>
      <c r="L517" s="103"/>
      <c r="M517" s="104"/>
      <c r="N517" s="104"/>
      <c r="O517" s="89"/>
      <c r="P517" s="105"/>
      <c r="AB517" s="64"/>
      <c r="AC517" s="33"/>
      <c r="AD517" s="64"/>
      <c r="AE517" s="64"/>
      <c r="AG517" s="64"/>
    </row>
    <row r="518" spans="4:33">
      <c r="D518" s="51"/>
      <c r="E518" s="51"/>
      <c r="F518" s="81"/>
      <c r="G518" s="81"/>
      <c r="H518" s="81"/>
      <c r="I518" s="15"/>
      <c r="K518" s="103"/>
      <c r="L518" s="103"/>
      <c r="M518" s="104"/>
      <c r="N518" s="104"/>
      <c r="O518" s="89"/>
      <c r="P518" s="105"/>
      <c r="AB518" s="64"/>
      <c r="AC518" s="33"/>
      <c r="AD518" s="64"/>
      <c r="AE518" s="64"/>
      <c r="AG518" s="64"/>
    </row>
    <row r="519" spans="4:33">
      <c r="D519" s="51"/>
      <c r="E519" s="51"/>
      <c r="F519" s="81"/>
      <c r="G519" s="81"/>
      <c r="H519" s="81"/>
      <c r="I519" s="15"/>
      <c r="K519" s="103"/>
      <c r="L519" s="103"/>
      <c r="M519" s="104"/>
      <c r="N519" s="104"/>
      <c r="O519" s="89"/>
      <c r="P519" s="105"/>
      <c r="AB519" s="64"/>
      <c r="AC519" s="33"/>
      <c r="AD519" s="64"/>
      <c r="AE519" s="64"/>
      <c r="AG519" s="64"/>
    </row>
    <row r="520" spans="4:33">
      <c r="D520" s="51"/>
      <c r="E520" s="51"/>
      <c r="F520" s="81"/>
      <c r="G520" s="81"/>
      <c r="H520" s="81"/>
      <c r="I520" s="15"/>
      <c r="K520" s="103"/>
      <c r="L520" s="103"/>
      <c r="M520" s="104"/>
      <c r="N520" s="104"/>
      <c r="O520" s="89"/>
      <c r="P520" s="105"/>
      <c r="AB520" s="64"/>
      <c r="AC520" s="33"/>
      <c r="AD520" s="64"/>
      <c r="AE520" s="64"/>
      <c r="AG520" s="64"/>
    </row>
    <row r="521" spans="4:33">
      <c r="D521" s="51"/>
      <c r="E521" s="51"/>
      <c r="F521" s="81"/>
      <c r="G521" s="81"/>
      <c r="H521" s="81"/>
      <c r="I521" s="15"/>
      <c r="K521" s="103"/>
      <c r="L521" s="103"/>
      <c r="M521" s="104"/>
      <c r="N521" s="104"/>
      <c r="O521" s="89"/>
      <c r="P521" s="105"/>
      <c r="AB521" s="64"/>
      <c r="AC521" s="33"/>
      <c r="AD521" s="64"/>
      <c r="AE521" s="64"/>
      <c r="AG521" s="64"/>
    </row>
    <row r="522" spans="4:33">
      <c r="D522" s="51"/>
      <c r="E522" s="51"/>
      <c r="F522" s="81"/>
      <c r="G522" s="81"/>
      <c r="H522" s="81"/>
      <c r="I522" s="15"/>
      <c r="K522" s="103"/>
      <c r="L522" s="103"/>
      <c r="M522" s="104"/>
      <c r="N522" s="104"/>
      <c r="O522" s="89"/>
      <c r="P522" s="105"/>
      <c r="AB522" s="64"/>
      <c r="AC522" s="33"/>
      <c r="AD522" s="64"/>
      <c r="AE522" s="64"/>
      <c r="AG522" s="64"/>
    </row>
    <row r="523" spans="4:33">
      <c r="D523" s="51"/>
      <c r="E523" s="51"/>
      <c r="F523" s="81"/>
      <c r="G523" s="81"/>
      <c r="H523" s="81"/>
      <c r="I523" s="15"/>
      <c r="K523" s="103"/>
      <c r="L523" s="103"/>
      <c r="M523" s="104"/>
      <c r="N523" s="104"/>
      <c r="O523" s="89"/>
      <c r="P523" s="105"/>
      <c r="AB523" s="64"/>
      <c r="AC523" s="33"/>
      <c r="AD523" s="64"/>
      <c r="AE523" s="64"/>
      <c r="AG523" s="64"/>
    </row>
    <row r="524" spans="4:33">
      <c r="D524" s="51"/>
      <c r="E524" s="51"/>
      <c r="F524" s="81"/>
      <c r="G524" s="81"/>
      <c r="H524" s="81"/>
      <c r="I524" s="15"/>
      <c r="K524" s="103"/>
      <c r="L524" s="103"/>
      <c r="M524" s="104"/>
      <c r="N524" s="104"/>
      <c r="O524" s="89"/>
      <c r="P524" s="105"/>
      <c r="AB524" s="64"/>
      <c r="AC524" s="33"/>
      <c r="AD524" s="64"/>
      <c r="AE524" s="64"/>
      <c r="AG524" s="64"/>
    </row>
    <row r="525" spans="4:33">
      <c r="D525" s="51"/>
      <c r="E525" s="51"/>
      <c r="F525" s="81"/>
      <c r="G525" s="81"/>
      <c r="H525" s="81"/>
      <c r="I525" s="15"/>
      <c r="K525" s="103"/>
      <c r="L525" s="103"/>
      <c r="M525" s="104"/>
      <c r="N525" s="104"/>
      <c r="O525" s="89"/>
      <c r="P525" s="105"/>
      <c r="AB525" s="64"/>
      <c r="AC525" s="33"/>
      <c r="AD525" s="64"/>
      <c r="AE525" s="64"/>
      <c r="AG525" s="64"/>
    </row>
    <row r="526" spans="4:33">
      <c r="D526" s="51"/>
      <c r="E526" s="51"/>
      <c r="F526" s="81"/>
      <c r="G526" s="81"/>
      <c r="H526" s="81"/>
      <c r="I526" s="15"/>
      <c r="K526" s="103"/>
      <c r="L526" s="103"/>
      <c r="M526" s="104"/>
      <c r="N526" s="104"/>
      <c r="O526" s="89"/>
      <c r="P526" s="105"/>
      <c r="AB526" s="64"/>
      <c r="AC526" s="33"/>
      <c r="AD526" s="64"/>
      <c r="AE526" s="64"/>
      <c r="AG526" s="64"/>
    </row>
    <row r="527" spans="4:33">
      <c r="D527" s="51"/>
      <c r="E527" s="51"/>
      <c r="F527" s="81"/>
      <c r="G527" s="81"/>
      <c r="H527" s="81"/>
      <c r="I527" s="15"/>
      <c r="K527" s="103"/>
      <c r="L527" s="103"/>
      <c r="M527" s="104"/>
      <c r="N527" s="104"/>
      <c r="O527" s="89"/>
      <c r="P527" s="105"/>
      <c r="AB527" s="64"/>
      <c r="AC527" s="33"/>
      <c r="AD527" s="64"/>
      <c r="AE527" s="64"/>
      <c r="AG527" s="64"/>
    </row>
    <row r="528" spans="4:33">
      <c r="D528" s="51"/>
      <c r="E528" s="51"/>
      <c r="F528" s="81"/>
      <c r="G528" s="81"/>
      <c r="H528" s="81"/>
      <c r="I528" s="15"/>
      <c r="K528" s="103"/>
      <c r="L528" s="103"/>
      <c r="M528" s="104"/>
      <c r="N528" s="104"/>
      <c r="O528" s="89"/>
      <c r="P528" s="105"/>
      <c r="AB528" s="64"/>
      <c r="AC528" s="33"/>
      <c r="AD528" s="64"/>
      <c r="AE528" s="64"/>
      <c r="AG528" s="64"/>
    </row>
    <row r="529" spans="4:34">
      <c r="D529" s="51"/>
      <c r="E529" s="51"/>
      <c r="F529" s="81"/>
      <c r="G529" s="81"/>
      <c r="H529" s="81"/>
      <c r="I529" s="15"/>
      <c r="K529" s="103"/>
      <c r="L529" s="103"/>
      <c r="M529" s="104"/>
      <c r="N529" s="104"/>
      <c r="O529" s="89"/>
      <c r="P529" s="105"/>
      <c r="AB529" s="64"/>
      <c r="AC529" s="33"/>
      <c r="AD529" s="64"/>
      <c r="AE529" s="64"/>
      <c r="AG529" s="64"/>
    </row>
    <row r="530" spans="4:34">
      <c r="D530" s="51"/>
      <c r="E530" s="51"/>
      <c r="F530" s="81"/>
      <c r="G530" s="81"/>
      <c r="H530" s="81"/>
      <c r="I530" s="15"/>
      <c r="K530" s="103"/>
      <c r="L530" s="103"/>
      <c r="M530" s="104"/>
      <c r="N530" s="104"/>
      <c r="O530" s="89"/>
      <c r="P530" s="105"/>
      <c r="AB530" s="64"/>
      <c r="AC530" s="33"/>
      <c r="AD530" s="64"/>
      <c r="AE530" s="64"/>
      <c r="AG530" s="64"/>
    </row>
    <row r="531" spans="4:34">
      <c r="D531" s="51"/>
      <c r="E531" s="51"/>
      <c r="F531" s="81"/>
      <c r="G531" s="81"/>
      <c r="H531" s="81"/>
      <c r="I531" s="15"/>
      <c r="K531" s="103"/>
      <c r="L531" s="103"/>
      <c r="M531" s="104"/>
      <c r="N531" s="104"/>
      <c r="O531" s="89"/>
      <c r="P531" s="105"/>
      <c r="AB531" s="64"/>
      <c r="AC531" s="33"/>
      <c r="AD531" s="106"/>
      <c r="AE531" s="106"/>
      <c r="AF531" s="107"/>
      <c r="AG531" s="106"/>
      <c r="AH531" s="108"/>
    </row>
    <row r="532" spans="4:34">
      <c r="D532" s="51"/>
      <c r="E532" s="51"/>
      <c r="F532" s="81"/>
      <c r="G532" s="81"/>
      <c r="H532" s="81"/>
      <c r="I532" s="15"/>
      <c r="K532" s="103"/>
      <c r="L532" s="103"/>
      <c r="M532" s="104"/>
      <c r="N532" s="104"/>
      <c r="O532" s="89"/>
      <c r="P532" s="105"/>
      <c r="AB532" s="64"/>
      <c r="AC532" s="33"/>
      <c r="AD532" s="64"/>
      <c r="AE532" s="64"/>
      <c r="AG532" s="64"/>
    </row>
    <row r="533" spans="4:34">
      <c r="D533" s="51"/>
      <c r="E533" s="51"/>
      <c r="F533" s="81"/>
      <c r="G533" s="81"/>
      <c r="H533" s="81"/>
      <c r="I533" s="15"/>
      <c r="K533" s="103"/>
      <c r="L533" s="103"/>
      <c r="M533" s="104"/>
      <c r="N533" s="104"/>
      <c r="O533" s="89"/>
      <c r="P533" s="105"/>
      <c r="AB533" s="64"/>
      <c r="AC533" s="33"/>
      <c r="AD533" s="64"/>
      <c r="AE533" s="64"/>
      <c r="AG533" s="64"/>
    </row>
    <row r="534" spans="4:34">
      <c r="D534" s="51"/>
      <c r="E534" s="51"/>
      <c r="F534" s="81"/>
      <c r="G534" s="81"/>
      <c r="H534" s="81"/>
      <c r="I534" s="15"/>
      <c r="K534" s="103"/>
      <c r="L534" s="103"/>
      <c r="M534" s="104"/>
      <c r="N534" s="104"/>
      <c r="O534" s="89"/>
      <c r="P534" s="105"/>
      <c r="AB534" s="64"/>
      <c r="AC534" s="33"/>
      <c r="AD534" s="64"/>
      <c r="AE534" s="64"/>
      <c r="AG534" s="64"/>
    </row>
    <row r="535" spans="4:34">
      <c r="D535" s="51"/>
      <c r="E535" s="51"/>
      <c r="F535" s="81"/>
      <c r="G535" s="81"/>
      <c r="H535" s="81"/>
      <c r="I535" s="15"/>
      <c r="K535" s="103"/>
      <c r="L535" s="103"/>
      <c r="M535" s="104"/>
      <c r="N535" s="104"/>
      <c r="O535" s="89"/>
      <c r="P535" s="105"/>
      <c r="AB535" s="64"/>
      <c r="AC535" s="33"/>
      <c r="AD535" s="64"/>
      <c r="AE535" s="64"/>
      <c r="AG535" s="64"/>
    </row>
    <row r="536" spans="4:34">
      <c r="D536" s="51"/>
      <c r="E536" s="51"/>
      <c r="F536" s="81"/>
      <c r="G536" s="81"/>
      <c r="H536" s="81"/>
      <c r="I536" s="15"/>
      <c r="K536" s="103"/>
      <c r="L536" s="103"/>
      <c r="M536" s="104"/>
      <c r="N536" s="104"/>
      <c r="O536" s="89"/>
      <c r="P536" s="105"/>
      <c r="AB536" s="64"/>
      <c r="AC536" s="33"/>
      <c r="AD536" s="64"/>
      <c r="AE536" s="64"/>
      <c r="AG536" s="64"/>
    </row>
    <row r="537" spans="4:34">
      <c r="D537" s="51"/>
      <c r="E537" s="51"/>
      <c r="F537" s="81"/>
      <c r="G537" s="81"/>
      <c r="H537" s="81"/>
      <c r="I537" s="15"/>
      <c r="K537" s="103"/>
      <c r="L537" s="103"/>
      <c r="M537" s="104"/>
      <c r="N537" s="104"/>
      <c r="O537" s="89"/>
      <c r="P537" s="105"/>
      <c r="AB537" s="64"/>
      <c r="AC537" s="33"/>
      <c r="AD537" s="64"/>
      <c r="AE537" s="64"/>
      <c r="AG537" s="64"/>
    </row>
    <row r="538" spans="4:34">
      <c r="D538" s="51"/>
      <c r="E538" s="51"/>
      <c r="F538" s="81"/>
      <c r="G538" s="81"/>
      <c r="H538" s="81"/>
      <c r="I538" s="15"/>
      <c r="K538" s="103"/>
      <c r="L538" s="103"/>
      <c r="M538" s="104"/>
      <c r="N538" s="104"/>
      <c r="O538" s="89"/>
      <c r="P538" s="105"/>
      <c r="AB538" s="64"/>
      <c r="AC538" s="33"/>
      <c r="AD538" s="64"/>
      <c r="AE538" s="64"/>
      <c r="AG538" s="64"/>
    </row>
    <row r="539" spans="4:34">
      <c r="D539" s="51"/>
      <c r="E539" s="51"/>
      <c r="F539" s="81"/>
      <c r="G539" s="81"/>
      <c r="H539" s="81"/>
      <c r="I539" s="15"/>
      <c r="K539" s="103"/>
      <c r="L539" s="103"/>
      <c r="M539" s="104"/>
      <c r="N539" s="104"/>
      <c r="O539" s="89"/>
      <c r="P539" s="105"/>
      <c r="AB539" s="64"/>
      <c r="AC539" s="33"/>
      <c r="AD539" s="64"/>
      <c r="AE539" s="64"/>
      <c r="AG539" s="64"/>
    </row>
    <row r="540" spans="4:34">
      <c r="D540" s="51"/>
      <c r="E540" s="51"/>
      <c r="F540" s="81"/>
      <c r="G540" s="81"/>
      <c r="H540" s="81"/>
      <c r="I540" s="15"/>
      <c r="K540" s="103"/>
      <c r="L540" s="103"/>
      <c r="M540" s="104"/>
      <c r="N540" s="104"/>
      <c r="O540" s="89"/>
      <c r="P540" s="105"/>
      <c r="AB540" s="64"/>
      <c r="AC540" s="33"/>
      <c r="AD540" s="64"/>
      <c r="AE540" s="64"/>
      <c r="AG540" s="64"/>
    </row>
    <row r="541" spans="4:34">
      <c r="D541" s="51"/>
      <c r="E541" s="51"/>
      <c r="F541" s="81"/>
      <c r="G541" s="81"/>
      <c r="H541" s="81"/>
      <c r="I541" s="15"/>
      <c r="K541" s="103"/>
      <c r="L541" s="103"/>
      <c r="M541" s="104"/>
      <c r="N541" s="104"/>
      <c r="O541" s="89"/>
      <c r="P541" s="105"/>
      <c r="AB541" s="64"/>
      <c r="AC541" s="33"/>
      <c r="AD541" s="64"/>
      <c r="AE541" s="64"/>
      <c r="AG541" s="64"/>
    </row>
    <row r="542" spans="4:34">
      <c r="D542" s="51"/>
      <c r="E542" s="51"/>
      <c r="F542" s="81"/>
      <c r="G542" s="81"/>
      <c r="H542" s="81"/>
      <c r="I542" s="15"/>
      <c r="K542" s="103"/>
      <c r="L542" s="103"/>
      <c r="M542" s="104"/>
      <c r="N542" s="104"/>
      <c r="O542" s="89"/>
      <c r="P542" s="105"/>
      <c r="AB542" s="64"/>
      <c r="AC542" s="33"/>
      <c r="AD542" s="64"/>
      <c r="AE542" s="64"/>
      <c r="AG542" s="64"/>
    </row>
    <row r="543" spans="4:34">
      <c r="D543" s="51"/>
      <c r="E543" s="51"/>
      <c r="F543" s="81"/>
      <c r="G543" s="81"/>
      <c r="H543" s="81"/>
      <c r="I543" s="15"/>
      <c r="K543" s="103"/>
      <c r="L543" s="103"/>
      <c r="M543" s="104"/>
      <c r="N543" s="104"/>
      <c r="O543" s="89"/>
      <c r="P543" s="105"/>
      <c r="AB543" s="64"/>
      <c r="AC543" s="33"/>
      <c r="AD543" s="64"/>
      <c r="AE543" s="64"/>
      <c r="AG543" s="64"/>
    </row>
    <row r="544" spans="4:34">
      <c r="D544" s="51"/>
      <c r="E544" s="51"/>
      <c r="F544" s="81"/>
      <c r="G544" s="81"/>
      <c r="H544" s="81"/>
      <c r="I544" s="15"/>
      <c r="K544" s="103"/>
      <c r="L544" s="103"/>
      <c r="M544" s="104"/>
      <c r="N544" s="104"/>
      <c r="O544" s="89"/>
      <c r="P544" s="105"/>
      <c r="AB544" s="64"/>
      <c r="AC544" s="33"/>
      <c r="AD544" s="64"/>
      <c r="AE544" s="64"/>
      <c r="AG544" s="64"/>
    </row>
    <row r="545" spans="4:33">
      <c r="D545" s="51"/>
      <c r="E545" s="51"/>
      <c r="F545" s="81"/>
      <c r="G545" s="81"/>
      <c r="H545" s="81"/>
      <c r="I545" s="15"/>
      <c r="K545" s="103"/>
      <c r="L545" s="103"/>
      <c r="M545" s="104"/>
      <c r="N545" s="104"/>
      <c r="O545" s="89"/>
      <c r="P545" s="105"/>
      <c r="AB545" s="64"/>
      <c r="AC545" s="33"/>
      <c r="AD545" s="64"/>
      <c r="AE545" s="64"/>
      <c r="AG545" s="64"/>
    </row>
    <row r="546" spans="4:33">
      <c r="D546" s="51"/>
      <c r="E546" s="51"/>
      <c r="F546" s="81"/>
      <c r="G546" s="81"/>
      <c r="H546" s="81"/>
      <c r="I546" s="15"/>
      <c r="K546" s="103"/>
      <c r="L546" s="103"/>
      <c r="M546" s="104"/>
      <c r="N546" s="104"/>
      <c r="O546" s="89"/>
      <c r="P546" s="105"/>
      <c r="AB546" s="64"/>
      <c r="AC546" s="33"/>
      <c r="AD546" s="64"/>
      <c r="AE546" s="64"/>
      <c r="AG546" s="64"/>
    </row>
    <row r="547" spans="4:33">
      <c r="D547" s="51"/>
      <c r="E547" s="51"/>
      <c r="F547" s="81"/>
      <c r="G547" s="81"/>
      <c r="H547" s="81"/>
      <c r="I547" s="15"/>
      <c r="K547" s="103"/>
      <c r="L547" s="103"/>
      <c r="M547" s="104"/>
      <c r="N547" s="104"/>
      <c r="O547" s="89"/>
      <c r="P547" s="105"/>
      <c r="AB547" s="64"/>
      <c r="AC547" s="33"/>
      <c r="AD547" s="64"/>
      <c r="AE547" s="64"/>
      <c r="AG547" s="64"/>
    </row>
    <row r="548" spans="4:33">
      <c r="D548" s="51"/>
      <c r="E548" s="51"/>
      <c r="F548" s="81"/>
      <c r="G548" s="81"/>
      <c r="H548" s="81"/>
      <c r="I548" s="15"/>
      <c r="K548" s="103"/>
      <c r="L548" s="103"/>
      <c r="M548" s="104"/>
      <c r="N548" s="104"/>
      <c r="O548" s="89"/>
      <c r="P548" s="105"/>
      <c r="AB548" s="64"/>
      <c r="AC548" s="33"/>
      <c r="AD548" s="64"/>
      <c r="AE548" s="64"/>
      <c r="AG548" s="64"/>
    </row>
    <row r="549" spans="4:33">
      <c r="D549" s="51"/>
      <c r="E549" s="51"/>
      <c r="F549" s="81"/>
      <c r="G549" s="81"/>
      <c r="H549" s="81"/>
      <c r="I549" s="15"/>
      <c r="K549" s="103"/>
      <c r="L549" s="103"/>
      <c r="M549" s="104"/>
      <c r="N549" s="104"/>
      <c r="O549" s="89"/>
      <c r="P549" s="105"/>
      <c r="AB549" s="64"/>
      <c r="AC549" s="33"/>
      <c r="AD549" s="64"/>
      <c r="AE549" s="64"/>
      <c r="AG549" s="64"/>
    </row>
    <row r="550" spans="4:33">
      <c r="D550" s="51"/>
      <c r="E550" s="51"/>
      <c r="F550" s="81"/>
      <c r="G550" s="81"/>
      <c r="H550" s="81"/>
      <c r="I550" s="15"/>
      <c r="K550" s="103"/>
      <c r="L550" s="103"/>
      <c r="M550" s="104"/>
      <c r="N550" s="104"/>
      <c r="O550" s="89"/>
      <c r="P550" s="105"/>
      <c r="AB550" s="64"/>
      <c r="AC550" s="33"/>
      <c r="AD550" s="64"/>
      <c r="AE550" s="64"/>
      <c r="AG550" s="64"/>
    </row>
    <row r="551" spans="4:33">
      <c r="D551" s="51"/>
      <c r="E551" s="51"/>
      <c r="F551" s="81"/>
      <c r="G551" s="81"/>
      <c r="H551" s="81"/>
      <c r="I551" s="15"/>
      <c r="K551" s="103"/>
      <c r="L551" s="103"/>
      <c r="M551" s="104"/>
      <c r="N551" s="104"/>
      <c r="O551" s="89"/>
      <c r="P551" s="105"/>
      <c r="AB551" s="64"/>
      <c r="AC551" s="33"/>
      <c r="AD551" s="64"/>
      <c r="AE551" s="64"/>
      <c r="AG551" s="64"/>
    </row>
    <row r="552" spans="4:33">
      <c r="D552" s="51"/>
      <c r="E552" s="51"/>
      <c r="F552" s="81"/>
      <c r="G552" s="81"/>
      <c r="H552" s="81"/>
      <c r="I552" s="15"/>
      <c r="K552" s="103"/>
      <c r="L552" s="103"/>
      <c r="M552" s="104"/>
      <c r="N552" s="104"/>
      <c r="O552" s="89"/>
      <c r="P552" s="105"/>
      <c r="AB552" s="64"/>
      <c r="AC552" s="33"/>
      <c r="AD552" s="64"/>
      <c r="AE552" s="64"/>
      <c r="AG552" s="64"/>
    </row>
    <row r="553" spans="4:33">
      <c r="D553" s="51"/>
      <c r="E553" s="51"/>
      <c r="F553" s="81"/>
      <c r="G553" s="81"/>
      <c r="H553" s="81"/>
      <c r="I553" s="15"/>
      <c r="K553" s="103"/>
      <c r="L553" s="103"/>
      <c r="M553" s="104"/>
      <c r="N553" s="104"/>
      <c r="O553" s="89"/>
      <c r="P553" s="105"/>
      <c r="AB553" s="64"/>
      <c r="AC553" s="33"/>
      <c r="AD553" s="64"/>
      <c r="AE553" s="64"/>
      <c r="AG553" s="64"/>
    </row>
    <row r="554" spans="4:33">
      <c r="D554" s="51"/>
      <c r="E554" s="51"/>
      <c r="F554" s="81"/>
      <c r="G554" s="81"/>
      <c r="H554" s="81"/>
      <c r="I554" s="15"/>
      <c r="K554" s="103"/>
      <c r="L554" s="103"/>
      <c r="M554" s="104"/>
      <c r="N554" s="104"/>
      <c r="O554" s="89"/>
      <c r="P554" s="105"/>
      <c r="AB554" s="64"/>
      <c r="AC554" s="33"/>
      <c r="AD554" s="64"/>
      <c r="AE554" s="64"/>
      <c r="AG554" s="64"/>
    </row>
    <row r="555" spans="4:33">
      <c r="D555" s="51"/>
      <c r="E555" s="51"/>
      <c r="F555" s="81"/>
      <c r="G555" s="81"/>
      <c r="H555" s="81"/>
      <c r="I555" s="15"/>
      <c r="K555" s="103"/>
      <c r="L555" s="103"/>
      <c r="M555" s="104"/>
      <c r="N555" s="104"/>
      <c r="O555" s="89"/>
      <c r="P555" s="105"/>
      <c r="AB555" s="64"/>
      <c r="AC555" s="33"/>
      <c r="AD555" s="64"/>
      <c r="AE555" s="64"/>
      <c r="AG555" s="64"/>
    </row>
    <row r="556" spans="4:33">
      <c r="D556" s="51"/>
      <c r="E556" s="51"/>
      <c r="F556" s="81"/>
      <c r="G556" s="81"/>
      <c r="H556" s="81"/>
      <c r="I556" s="15"/>
      <c r="K556" s="103"/>
      <c r="L556" s="103"/>
      <c r="M556" s="104"/>
      <c r="N556" s="104"/>
      <c r="O556" s="89"/>
      <c r="P556" s="105"/>
      <c r="AB556" s="64"/>
      <c r="AC556" s="33"/>
      <c r="AD556" s="64"/>
      <c r="AE556" s="64"/>
      <c r="AG556" s="64"/>
    </row>
    <row r="557" spans="4:33">
      <c r="D557" s="51"/>
      <c r="E557" s="51"/>
      <c r="F557" s="81"/>
      <c r="G557" s="81"/>
      <c r="H557" s="81"/>
      <c r="I557" s="15"/>
      <c r="K557" s="103"/>
      <c r="L557" s="103"/>
      <c r="M557" s="104"/>
      <c r="N557" s="104"/>
      <c r="O557" s="89"/>
      <c r="P557" s="105"/>
      <c r="AB557" s="64"/>
      <c r="AC557" s="33"/>
      <c r="AD557" s="64"/>
      <c r="AE557" s="64"/>
      <c r="AG557" s="64"/>
    </row>
    <row r="558" spans="4:33">
      <c r="D558" s="51"/>
      <c r="E558" s="51"/>
      <c r="F558" s="81"/>
      <c r="G558" s="81"/>
      <c r="H558" s="81"/>
      <c r="I558" s="15"/>
      <c r="K558" s="103"/>
      <c r="L558" s="103"/>
      <c r="M558" s="104"/>
      <c r="N558" s="104"/>
      <c r="O558" s="89"/>
      <c r="P558" s="105"/>
      <c r="AB558" s="64"/>
      <c r="AC558" s="33"/>
      <c r="AD558" s="64"/>
      <c r="AE558" s="64"/>
      <c r="AG558" s="64"/>
    </row>
    <row r="559" spans="4:33">
      <c r="D559" s="51"/>
      <c r="E559" s="51"/>
      <c r="F559" s="81"/>
      <c r="G559" s="81"/>
      <c r="H559" s="81"/>
      <c r="I559" s="15"/>
      <c r="K559" s="103"/>
      <c r="L559" s="103"/>
      <c r="M559" s="104"/>
      <c r="N559" s="104"/>
      <c r="O559" s="89"/>
      <c r="P559" s="105"/>
      <c r="AB559" s="64"/>
      <c r="AC559" s="33"/>
      <c r="AD559" s="64"/>
      <c r="AE559" s="64"/>
      <c r="AG559" s="64"/>
    </row>
    <row r="560" spans="4:33">
      <c r="D560" s="51"/>
      <c r="E560" s="51"/>
      <c r="F560" s="81"/>
      <c r="G560" s="81"/>
      <c r="H560" s="81"/>
      <c r="I560" s="15"/>
      <c r="K560" s="103"/>
      <c r="L560" s="103"/>
      <c r="M560" s="104"/>
      <c r="N560" s="104"/>
      <c r="O560" s="89"/>
      <c r="P560" s="105"/>
      <c r="AB560" s="64"/>
      <c r="AC560" s="33"/>
      <c r="AD560" s="64"/>
      <c r="AE560" s="64"/>
      <c r="AG560" s="64"/>
    </row>
    <row r="561" spans="4:34">
      <c r="D561" s="51"/>
      <c r="E561" s="51"/>
      <c r="F561" s="81"/>
      <c r="G561" s="81"/>
      <c r="H561" s="81"/>
      <c r="I561" s="15"/>
      <c r="K561" s="103"/>
      <c r="L561" s="103"/>
      <c r="M561" s="104"/>
      <c r="N561" s="104"/>
      <c r="O561" s="89"/>
      <c r="P561" s="105"/>
      <c r="AB561" s="64"/>
      <c r="AC561" s="33"/>
      <c r="AD561" s="64"/>
      <c r="AE561" s="64"/>
      <c r="AG561" s="64"/>
    </row>
    <row r="562" spans="4:34">
      <c r="D562" s="51"/>
      <c r="E562" s="51"/>
      <c r="F562" s="81"/>
      <c r="G562" s="81"/>
      <c r="H562" s="81"/>
      <c r="I562" s="15"/>
      <c r="K562" s="103"/>
      <c r="L562" s="103"/>
      <c r="M562" s="104"/>
      <c r="N562" s="104"/>
      <c r="O562" s="89"/>
      <c r="P562" s="105"/>
      <c r="AB562" s="64"/>
      <c r="AC562" s="33"/>
      <c r="AD562" s="64"/>
      <c r="AE562" s="64"/>
      <c r="AG562" s="64"/>
    </row>
    <row r="563" spans="4:34">
      <c r="D563" s="51"/>
      <c r="E563" s="51"/>
      <c r="F563" s="81"/>
      <c r="G563" s="81"/>
      <c r="H563" s="81"/>
      <c r="I563" s="15"/>
      <c r="K563" s="103"/>
      <c r="L563" s="103"/>
      <c r="M563" s="104"/>
      <c r="N563" s="104"/>
      <c r="O563" s="89"/>
      <c r="P563" s="105"/>
      <c r="AB563" s="64"/>
      <c r="AC563" s="33"/>
      <c r="AD563" s="106"/>
      <c r="AE563" s="106"/>
      <c r="AF563" s="107"/>
      <c r="AG563" s="106"/>
      <c r="AH563" s="108"/>
    </row>
    <row r="564" spans="4:34">
      <c r="D564" s="51"/>
      <c r="E564" s="51"/>
      <c r="F564" s="81"/>
      <c r="G564" s="81"/>
      <c r="H564" s="81"/>
      <c r="I564" s="15"/>
      <c r="K564" s="103"/>
      <c r="L564" s="103"/>
      <c r="M564" s="104"/>
      <c r="N564" s="104"/>
      <c r="O564" s="89"/>
      <c r="P564" s="105"/>
      <c r="AB564" s="64"/>
      <c r="AC564" s="33"/>
      <c r="AD564" s="64"/>
      <c r="AE564" s="64"/>
      <c r="AG564" s="64"/>
    </row>
    <row r="565" spans="4:34">
      <c r="D565" s="51"/>
      <c r="E565" s="51"/>
      <c r="F565" s="81"/>
      <c r="G565" s="81"/>
      <c r="H565" s="81"/>
      <c r="I565" s="15"/>
      <c r="K565" s="103"/>
      <c r="L565" s="103"/>
      <c r="M565" s="104"/>
      <c r="N565" s="104"/>
      <c r="O565" s="89"/>
      <c r="P565" s="105"/>
      <c r="AB565" s="64"/>
      <c r="AC565" s="33"/>
      <c r="AD565" s="64"/>
      <c r="AE565" s="64"/>
      <c r="AG565" s="64"/>
    </row>
    <row r="566" spans="4:34">
      <c r="D566" s="51"/>
      <c r="E566" s="51"/>
      <c r="F566" s="81"/>
      <c r="G566" s="81"/>
      <c r="H566" s="81"/>
      <c r="I566" s="15"/>
      <c r="K566" s="103"/>
      <c r="L566" s="103"/>
      <c r="M566" s="104"/>
      <c r="N566" s="104"/>
      <c r="O566" s="89"/>
      <c r="P566" s="105"/>
      <c r="AB566" s="64"/>
      <c r="AC566" s="33"/>
      <c r="AD566" s="64"/>
      <c r="AE566" s="64"/>
      <c r="AG566" s="64"/>
    </row>
    <row r="567" spans="4:34">
      <c r="D567" s="51"/>
      <c r="E567" s="51"/>
      <c r="F567" s="81"/>
      <c r="G567" s="81"/>
      <c r="H567" s="81"/>
      <c r="I567" s="15"/>
      <c r="K567" s="103"/>
      <c r="L567" s="103"/>
      <c r="M567" s="104"/>
      <c r="N567" s="104"/>
      <c r="O567" s="89"/>
      <c r="P567" s="105"/>
      <c r="AB567" s="64"/>
      <c r="AC567" s="33"/>
      <c r="AD567" s="64"/>
      <c r="AE567" s="64"/>
      <c r="AG567" s="64"/>
    </row>
    <row r="568" spans="4:34">
      <c r="D568" s="51"/>
      <c r="E568" s="51"/>
      <c r="F568" s="81"/>
      <c r="G568" s="81"/>
      <c r="H568" s="81"/>
      <c r="I568" s="15"/>
      <c r="K568" s="103"/>
      <c r="L568" s="103"/>
      <c r="M568" s="104"/>
      <c r="N568" s="104"/>
      <c r="O568" s="89"/>
      <c r="P568" s="105"/>
      <c r="AB568" s="64"/>
      <c r="AC568" s="33"/>
      <c r="AD568" s="64"/>
      <c r="AE568" s="64"/>
      <c r="AG568" s="64"/>
    </row>
    <row r="569" spans="4:34">
      <c r="D569" s="51"/>
      <c r="E569" s="51"/>
      <c r="F569" s="81"/>
      <c r="G569" s="81"/>
      <c r="H569" s="81"/>
      <c r="I569" s="15"/>
      <c r="K569" s="103"/>
      <c r="L569" s="103"/>
      <c r="M569" s="104"/>
      <c r="N569" s="104"/>
      <c r="O569" s="89"/>
      <c r="P569" s="105"/>
      <c r="AB569" s="64"/>
      <c r="AC569" s="33"/>
      <c r="AD569" s="64"/>
      <c r="AE569" s="64"/>
      <c r="AG569" s="64"/>
    </row>
    <row r="570" spans="4:34">
      <c r="D570" s="51"/>
      <c r="E570" s="51"/>
      <c r="F570" s="81"/>
      <c r="G570" s="81"/>
      <c r="H570" s="81"/>
      <c r="I570" s="15"/>
      <c r="K570" s="103"/>
      <c r="L570" s="103"/>
      <c r="M570" s="104"/>
      <c r="N570" s="104"/>
      <c r="O570" s="89"/>
      <c r="P570" s="105"/>
      <c r="AB570" s="64"/>
      <c r="AC570" s="33"/>
      <c r="AD570" s="64"/>
      <c r="AE570" s="64"/>
      <c r="AG570" s="64"/>
    </row>
    <row r="571" spans="4:34">
      <c r="D571" s="51"/>
      <c r="E571" s="51"/>
      <c r="F571" s="81"/>
      <c r="G571" s="81"/>
      <c r="H571" s="81"/>
      <c r="I571" s="15"/>
      <c r="K571" s="103"/>
      <c r="L571" s="103"/>
      <c r="M571" s="104"/>
      <c r="N571" s="104"/>
      <c r="O571" s="89"/>
      <c r="P571" s="105"/>
      <c r="AB571" s="64"/>
      <c r="AC571" s="33"/>
      <c r="AD571" s="64"/>
      <c r="AE571" s="64"/>
      <c r="AG571" s="64"/>
    </row>
    <row r="572" spans="4:34">
      <c r="D572" s="51"/>
      <c r="E572" s="51"/>
      <c r="F572" s="81"/>
      <c r="G572" s="81"/>
      <c r="H572" s="81"/>
      <c r="I572" s="15"/>
      <c r="K572" s="103"/>
      <c r="L572" s="103"/>
      <c r="M572" s="104"/>
      <c r="N572" s="104"/>
      <c r="O572" s="89"/>
      <c r="P572" s="105"/>
      <c r="AB572" s="64"/>
      <c r="AC572" s="33"/>
      <c r="AD572" s="64"/>
      <c r="AE572" s="64"/>
      <c r="AG572" s="64"/>
    </row>
    <row r="573" spans="4:34">
      <c r="D573" s="51"/>
      <c r="E573" s="51"/>
      <c r="F573" s="81"/>
      <c r="G573" s="81"/>
      <c r="H573" s="81"/>
      <c r="I573" s="15"/>
      <c r="K573" s="103"/>
      <c r="L573" s="103"/>
      <c r="M573" s="104"/>
      <c r="N573" s="104"/>
      <c r="O573" s="89"/>
      <c r="P573" s="105"/>
      <c r="AB573" s="64"/>
      <c r="AC573" s="33"/>
      <c r="AD573" s="64"/>
      <c r="AE573" s="64"/>
      <c r="AG573" s="64"/>
    </row>
    <row r="574" spans="4:34">
      <c r="D574" s="51"/>
      <c r="E574" s="51"/>
      <c r="F574" s="81"/>
      <c r="G574" s="81"/>
      <c r="H574" s="81"/>
      <c r="I574" s="15"/>
      <c r="K574" s="103"/>
      <c r="L574" s="103"/>
      <c r="M574" s="104"/>
      <c r="N574" s="104"/>
      <c r="O574" s="89"/>
      <c r="P574" s="105"/>
      <c r="AB574" s="64"/>
      <c r="AC574" s="33"/>
      <c r="AD574" s="64"/>
      <c r="AE574" s="64"/>
      <c r="AG574" s="64"/>
    </row>
    <row r="575" spans="4:34">
      <c r="D575" s="51"/>
      <c r="E575" s="51"/>
      <c r="F575" s="81"/>
      <c r="G575" s="81"/>
      <c r="H575" s="81"/>
      <c r="I575" s="15"/>
      <c r="K575" s="103"/>
      <c r="L575" s="103"/>
      <c r="M575" s="104"/>
      <c r="N575" s="104"/>
      <c r="O575" s="89"/>
      <c r="P575" s="105"/>
      <c r="AB575" s="64"/>
      <c r="AC575" s="33"/>
      <c r="AD575" s="64"/>
      <c r="AE575" s="64"/>
      <c r="AG575" s="64"/>
    </row>
    <row r="576" spans="4:34">
      <c r="D576" s="51"/>
      <c r="E576" s="51"/>
      <c r="F576" s="81"/>
      <c r="G576" s="81"/>
      <c r="H576" s="81"/>
      <c r="I576" s="15"/>
      <c r="K576" s="103"/>
      <c r="L576" s="103"/>
      <c r="M576" s="104"/>
      <c r="N576" s="104"/>
      <c r="O576" s="89"/>
      <c r="P576" s="105"/>
      <c r="AB576" s="64"/>
      <c r="AC576" s="33"/>
      <c r="AD576" s="64"/>
      <c r="AE576" s="64"/>
      <c r="AG576" s="64"/>
    </row>
    <row r="577" spans="4:33">
      <c r="D577" s="51"/>
      <c r="E577" s="51"/>
      <c r="F577" s="81"/>
      <c r="G577" s="81"/>
      <c r="H577" s="81"/>
      <c r="I577" s="15"/>
      <c r="K577" s="103"/>
      <c r="L577" s="103"/>
      <c r="M577" s="104"/>
      <c r="N577" s="104"/>
      <c r="O577" s="89"/>
      <c r="P577" s="105"/>
      <c r="AB577" s="64"/>
      <c r="AC577" s="33"/>
      <c r="AD577" s="64"/>
      <c r="AE577" s="64"/>
      <c r="AG577" s="64"/>
    </row>
    <row r="578" spans="4:33">
      <c r="D578" s="51"/>
      <c r="E578" s="51"/>
      <c r="F578" s="81"/>
      <c r="G578" s="81"/>
      <c r="H578" s="81"/>
      <c r="I578" s="15"/>
      <c r="K578" s="103"/>
      <c r="L578" s="103"/>
      <c r="M578" s="104"/>
      <c r="N578" s="104"/>
      <c r="O578" s="89"/>
      <c r="P578" s="105"/>
      <c r="AB578" s="64"/>
      <c r="AC578" s="33"/>
      <c r="AD578" s="64"/>
      <c r="AE578" s="64"/>
      <c r="AG578" s="64"/>
    </row>
    <row r="579" spans="4:33">
      <c r="D579" s="51"/>
      <c r="E579" s="51"/>
      <c r="F579" s="81"/>
      <c r="G579" s="81"/>
      <c r="H579" s="81"/>
      <c r="I579" s="15"/>
      <c r="K579" s="103"/>
      <c r="L579" s="103"/>
      <c r="M579" s="104"/>
      <c r="N579" s="104"/>
      <c r="O579" s="89"/>
      <c r="P579" s="105"/>
      <c r="AB579" s="64"/>
      <c r="AC579" s="33"/>
      <c r="AD579" s="64"/>
      <c r="AE579" s="64"/>
      <c r="AG579" s="64"/>
    </row>
    <row r="580" spans="4:33">
      <c r="D580" s="51"/>
      <c r="E580" s="51"/>
      <c r="F580" s="81"/>
      <c r="G580" s="81"/>
      <c r="H580" s="81"/>
      <c r="I580" s="15"/>
      <c r="K580" s="103"/>
      <c r="L580" s="103"/>
      <c r="M580" s="104"/>
      <c r="N580" s="104"/>
      <c r="O580" s="89"/>
      <c r="P580" s="105"/>
      <c r="AB580" s="64"/>
      <c r="AC580" s="33"/>
      <c r="AD580" s="64"/>
      <c r="AE580" s="64"/>
      <c r="AG580" s="64"/>
    </row>
    <row r="581" spans="4:33">
      <c r="D581" s="51"/>
      <c r="E581" s="51"/>
      <c r="F581" s="81"/>
      <c r="G581" s="81"/>
      <c r="H581" s="81"/>
      <c r="I581" s="15"/>
      <c r="K581" s="103"/>
      <c r="L581" s="103"/>
      <c r="M581" s="104"/>
      <c r="N581" s="104"/>
      <c r="O581" s="89"/>
      <c r="P581" s="105"/>
      <c r="AB581" s="64"/>
      <c r="AC581" s="33"/>
      <c r="AD581" s="64"/>
      <c r="AE581" s="64"/>
      <c r="AG581" s="64"/>
    </row>
    <row r="582" spans="4:33">
      <c r="D582" s="51"/>
      <c r="E582" s="51"/>
      <c r="F582" s="81"/>
      <c r="G582" s="81"/>
      <c r="H582" s="81"/>
      <c r="I582" s="15"/>
      <c r="K582" s="103"/>
      <c r="L582" s="103"/>
      <c r="M582" s="104"/>
      <c r="N582" s="104"/>
      <c r="O582" s="89"/>
      <c r="P582" s="105"/>
      <c r="AB582" s="64"/>
      <c r="AC582" s="33"/>
      <c r="AD582" s="64"/>
      <c r="AE582" s="64"/>
      <c r="AG582" s="64"/>
    </row>
    <row r="583" spans="4:33">
      <c r="D583" s="51"/>
      <c r="E583" s="51"/>
      <c r="F583" s="81"/>
      <c r="G583" s="81"/>
      <c r="H583" s="81"/>
      <c r="I583" s="15"/>
      <c r="K583" s="103"/>
      <c r="L583" s="103"/>
      <c r="M583" s="104"/>
      <c r="N583" s="104"/>
      <c r="O583" s="89"/>
      <c r="P583" s="105"/>
      <c r="AB583" s="64"/>
      <c r="AC583" s="33"/>
      <c r="AD583" s="64"/>
      <c r="AE583" s="64"/>
      <c r="AG583" s="64"/>
    </row>
    <row r="584" spans="4:33">
      <c r="D584" s="51"/>
      <c r="E584" s="51"/>
      <c r="F584" s="81"/>
      <c r="G584" s="81"/>
      <c r="H584" s="81"/>
      <c r="I584" s="15"/>
      <c r="K584" s="103"/>
      <c r="L584" s="103"/>
      <c r="M584" s="104"/>
      <c r="N584" s="104"/>
      <c r="O584" s="89"/>
      <c r="P584" s="105"/>
      <c r="AB584" s="64"/>
      <c r="AC584" s="33"/>
      <c r="AD584" s="64"/>
      <c r="AE584" s="64"/>
      <c r="AG584" s="64"/>
    </row>
    <row r="585" spans="4:33">
      <c r="D585" s="51"/>
      <c r="E585" s="51"/>
      <c r="F585" s="81"/>
      <c r="G585" s="81"/>
      <c r="H585" s="81"/>
      <c r="I585" s="15"/>
      <c r="K585" s="103"/>
      <c r="L585" s="103"/>
      <c r="M585" s="104"/>
      <c r="N585" s="104"/>
      <c r="O585" s="89"/>
      <c r="P585" s="105"/>
      <c r="AB585" s="64"/>
      <c r="AC585" s="33"/>
      <c r="AD585" s="64"/>
      <c r="AE585" s="64"/>
      <c r="AG585" s="64"/>
    </row>
    <row r="586" spans="4:33">
      <c r="D586" s="51"/>
      <c r="E586" s="51"/>
      <c r="F586" s="81"/>
      <c r="G586" s="81"/>
      <c r="H586" s="81"/>
      <c r="I586" s="15"/>
      <c r="K586" s="103"/>
      <c r="L586" s="103"/>
      <c r="M586" s="104"/>
      <c r="N586" s="104"/>
      <c r="O586" s="89"/>
      <c r="P586" s="105"/>
      <c r="AB586" s="64"/>
      <c r="AC586" s="33"/>
      <c r="AD586" s="64"/>
      <c r="AE586" s="64"/>
      <c r="AG586" s="64"/>
    </row>
    <row r="587" spans="4:33">
      <c r="D587" s="51"/>
      <c r="E587" s="51"/>
      <c r="F587" s="81"/>
      <c r="G587" s="81"/>
      <c r="H587" s="81"/>
      <c r="I587" s="15"/>
      <c r="K587" s="103"/>
      <c r="L587" s="103"/>
      <c r="M587" s="104"/>
      <c r="N587" s="104"/>
      <c r="O587" s="89"/>
      <c r="P587" s="105"/>
      <c r="AB587" s="64"/>
      <c r="AC587" s="33"/>
      <c r="AD587" s="64"/>
      <c r="AE587" s="64"/>
      <c r="AG587" s="64"/>
    </row>
    <row r="588" spans="4:33">
      <c r="D588" s="51"/>
      <c r="E588" s="51"/>
      <c r="F588" s="81"/>
      <c r="G588" s="81"/>
      <c r="H588" s="81"/>
      <c r="I588" s="15"/>
      <c r="K588" s="103"/>
      <c r="L588" s="103"/>
      <c r="M588" s="104"/>
      <c r="N588" s="104"/>
      <c r="O588" s="89"/>
      <c r="P588" s="105"/>
      <c r="AB588" s="64"/>
      <c r="AC588" s="33"/>
      <c r="AD588" s="64"/>
      <c r="AE588" s="64"/>
      <c r="AG588" s="64"/>
    </row>
    <row r="589" spans="4:33">
      <c r="D589" s="51"/>
      <c r="E589" s="51"/>
      <c r="F589" s="81"/>
      <c r="G589" s="81"/>
      <c r="H589" s="81"/>
      <c r="I589" s="15"/>
      <c r="K589" s="103"/>
      <c r="L589" s="103"/>
      <c r="M589" s="104"/>
      <c r="N589" s="104"/>
      <c r="O589" s="89"/>
      <c r="P589" s="105"/>
      <c r="AB589" s="64"/>
      <c r="AC589" s="33"/>
      <c r="AD589" s="64"/>
      <c r="AE589" s="64"/>
      <c r="AG589" s="64"/>
    </row>
    <row r="590" spans="4:33">
      <c r="D590" s="51"/>
      <c r="E590" s="51"/>
      <c r="F590" s="81"/>
      <c r="G590" s="81"/>
      <c r="H590" s="81"/>
      <c r="I590" s="15"/>
      <c r="K590" s="103"/>
      <c r="L590" s="103"/>
      <c r="M590" s="104"/>
      <c r="N590" s="104"/>
      <c r="O590" s="89"/>
      <c r="P590" s="105"/>
      <c r="AB590" s="64"/>
      <c r="AC590" s="33"/>
      <c r="AD590" s="64"/>
      <c r="AE590" s="64"/>
      <c r="AG590" s="64"/>
    </row>
    <row r="591" spans="4:33">
      <c r="D591" s="51"/>
      <c r="E591" s="51"/>
      <c r="F591" s="81"/>
      <c r="G591" s="81"/>
      <c r="H591" s="81"/>
      <c r="I591" s="15"/>
      <c r="K591" s="103"/>
      <c r="L591" s="103"/>
      <c r="M591" s="104"/>
      <c r="N591" s="104"/>
      <c r="O591" s="89"/>
      <c r="P591" s="105"/>
      <c r="AB591" s="64"/>
      <c r="AC591" s="33"/>
      <c r="AD591" s="64"/>
      <c r="AE591" s="64"/>
      <c r="AG591" s="64"/>
    </row>
    <row r="592" spans="4:33">
      <c r="D592" s="51"/>
      <c r="E592" s="51"/>
      <c r="F592" s="81"/>
      <c r="G592" s="81"/>
      <c r="H592" s="81"/>
      <c r="I592" s="15"/>
      <c r="K592" s="103"/>
      <c r="L592" s="103"/>
      <c r="M592" s="104"/>
      <c r="N592" s="104"/>
      <c r="O592" s="89"/>
      <c r="P592" s="105"/>
      <c r="AB592" s="64"/>
      <c r="AC592" s="33"/>
      <c r="AD592" s="64"/>
      <c r="AE592" s="64"/>
      <c r="AG592" s="64"/>
    </row>
    <row r="593" spans="4:33">
      <c r="D593" s="51"/>
      <c r="E593" s="51"/>
      <c r="F593" s="81"/>
      <c r="G593" s="81"/>
      <c r="H593" s="81"/>
      <c r="I593" s="15"/>
      <c r="K593" s="103"/>
      <c r="L593" s="103"/>
      <c r="M593" s="104"/>
      <c r="N593" s="104"/>
      <c r="O593" s="89"/>
      <c r="P593" s="105"/>
      <c r="AB593" s="64"/>
      <c r="AC593" s="33"/>
      <c r="AD593" s="64"/>
      <c r="AE593" s="64"/>
      <c r="AG593" s="64"/>
    </row>
    <row r="594" spans="4:33">
      <c r="D594" s="51"/>
      <c r="E594" s="51"/>
      <c r="F594" s="81"/>
      <c r="G594" s="81"/>
      <c r="H594" s="81"/>
      <c r="I594" s="15"/>
      <c r="K594" s="103"/>
      <c r="L594" s="103"/>
      <c r="M594" s="104"/>
      <c r="N594" s="104"/>
      <c r="O594" s="89"/>
      <c r="P594" s="105"/>
      <c r="AB594" s="64"/>
      <c r="AC594" s="33"/>
      <c r="AD594" s="64"/>
      <c r="AE594" s="64"/>
      <c r="AG594" s="64"/>
    </row>
    <row r="595" spans="4:33">
      <c r="D595" s="51"/>
      <c r="E595" s="51"/>
      <c r="F595" s="81"/>
      <c r="G595" s="81"/>
      <c r="H595" s="81"/>
      <c r="I595" s="15"/>
      <c r="K595" s="103"/>
      <c r="L595" s="103"/>
      <c r="M595" s="104"/>
      <c r="N595" s="104"/>
      <c r="O595" s="89"/>
      <c r="P595" s="105"/>
      <c r="AB595" s="64"/>
      <c r="AC595" s="33"/>
      <c r="AD595" s="64"/>
      <c r="AE595" s="64"/>
      <c r="AG595" s="64"/>
    </row>
    <row r="596" spans="4:33">
      <c r="D596" s="51"/>
      <c r="E596" s="51"/>
      <c r="F596" s="81"/>
      <c r="G596" s="81"/>
      <c r="H596" s="81"/>
      <c r="I596" s="15"/>
      <c r="K596" s="103"/>
      <c r="L596" s="103"/>
      <c r="M596" s="104"/>
      <c r="N596" s="104"/>
      <c r="O596" s="89"/>
      <c r="P596" s="105"/>
      <c r="AB596" s="64"/>
      <c r="AC596" s="33"/>
      <c r="AD596" s="64"/>
      <c r="AE596" s="64"/>
      <c r="AG596" s="64"/>
    </row>
    <row r="597" spans="4:33">
      <c r="D597" s="51"/>
      <c r="E597" s="51"/>
      <c r="F597" s="81"/>
      <c r="G597" s="81"/>
      <c r="H597" s="81"/>
      <c r="I597" s="15"/>
      <c r="K597" s="103"/>
      <c r="L597" s="103"/>
      <c r="M597" s="104"/>
      <c r="N597" s="104"/>
      <c r="O597" s="89"/>
      <c r="P597" s="105"/>
      <c r="AB597" s="64"/>
      <c r="AC597" s="33"/>
      <c r="AD597" s="64"/>
      <c r="AE597" s="64"/>
      <c r="AG597" s="64"/>
    </row>
    <row r="598" spans="4:33">
      <c r="D598" s="51"/>
      <c r="E598" s="51"/>
      <c r="F598" s="81"/>
      <c r="G598" s="81"/>
      <c r="H598" s="81"/>
      <c r="I598" s="15"/>
      <c r="K598" s="103"/>
      <c r="L598" s="103"/>
      <c r="M598" s="104"/>
      <c r="N598" s="104"/>
      <c r="O598" s="89"/>
      <c r="P598" s="105"/>
      <c r="AB598" s="64"/>
      <c r="AC598" s="33"/>
      <c r="AD598" s="64"/>
      <c r="AE598" s="64"/>
      <c r="AG598" s="64"/>
    </row>
    <row r="599" spans="4:33">
      <c r="D599" s="51"/>
      <c r="E599" s="51"/>
      <c r="F599" s="81"/>
      <c r="G599" s="81"/>
      <c r="H599" s="81"/>
      <c r="I599" s="15"/>
      <c r="K599" s="103"/>
      <c r="L599" s="103"/>
      <c r="M599" s="104"/>
      <c r="N599" s="104"/>
      <c r="O599" s="89"/>
      <c r="P599" s="105"/>
      <c r="AB599" s="64"/>
      <c r="AC599" s="33"/>
      <c r="AD599" s="64"/>
      <c r="AE599" s="64"/>
      <c r="AG599" s="64"/>
    </row>
    <row r="600" spans="4:33">
      <c r="D600" s="51"/>
      <c r="E600" s="51"/>
      <c r="F600" s="81"/>
      <c r="G600" s="81"/>
      <c r="H600" s="81"/>
      <c r="I600" s="15"/>
      <c r="K600" s="103"/>
      <c r="L600" s="103"/>
      <c r="M600" s="104"/>
      <c r="N600" s="104"/>
      <c r="O600" s="89"/>
      <c r="P600" s="105"/>
      <c r="AB600" s="64"/>
      <c r="AC600" s="33"/>
      <c r="AD600" s="64"/>
      <c r="AE600" s="64"/>
      <c r="AG600" s="64"/>
    </row>
    <row r="601" spans="4:33">
      <c r="D601" s="51"/>
      <c r="E601" s="51"/>
      <c r="F601" s="81"/>
      <c r="G601" s="81"/>
      <c r="H601" s="81"/>
      <c r="I601" s="15"/>
      <c r="K601" s="103"/>
      <c r="L601" s="103"/>
      <c r="M601" s="104"/>
      <c r="N601" s="104"/>
      <c r="O601" s="89"/>
      <c r="P601" s="105"/>
      <c r="AB601" s="64"/>
      <c r="AC601" s="33"/>
      <c r="AD601" s="64"/>
      <c r="AE601" s="64"/>
      <c r="AG601" s="64"/>
    </row>
    <row r="602" spans="4:33">
      <c r="D602" s="51"/>
      <c r="E602" s="51"/>
      <c r="F602" s="81"/>
      <c r="G602" s="81"/>
      <c r="H602" s="81"/>
      <c r="I602" s="15"/>
      <c r="K602" s="103"/>
      <c r="L602" s="103"/>
      <c r="M602" s="104"/>
      <c r="N602" s="104"/>
      <c r="O602" s="89"/>
      <c r="P602" s="105"/>
      <c r="AB602" s="64"/>
      <c r="AC602" s="33"/>
      <c r="AD602" s="64"/>
      <c r="AE602" s="64"/>
      <c r="AG602" s="64"/>
    </row>
    <row r="603" spans="4:33">
      <c r="D603" s="51"/>
      <c r="E603" s="51"/>
      <c r="F603" s="81"/>
      <c r="G603" s="81"/>
      <c r="H603" s="81"/>
      <c r="I603" s="15"/>
      <c r="K603" s="103"/>
      <c r="L603" s="103"/>
      <c r="M603" s="104"/>
      <c r="N603" s="104"/>
      <c r="O603" s="89"/>
      <c r="P603" s="105"/>
      <c r="AB603" s="64"/>
      <c r="AC603" s="33"/>
      <c r="AD603" s="64"/>
      <c r="AE603" s="64"/>
      <c r="AG603" s="64"/>
    </row>
    <row r="604" spans="4:33">
      <c r="D604" s="51"/>
      <c r="E604" s="51"/>
      <c r="F604" s="81"/>
      <c r="G604" s="81"/>
      <c r="H604" s="81"/>
      <c r="I604" s="15"/>
      <c r="K604" s="103"/>
      <c r="L604" s="103"/>
      <c r="M604" s="104"/>
      <c r="N604" s="104"/>
      <c r="O604" s="89"/>
      <c r="P604" s="105"/>
      <c r="AB604" s="64"/>
      <c r="AC604" s="33"/>
      <c r="AD604" s="64"/>
      <c r="AE604" s="64"/>
      <c r="AG604" s="64"/>
    </row>
    <row r="605" spans="4:33">
      <c r="D605" s="51"/>
      <c r="E605" s="51"/>
      <c r="F605" s="81"/>
      <c r="G605" s="81"/>
      <c r="H605" s="81"/>
      <c r="I605" s="15"/>
      <c r="K605" s="103"/>
      <c r="L605" s="103"/>
      <c r="M605" s="104"/>
      <c r="N605" s="104"/>
      <c r="O605" s="89"/>
      <c r="P605" s="105"/>
      <c r="AB605" s="64"/>
      <c r="AC605" s="33"/>
      <c r="AD605" s="64"/>
      <c r="AE605" s="64"/>
      <c r="AG605" s="64"/>
    </row>
    <row r="606" spans="4:33">
      <c r="D606" s="51"/>
      <c r="E606" s="51"/>
      <c r="F606" s="81"/>
      <c r="G606" s="81"/>
      <c r="H606" s="81"/>
      <c r="I606" s="15"/>
      <c r="K606" s="103"/>
      <c r="L606" s="103"/>
      <c r="M606" s="104"/>
      <c r="N606" s="104"/>
      <c r="O606" s="89"/>
      <c r="P606" s="105"/>
      <c r="AB606" s="64"/>
      <c r="AC606" s="33"/>
      <c r="AD606" s="64"/>
      <c r="AE606" s="64"/>
      <c r="AG606" s="64"/>
    </row>
    <row r="607" spans="4:33">
      <c r="D607" s="51"/>
      <c r="E607" s="51"/>
      <c r="F607" s="81"/>
      <c r="G607" s="81"/>
      <c r="H607" s="81"/>
      <c r="I607" s="15"/>
      <c r="K607" s="103"/>
      <c r="L607" s="103"/>
      <c r="M607" s="104"/>
      <c r="N607" s="104"/>
      <c r="O607" s="89"/>
      <c r="P607" s="105"/>
      <c r="AB607" s="64"/>
      <c r="AC607" s="33"/>
      <c r="AD607" s="64"/>
      <c r="AE607" s="64"/>
      <c r="AG607" s="64"/>
    </row>
    <row r="608" spans="4:33">
      <c r="D608" s="51"/>
      <c r="E608" s="51"/>
      <c r="F608" s="81"/>
      <c r="G608" s="81"/>
      <c r="H608" s="81"/>
      <c r="I608" s="15"/>
      <c r="K608" s="103"/>
      <c r="L608" s="103"/>
      <c r="M608" s="104"/>
      <c r="N608" s="104"/>
      <c r="O608" s="89"/>
      <c r="P608" s="105"/>
      <c r="AB608" s="64"/>
      <c r="AC608" s="33"/>
      <c r="AD608" s="64"/>
      <c r="AE608" s="64"/>
      <c r="AG608" s="64"/>
    </row>
    <row r="609" spans="4:33">
      <c r="D609" s="51"/>
      <c r="E609" s="51"/>
      <c r="F609" s="81"/>
      <c r="G609" s="81"/>
      <c r="H609" s="81"/>
      <c r="I609" s="15"/>
      <c r="K609" s="103"/>
      <c r="L609" s="103"/>
      <c r="M609" s="104"/>
      <c r="N609" s="104"/>
      <c r="O609" s="89"/>
      <c r="P609" s="105"/>
      <c r="AB609" s="64"/>
      <c r="AC609" s="33"/>
      <c r="AD609" s="64"/>
      <c r="AE609" s="64"/>
      <c r="AG609" s="64"/>
    </row>
    <row r="610" spans="4:33">
      <c r="D610" s="51"/>
      <c r="E610" s="51"/>
      <c r="F610" s="81"/>
      <c r="G610" s="81"/>
      <c r="H610" s="81"/>
      <c r="I610" s="15"/>
      <c r="K610" s="103"/>
      <c r="L610" s="103"/>
      <c r="M610" s="104"/>
      <c r="N610" s="104"/>
      <c r="O610" s="89"/>
      <c r="P610" s="105"/>
      <c r="AB610" s="64"/>
      <c r="AC610" s="33"/>
      <c r="AD610" s="64"/>
      <c r="AE610" s="64"/>
      <c r="AG610" s="64"/>
    </row>
    <row r="611" spans="4:33">
      <c r="D611" s="51"/>
      <c r="E611" s="51"/>
      <c r="F611" s="81"/>
      <c r="G611" s="81"/>
      <c r="H611" s="81"/>
      <c r="I611" s="15"/>
      <c r="K611" s="103"/>
      <c r="L611" s="103"/>
      <c r="M611" s="104"/>
      <c r="N611" s="104"/>
      <c r="O611" s="89"/>
      <c r="P611" s="105"/>
      <c r="AB611" s="64"/>
      <c r="AC611" s="33"/>
      <c r="AD611" s="64"/>
      <c r="AE611" s="64"/>
      <c r="AG611" s="64"/>
    </row>
    <row r="612" spans="4:33">
      <c r="D612" s="51"/>
      <c r="E612" s="51"/>
      <c r="F612" s="81"/>
      <c r="G612" s="81"/>
      <c r="H612" s="81"/>
      <c r="I612" s="15"/>
      <c r="K612" s="103"/>
      <c r="L612" s="103"/>
      <c r="M612" s="104"/>
      <c r="N612" s="104"/>
      <c r="O612" s="89"/>
      <c r="P612" s="105"/>
      <c r="AB612" s="64"/>
      <c r="AC612" s="33"/>
      <c r="AD612" s="64"/>
      <c r="AE612" s="64"/>
      <c r="AG612" s="64"/>
    </row>
    <row r="613" spans="4:33">
      <c r="D613" s="51"/>
      <c r="E613" s="51"/>
      <c r="F613" s="81"/>
      <c r="G613" s="81"/>
      <c r="H613" s="81"/>
      <c r="I613" s="15"/>
      <c r="K613" s="103"/>
      <c r="L613" s="103"/>
      <c r="M613" s="104"/>
      <c r="N613" s="104"/>
      <c r="O613" s="89"/>
      <c r="P613" s="105"/>
      <c r="AB613" s="64"/>
      <c r="AC613" s="33"/>
      <c r="AD613" s="64"/>
      <c r="AE613" s="64"/>
      <c r="AG613" s="64"/>
    </row>
    <row r="614" spans="4:33">
      <c r="D614" s="51"/>
      <c r="E614" s="51"/>
      <c r="F614" s="81"/>
      <c r="G614" s="81"/>
      <c r="H614" s="81"/>
      <c r="I614" s="15"/>
      <c r="K614" s="103"/>
      <c r="L614" s="103"/>
      <c r="M614" s="104"/>
      <c r="N614" s="104"/>
      <c r="O614" s="89"/>
      <c r="P614" s="105"/>
      <c r="AB614" s="64"/>
      <c r="AC614" s="33"/>
      <c r="AD614" s="64"/>
      <c r="AE614" s="64"/>
      <c r="AG614" s="64"/>
    </row>
    <row r="615" spans="4:33">
      <c r="D615" s="51"/>
      <c r="E615" s="51"/>
      <c r="F615" s="81"/>
      <c r="G615" s="81"/>
      <c r="H615" s="81"/>
      <c r="I615" s="15"/>
      <c r="K615" s="103"/>
      <c r="L615" s="103"/>
      <c r="M615" s="104"/>
      <c r="N615" s="104"/>
      <c r="O615" s="89"/>
      <c r="P615" s="105"/>
      <c r="AB615" s="64"/>
      <c r="AC615" s="33"/>
      <c r="AD615" s="64"/>
      <c r="AE615" s="64"/>
      <c r="AG615" s="64"/>
    </row>
    <row r="616" spans="4:33">
      <c r="D616" s="51"/>
      <c r="E616" s="51"/>
      <c r="F616" s="81"/>
      <c r="G616" s="81"/>
      <c r="H616" s="81"/>
      <c r="I616" s="15"/>
      <c r="K616" s="103"/>
      <c r="L616" s="103"/>
      <c r="M616" s="104"/>
      <c r="N616" s="104"/>
      <c r="O616" s="89"/>
      <c r="P616" s="105"/>
      <c r="AB616" s="64"/>
      <c r="AC616" s="33"/>
      <c r="AD616" s="64"/>
      <c r="AE616" s="64"/>
      <c r="AG616" s="64"/>
    </row>
    <row r="617" spans="4:33">
      <c r="D617" s="51"/>
      <c r="E617" s="51"/>
      <c r="F617" s="81"/>
      <c r="G617" s="81"/>
      <c r="H617" s="81"/>
      <c r="I617" s="15"/>
      <c r="K617" s="103"/>
      <c r="L617" s="103"/>
      <c r="M617" s="104"/>
      <c r="N617" s="104"/>
      <c r="O617" s="89"/>
      <c r="P617" s="105"/>
      <c r="AB617" s="64"/>
      <c r="AC617" s="33"/>
      <c r="AD617" s="64"/>
      <c r="AE617" s="64"/>
      <c r="AG617" s="64"/>
    </row>
    <row r="618" spans="4:33">
      <c r="D618" s="51"/>
      <c r="E618" s="51"/>
      <c r="F618" s="81"/>
      <c r="G618" s="81"/>
      <c r="H618" s="81"/>
      <c r="I618" s="15"/>
      <c r="K618" s="103"/>
      <c r="L618" s="103"/>
      <c r="M618" s="104"/>
      <c r="N618" s="104"/>
      <c r="O618" s="89"/>
      <c r="P618" s="105"/>
      <c r="AB618" s="64"/>
      <c r="AC618" s="33"/>
      <c r="AD618" s="64"/>
      <c r="AE618" s="64"/>
      <c r="AG618" s="64"/>
    </row>
    <row r="619" spans="4:33">
      <c r="D619" s="51"/>
      <c r="E619" s="51"/>
      <c r="F619" s="81"/>
      <c r="G619" s="81"/>
      <c r="H619" s="81"/>
      <c r="I619" s="15"/>
      <c r="K619" s="103"/>
      <c r="L619" s="103"/>
      <c r="M619" s="104"/>
      <c r="N619" s="104"/>
      <c r="O619" s="89"/>
      <c r="P619" s="105"/>
      <c r="AB619" s="64"/>
      <c r="AC619" s="33"/>
      <c r="AD619" s="64"/>
      <c r="AE619" s="64"/>
      <c r="AG619" s="64"/>
    </row>
    <row r="620" spans="4:33">
      <c r="D620" s="51"/>
      <c r="E620" s="51"/>
      <c r="F620" s="81"/>
      <c r="G620" s="81"/>
      <c r="H620" s="81"/>
      <c r="I620" s="15"/>
      <c r="K620" s="103"/>
      <c r="L620" s="103"/>
      <c r="M620" s="104"/>
      <c r="N620" s="104"/>
      <c r="O620" s="89"/>
      <c r="P620" s="105"/>
      <c r="AB620" s="64"/>
      <c r="AC620" s="33"/>
      <c r="AD620" s="64"/>
      <c r="AE620" s="64"/>
      <c r="AG620" s="64"/>
    </row>
    <row r="621" spans="4:33">
      <c r="D621" s="51"/>
      <c r="E621" s="51"/>
      <c r="F621" s="81"/>
      <c r="G621" s="81"/>
      <c r="H621" s="81"/>
      <c r="I621" s="15"/>
      <c r="K621" s="103"/>
      <c r="L621" s="103"/>
      <c r="M621" s="104"/>
      <c r="N621" s="104"/>
      <c r="O621" s="89"/>
      <c r="P621" s="105"/>
      <c r="AB621" s="64"/>
      <c r="AC621" s="33"/>
      <c r="AD621" s="64"/>
      <c r="AE621" s="64"/>
      <c r="AG621" s="64"/>
    </row>
    <row r="622" spans="4:33">
      <c r="D622" s="51"/>
      <c r="E622" s="51"/>
      <c r="F622" s="81"/>
      <c r="G622" s="81"/>
      <c r="H622" s="81"/>
      <c r="I622" s="15"/>
      <c r="K622" s="103"/>
      <c r="L622" s="103"/>
      <c r="M622" s="104"/>
      <c r="N622" s="104"/>
      <c r="O622" s="89"/>
      <c r="P622" s="105"/>
      <c r="AB622" s="64"/>
      <c r="AC622" s="33"/>
      <c r="AD622" s="64"/>
      <c r="AE622" s="64"/>
      <c r="AG622" s="64"/>
    </row>
    <row r="623" spans="4:33">
      <c r="D623" s="51"/>
      <c r="E623" s="51"/>
      <c r="F623" s="81"/>
      <c r="G623" s="81"/>
      <c r="H623" s="81"/>
      <c r="I623" s="15"/>
      <c r="K623" s="103"/>
      <c r="L623" s="103"/>
      <c r="M623" s="104"/>
      <c r="N623" s="104"/>
      <c r="O623" s="89"/>
      <c r="P623" s="105"/>
      <c r="AB623" s="64"/>
      <c r="AC623" s="33"/>
      <c r="AD623" s="64"/>
      <c r="AE623" s="64"/>
      <c r="AG623" s="64"/>
    </row>
    <row r="624" spans="4:33">
      <c r="D624" s="51"/>
      <c r="E624" s="51"/>
      <c r="F624" s="81"/>
      <c r="G624" s="81"/>
      <c r="H624" s="81"/>
      <c r="I624" s="15"/>
      <c r="K624" s="103"/>
      <c r="L624" s="103"/>
      <c r="M624" s="104"/>
      <c r="N624" s="104"/>
      <c r="O624" s="89"/>
      <c r="P624" s="105"/>
      <c r="AB624" s="64"/>
      <c r="AC624" s="33"/>
      <c r="AD624" s="64"/>
      <c r="AE624" s="64"/>
      <c r="AG624" s="64"/>
    </row>
    <row r="625" spans="4:33">
      <c r="D625" s="51"/>
      <c r="E625" s="51"/>
      <c r="F625" s="81"/>
      <c r="G625" s="81"/>
      <c r="H625" s="81"/>
      <c r="I625" s="15"/>
      <c r="K625" s="103"/>
      <c r="L625" s="103"/>
      <c r="M625" s="104"/>
      <c r="N625" s="104"/>
      <c r="O625" s="89"/>
      <c r="P625" s="105"/>
      <c r="AB625" s="64"/>
      <c r="AC625" s="33"/>
      <c r="AD625" s="64"/>
      <c r="AE625" s="64"/>
      <c r="AG625" s="64"/>
    </row>
    <row r="626" spans="4:33">
      <c r="D626" s="51"/>
      <c r="E626" s="51"/>
      <c r="F626" s="81"/>
      <c r="G626" s="81"/>
      <c r="H626" s="81"/>
      <c r="I626" s="15"/>
      <c r="K626" s="103"/>
      <c r="L626" s="103"/>
      <c r="M626" s="104"/>
      <c r="N626" s="104"/>
      <c r="O626" s="89"/>
      <c r="P626" s="105"/>
      <c r="AB626" s="64"/>
      <c r="AC626" s="33"/>
      <c r="AD626" s="64"/>
      <c r="AE626" s="64"/>
      <c r="AG626" s="64"/>
    </row>
    <row r="627" spans="4:33">
      <c r="D627" s="51"/>
      <c r="E627" s="51"/>
      <c r="F627" s="81"/>
      <c r="G627" s="81"/>
      <c r="H627" s="81"/>
      <c r="I627" s="15"/>
      <c r="K627" s="103"/>
      <c r="L627" s="103"/>
      <c r="M627" s="104"/>
      <c r="N627" s="104"/>
      <c r="O627" s="89"/>
      <c r="P627" s="105"/>
      <c r="AB627" s="64"/>
      <c r="AC627" s="33"/>
      <c r="AD627" s="64"/>
      <c r="AE627" s="64"/>
      <c r="AG627" s="64"/>
    </row>
    <row r="628" spans="4:33">
      <c r="D628" s="51"/>
      <c r="E628" s="51"/>
      <c r="F628" s="81"/>
      <c r="G628" s="81"/>
      <c r="H628" s="81"/>
      <c r="I628" s="15"/>
      <c r="K628" s="103"/>
      <c r="L628" s="103"/>
      <c r="M628" s="104"/>
      <c r="N628" s="104"/>
      <c r="O628" s="89"/>
      <c r="P628" s="105"/>
      <c r="AB628" s="64"/>
      <c r="AC628" s="33"/>
      <c r="AD628" s="64"/>
      <c r="AE628" s="64"/>
      <c r="AG628" s="64"/>
    </row>
    <row r="629" spans="4:33">
      <c r="D629" s="51"/>
      <c r="E629" s="51"/>
      <c r="F629" s="81"/>
      <c r="G629" s="81"/>
      <c r="H629" s="81"/>
      <c r="I629" s="15"/>
      <c r="K629" s="103"/>
      <c r="L629" s="103"/>
      <c r="M629" s="104"/>
      <c r="N629" s="104"/>
      <c r="O629" s="89"/>
      <c r="P629" s="105"/>
      <c r="AB629" s="64"/>
      <c r="AC629" s="33"/>
      <c r="AD629" s="64"/>
      <c r="AE629" s="64"/>
      <c r="AG629" s="64"/>
    </row>
    <row r="630" spans="4:33">
      <c r="D630" s="51"/>
      <c r="E630" s="51"/>
      <c r="F630" s="81"/>
      <c r="G630" s="81"/>
      <c r="H630" s="81"/>
      <c r="I630" s="15"/>
      <c r="K630" s="103"/>
      <c r="L630" s="103"/>
      <c r="M630" s="104"/>
      <c r="N630" s="104"/>
      <c r="O630" s="89"/>
      <c r="P630" s="105"/>
      <c r="AB630" s="64"/>
      <c r="AC630" s="33"/>
      <c r="AD630" s="64"/>
      <c r="AE630" s="64"/>
      <c r="AG630" s="64"/>
    </row>
    <row r="631" spans="4:33">
      <c r="D631" s="51"/>
      <c r="E631" s="51"/>
      <c r="F631" s="81"/>
      <c r="G631" s="81"/>
      <c r="H631" s="81"/>
      <c r="I631" s="15"/>
      <c r="K631" s="103"/>
      <c r="L631" s="103"/>
      <c r="M631" s="104"/>
      <c r="N631" s="104"/>
      <c r="O631" s="89"/>
      <c r="P631" s="105"/>
      <c r="AB631" s="64"/>
      <c r="AC631" s="33"/>
      <c r="AD631" s="64"/>
      <c r="AE631" s="64"/>
      <c r="AG631" s="64"/>
    </row>
    <row r="632" spans="4:33">
      <c r="D632" s="51"/>
      <c r="E632" s="51"/>
      <c r="F632" s="81"/>
      <c r="G632" s="81"/>
      <c r="H632" s="81"/>
      <c r="I632" s="15"/>
      <c r="K632" s="103"/>
      <c r="L632" s="103"/>
      <c r="M632" s="104"/>
      <c r="N632" s="104"/>
      <c r="O632" s="89"/>
      <c r="P632" s="105"/>
      <c r="AB632" s="64"/>
      <c r="AC632" s="33"/>
      <c r="AD632" s="64"/>
      <c r="AE632" s="64"/>
      <c r="AG632" s="64"/>
    </row>
    <row r="633" spans="4:33">
      <c r="D633" s="51"/>
      <c r="E633" s="51"/>
      <c r="F633" s="81"/>
      <c r="G633" s="81"/>
      <c r="H633" s="81"/>
      <c r="I633" s="15"/>
      <c r="K633" s="103"/>
      <c r="L633" s="103"/>
      <c r="M633" s="104"/>
      <c r="N633" s="104"/>
      <c r="O633" s="89"/>
      <c r="P633" s="105"/>
      <c r="AB633" s="64"/>
      <c r="AC633" s="33"/>
      <c r="AD633" s="64"/>
      <c r="AE633" s="64"/>
      <c r="AG633" s="64"/>
    </row>
    <row r="634" spans="4:33">
      <c r="D634" s="51"/>
      <c r="E634" s="51"/>
      <c r="F634" s="81"/>
      <c r="G634" s="81"/>
      <c r="H634" s="81"/>
      <c r="I634" s="15"/>
      <c r="K634" s="103"/>
      <c r="L634" s="103"/>
      <c r="M634" s="104"/>
      <c r="N634" s="104"/>
      <c r="O634" s="89"/>
      <c r="P634" s="105"/>
      <c r="AB634" s="64"/>
      <c r="AC634" s="33"/>
      <c r="AD634" s="64"/>
      <c r="AE634" s="64"/>
      <c r="AG634" s="64"/>
    </row>
    <row r="635" spans="4:33">
      <c r="D635" s="51"/>
      <c r="E635" s="51"/>
      <c r="F635" s="81"/>
      <c r="G635" s="81"/>
      <c r="H635" s="81"/>
      <c r="I635" s="15"/>
      <c r="K635" s="103"/>
      <c r="L635" s="103"/>
      <c r="M635" s="104"/>
      <c r="N635" s="104"/>
      <c r="O635" s="89"/>
      <c r="P635" s="105"/>
      <c r="AB635" s="64"/>
      <c r="AC635" s="33"/>
      <c r="AD635" s="64"/>
      <c r="AE635" s="64"/>
      <c r="AG635" s="64"/>
    </row>
    <row r="636" spans="4:33">
      <c r="D636" s="51"/>
      <c r="E636" s="51"/>
      <c r="F636" s="81"/>
      <c r="G636" s="81"/>
      <c r="H636" s="81"/>
      <c r="I636" s="15"/>
      <c r="K636" s="103"/>
      <c r="L636" s="103"/>
      <c r="M636" s="104"/>
      <c r="N636" s="104"/>
      <c r="O636" s="89"/>
      <c r="P636" s="105"/>
      <c r="AB636" s="64"/>
      <c r="AC636" s="33"/>
      <c r="AD636" s="64"/>
      <c r="AE636" s="64"/>
      <c r="AG636" s="64"/>
    </row>
    <row r="637" spans="4:33">
      <c r="D637" s="51"/>
      <c r="E637" s="51"/>
      <c r="F637" s="81"/>
      <c r="G637" s="81"/>
      <c r="H637" s="81"/>
      <c r="I637" s="15"/>
      <c r="K637" s="103"/>
      <c r="L637" s="103"/>
      <c r="M637" s="104"/>
      <c r="N637" s="104"/>
      <c r="O637" s="89"/>
      <c r="P637" s="105"/>
      <c r="AB637" s="64"/>
      <c r="AC637" s="33"/>
      <c r="AD637" s="64"/>
      <c r="AE637" s="64"/>
      <c r="AG637" s="64"/>
    </row>
    <row r="638" spans="4:33">
      <c r="D638" s="51"/>
      <c r="E638" s="51"/>
      <c r="F638" s="81"/>
      <c r="G638" s="81"/>
      <c r="H638" s="81"/>
      <c r="I638" s="15"/>
      <c r="K638" s="103"/>
      <c r="L638" s="103"/>
      <c r="M638" s="104"/>
      <c r="N638" s="104"/>
      <c r="O638" s="89"/>
      <c r="P638" s="105"/>
      <c r="AB638" s="64"/>
      <c r="AC638" s="33"/>
      <c r="AD638" s="64"/>
      <c r="AE638" s="64"/>
      <c r="AG638" s="64"/>
    </row>
    <row r="639" spans="4:33">
      <c r="D639" s="51"/>
      <c r="E639" s="51"/>
      <c r="F639" s="81"/>
      <c r="G639" s="81"/>
      <c r="H639" s="81"/>
      <c r="I639" s="15"/>
      <c r="K639" s="103"/>
      <c r="L639" s="103"/>
      <c r="M639" s="104"/>
      <c r="N639" s="104"/>
      <c r="O639" s="89"/>
      <c r="P639" s="105"/>
      <c r="AB639" s="64"/>
      <c r="AC639" s="33"/>
      <c r="AD639" s="64"/>
      <c r="AE639" s="64"/>
      <c r="AG639" s="64"/>
    </row>
    <row r="640" spans="4:33">
      <c r="D640" s="51"/>
      <c r="E640" s="51"/>
      <c r="F640" s="81"/>
      <c r="G640" s="81"/>
      <c r="H640" s="81"/>
      <c r="I640" s="15"/>
      <c r="K640" s="103"/>
      <c r="L640" s="103"/>
      <c r="M640" s="104"/>
      <c r="N640" s="104"/>
      <c r="O640" s="89"/>
      <c r="P640" s="105"/>
      <c r="AB640" s="64"/>
      <c r="AC640" s="33"/>
      <c r="AD640" s="64"/>
      <c r="AE640" s="64"/>
      <c r="AG640" s="64"/>
    </row>
    <row r="641" spans="4:33">
      <c r="D641" s="51"/>
      <c r="E641" s="51"/>
      <c r="F641" s="81"/>
      <c r="G641" s="81"/>
      <c r="H641" s="81"/>
      <c r="I641" s="15"/>
      <c r="K641" s="103"/>
      <c r="L641" s="103"/>
      <c r="M641" s="104"/>
      <c r="N641" s="104"/>
      <c r="O641" s="89"/>
      <c r="P641" s="105"/>
      <c r="AB641" s="64"/>
      <c r="AC641" s="33"/>
      <c r="AD641" s="64"/>
      <c r="AE641" s="64"/>
      <c r="AG641" s="64"/>
    </row>
    <row r="642" spans="4:33">
      <c r="D642" s="51"/>
      <c r="E642" s="51"/>
      <c r="F642" s="81"/>
      <c r="G642" s="81"/>
      <c r="H642" s="81"/>
      <c r="I642" s="15"/>
      <c r="K642" s="103"/>
      <c r="L642" s="103"/>
      <c r="M642" s="104"/>
      <c r="N642" s="104"/>
      <c r="O642" s="89"/>
      <c r="P642" s="105"/>
      <c r="AB642" s="64"/>
      <c r="AC642" s="33"/>
      <c r="AD642" s="64"/>
      <c r="AE642" s="64"/>
      <c r="AG642" s="64"/>
    </row>
    <row r="643" spans="4:33">
      <c r="D643" s="51"/>
      <c r="E643" s="51"/>
      <c r="F643" s="81"/>
      <c r="G643" s="81"/>
      <c r="H643" s="81"/>
      <c r="I643" s="15"/>
      <c r="K643" s="103"/>
      <c r="L643" s="103"/>
      <c r="M643" s="104"/>
      <c r="N643" s="104"/>
      <c r="O643" s="89"/>
      <c r="P643" s="105"/>
      <c r="AB643" s="64"/>
      <c r="AC643" s="33"/>
      <c r="AD643" s="64"/>
      <c r="AE643" s="64"/>
      <c r="AG643" s="64"/>
    </row>
    <row r="644" spans="4:33">
      <c r="D644" s="51"/>
      <c r="E644" s="51"/>
      <c r="F644" s="81"/>
      <c r="G644" s="81"/>
      <c r="H644" s="81"/>
      <c r="I644" s="15"/>
      <c r="K644" s="103"/>
      <c r="L644" s="103"/>
      <c r="M644" s="104"/>
      <c r="N644" s="104"/>
      <c r="O644" s="89"/>
      <c r="P644" s="105"/>
      <c r="AB644" s="64"/>
      <c r="AC644" s="33"/>
      <c r="AD644" s="64"/>
      <c r="AE644" s="64"/>
      <c r="AG644" s="64"/>
    </row>
    <row r="645" spans="4:33">
      <c r="D645" s="51"/>
      <c r="E645" s="51"/>
      <c r="F645" s="81"/>
      <c r="G645" s="81"/>
      <c r="H645" s="81"/>
      <c r="I645" s="15"/>
      <c r="K645" s="103"/>
      <c r="L645" s="103"/>
      <c r="M645" s="104"/>
      <c r="N645" s="104"/>
      <c r="O645" s="89"/>
      <c r="P645" s="105"/>
      <c r="AB645" s="64"/>
      <c r="AC645" s="33"/>
      <c r="AD645" s="64"/>
      <c r="AE645" s="64"/>
      <c r="AG645" s="64"/>
    </row>
    <row r="646" spans="4:33">
      <c r="D646" s="51"/>
      <c r="E646" s="51"/>
      <c r="F646" s="81"/>
      <c r="G646" s="81"/>
      <c r="H646" s="81"/>
      <c r="I646" s="15"/>
      <c r="K646" s="103"/>
      <c r="L646" s="103"/>
      <c r="M646" s="104"/>
      <c r="N646" s="104"/>
      <c r="O646" s="89"/>
      <c r="P646" s="105"/>
      <c r="AB646" s="64"/>
      <c r="AC646" s="33"/>
      <c r="AD646" s="64"/>
      <c r="AE646" s="64"/>
      <c r="AG646" s="64"/>
    </row>
    <row r="647" spans="4:33">
      <c r="D647" s="51"/>
      <c r="E647" s="51"/>
      <c r="F647" s="81"/>
      <c r="G647" s="81"/>
      <c r="H647" s="81"/>
      <c r="I647" s="15"/>
      <c r="K647" s="103"/>
      <c r="L647" s="103"/>
      <c r="M647" s="104"/>
      <c r="N647" s="104"/>
      <c r="O647" s="89"/>
      <c r="P647" s="105"/>
      <c r="AB647" s="64"/>
      <c r="AC647" s="33"/>
      <c r="AD647" s="64"/>
      <c r="AE647" s="64"/>
      <c r="AG647" s="64"/>
    </row>
    <row r="648" spans="4:33">
      <c r="D648" s="51"/>
      <c r="E648" s="51"/>
      <c r="F648" s="81"/>
      <c r="G648" s="81"/>
      <c r="H648" s="81"/>
      <c r="I648" s="15"/>
      <c r="K648" s="103"/>
      <c r="L648" s="103"/>
      <c r="M648" s="104"/>
      <c r="N648" s="104"/>
      <c r="O648" s="89"/>
      <c r="P648" s="105"/>
      <c r="AB648" s="64"/>
      <c r="AC648" s="33"/>
      <c r="AD648" s="64"/>
      <c r="AE648" s="64"/>
      <c r="AG648" s="64"/>
    </row>
    <row r="649" spans="4:33">
      <c r="D649" s="51"/>
      <c r="E649" s="51"/>
      <c r="F649" s="81"/>
      <c r="G649" s="81"/>
      <c r="H649" s="81"/>
      <c r="I649" s="15"/>
      <c r="K649" s="103"/>
      <c r="L649" s="103"/>
      <c r="M649" s="104"/>
      <c r="N649" s="104"/>
      <c r="O649" s="89"/>
      <c r="P649" s="105"/>
      <c r="AB649" s="64"/>
      <c r="AC649" s="33"/>
      <c r="AD649" s="64"/>
      <c r="AE649" s="64"/>
      <c r="AG649" s="64"/>
    </row>
    <row r="650" spans="4:33">
      <c r="D650" s="51"/>
      <c r="E650" s="51"/>
      <c r="F650" s="81"/>
      <c r="G650" s="81"/>
      <c r="H650" s="81"/>
      <c r="I650" s="15"/>
      <c r="K650" s="103"/>
      <c r="L650" s="103"/>
      <c r="M650" s="104"/>
      <c r="N650" s="104"/>
      <c r="O650" s="89"/>
      <c r="P650" s="105"/>
      <c r="AB650" s="64"/>
      <c r="AC650" s="33"/>
      <c r="AD650" s="64"/>
      <c r="AE650" s="64"/>
      <c r="AG650" s="64"/>
    </row>
    <row r="651" spans="4:33">
      <c r="D651" s="51"/>
      <c r="E651" s="51"/>
      <c r="F651" s="81"/>
      <c r="G651" s="81"/>
      <c r="H651" s="81"/>
      <c r="I651" s="15"/>
      <c r="K651" s="103"/>
      <c r="L651" s="103"/>
      <c r="M651" s="104"/>
      <c r="N651" s="104"/>
      <c r="O651" s="89"/>
      <c r="P651" s="105"/>
      <c r="AB651" s="64"/>
      <c r="AC651" s="33"/>
      <c r="AD651" s="64"/>
      <c r="AE651" s="64"/>
      <c r="AG651" s="64"/>
    </row>
    <row r="652" spans="4:33">
      <c r="D652" s="51"/>
      <c r="E652" s="51"/>
      <c r="F652" s="81"/>
      <c r="G652" s="81"/>
      <c r="H652" s="81"/>
      <c r="I652" s="15"/>
      <c r="K652" s="103"/>
      <c r="L652" s="103"/>
      <c r="M652" s="104"/>
      <c r="N652" s="104"/>
      <c r="O652" s="89"/>
      <c r="P652" s="105"/>
      <c r="AB652" s="64"/>
      <c r="AC652" s="33"/>
      <c r="AD652" s="64"/>
      <c r="AE652" s="64"/>
      <c r="AG652" s="64"/>
    </row>
    <row r="653" spans="4:33">
      <c r="D653" s="51"/>
      <c r="E653" s="51"/>
      <c r="F653" s="81"/>
      <c r="G653" s="81"/>
      <c r="H653" s="81"/>
      <c r="I653" s="15"/>
      <c r="K653" s="103"/>
      <c r="L653" s="103"/>
      <c r="M653" s="104"/>
      <c r="N653" s="104"/>
      <c r="O653" s="89"/>
      <c r="P653" s="105"/>
      <c r="AB653" s="64"/>
      <c r="AC653" s="33"/>
      <c r="AD653" s="64"/>
      <c r="AE653" s="64"/>
      <c r="AG653" s="64"/>
    </row>
    <row r="654" spans="4:33">
      <c r="D654" s="51"/>
      <c r="E654" s="51"/>
      <c r="F654" s="81"/>
      <c r="G654" s="81"/>
      <c r="H654" s="81"/>
      <c r="I654" s="15"/>
      <c r="K654" s="103"/>
      <c r="L654" s="103"/>
      <c r="M654" s="104"/>
      <c r="N654" s="104"/>
      <c r="O654" s="89"/>
      <c r="P654" s="105"/>
      <c r="AB654" s="64"/>
      <c r="AC654" s="33"/>
      <c r="AD654" s="64"/>
      <c r="AE654" s="64"/>
      <c r="AG654" s="64"/>
    </row>
    <row r="655" spans="4:33">
      <c r="D655" s="51"/>
      <c r="E655" s="51"/>
      <c r="F655" s="81"/>
      <c r="G655" s="81"/>
      <c r="H655" s="81"/>
      <c r="I655" s="15"/>
      <c r="K655" s="103"/>
      <c r="L655" s="103"/>
      <c r="M655" s="104"/>
      <c r="N655" s="104"/>
      <c r="O655" s="89"/>
      <c r="P655" s="105"/>
      <c r="AB655" s="64"/>
      <c r="AC655" s="33"/>
      <c r="AD655" s="64"/>
      <c r="AE655" s="64"/>
      <c r="AG655" s="64"/>
    </row>
    <row r="656" spans="4:33">
      <c r="D656" s="51"/>
      <c r="E656" s="51"/>
      <c r="F656" s="81"/>
      <c r="G656" s="81"/>
      <c r="H656" s="81"/>
      <c r="I656" s="15"/>
      <c r="K656" s="103"/>
      <c r="L656" s="103"/>
      <c r="M656" s="104"/>
      <c r="N656" s="104"/>
      <c r="O656" s="89"/>
      <c r="P656" s="105"/>
      <c r="AB656" s="64"/>
      <c r="AC656" s="33"/>
      <c r="AD656" s="64"/>
      <c r="AE656" s="64"/>
      <c r="AG656" s="64"/>
    </row>
    <row r="657" spans="4:33">
      <c r="D657" s="51"/>
      <c r="E657" s="51"/>
      <c r="F657" s="81"/>
      <c r="G657" s="81"/>
      <c r="H657" s="81"/>
      <c r="I657" s="15"/>
      <c r="K657" s="103"/>
      <c r="L657" s="103"/>
      <c r="M657" s="104"/>
      <c r="N657" s="104"/>
      <c r="O657" s="89"/>
      <c r="P657" s="105"/>
      <c r="AB657" s="64"/>
      <c r="AC657" s="33"/>
      <c r="AD657" s="64"/>
      <c r="AE657" s="64"/>
      <c r="AG657" s="64"/>
    </row>
    <row r="658" spans="4:33">
      <c r="D658" s="51"/>
      <c r="E658" s="51"/>
      <c r="F658" s="81"/>
      <c r="G658" s="81"/>
      <c r="H658" s="81"/>
      <c r="I658" s="15"/>
      <c r="K658" s="103"/>
      <c r="L658" s="103"/>
      <c r="M658" s="104"/>
      <c r="N658" s="104"/>
      <c r="O658" s="89"/>
      <c r="P658" s="105"/>
      <c r="AB658" s="64"/>
      <c r="AC658" s="33"/>
      <c r="AD658" s="64"/>
      <c r="AE658" s="64"/>
      <c r="AG658" s="64"/>
    </row>
    <row r="659" spans="4:33">
      <c r="D659" s="51"/>
      <c r="E659" s="51"/>
      <c r="F659" s="81"/>
      <c r="G659" s="81"/>
      <c r="H659" s="81"/>
      <c r="I659" s="15"/>
      <c r="K659" s="103"/>
      <c r="L659" s="103"/>
      <c r="M659" s="104"/>
      <c r="N659" s="104"/>
      <c r="O659" s="89"/>
      <c r="P659" s="105"/>
      <c r="AB659" s="64"/>
      <c r="AC659" s="33"/>
      <c r="AD659" s="64"/>
      <c r="AE659" s="64"/>
      <c r="AG659" s="64"/>
    </row>
    <row r="660" spans="4:33">
      <c r="D660" s="51"/>
      <c r="E660" s="51"/>
      <c r="F660" s="81"/>
      <c r="G660" s="81"/>
      <c r="H660" s="81"/>
      <c r="I660" s="15"/>
      <c r="K660" s="103"/>
      <c r="L660" s="103"/>
      <c r="M660" s="104"/>
      <c r="N660" s="104"/>
      <c r="O660" s="89"/>
      <c r="P660" s="105"/>
      <c r="AB660" s="64"/>
      <c r="AC660" s="33"/>
      <c r="AD660" s="64"/>
      <c r="AE660" s="64"/>
      <c r="AG660" s="64"/>
    </row>
    <row r="661" spans="4:33">
      <c r="D661" s="51"/>
      <c r="E661" s="51"/>
      <c r="F661" s="81"/>
      <c r="G661" s="81"/>
      <c r="H661" s="81"/>
      <c r="I661" s="15"/>
      <c r="K661" s="103"/>
      <c r="L661" s="103"/>
      <c r="M661" s="104"/>
      <c r="N661" s="104"/>
      <c r="O661" s="89"/>
      <c r="P661" s="105"/>
      <c r="AB661" s="64"/>
      <c r="AC661" s="33"/>
      <c r="AD661" s="64"/>
      <c r="AE661" s="64"/>
      <c r="AG661" s="64"/>
    </row>
    <row r="662" spans="4:33">
      <c r="D662" s="51"/>
      <c r="E662" s="51"/>
      <c r="F662" s="81"/>
      <c r="G662" s="81"/>
      <c r="H662" s="81"/>
      <c r="I662" s="15"/>
      <c r="K662" s="103"/>
      <c r="L662" s="103"/>
      <c r="M662" s="104"/>
      <c r="N662" s="104"/>
      <c r="O662" s="89"/>
      <c r="P662" s="105"/>
      <c r="AB662" s="64"/>
      <c r="AC662" s="33"/>
      <c r="AD662" s="64"/>
      <c r="AE662" s="64"/>
      <c r="AG662" s="64"/>
    </row>
    <row r="663" spans="4:33">
      <c r="D663" s="51"/>
      <c r="E663" s="51"/>
      <c r="F663" s="81"/>
      <c r="G663" s="81"/>
      <c r="H663" s="81"/>
      <c r="I663" s="15"/>
      <c r="K663" s="103"/>
      <c r="L663" s="103"/>
      <c r="M663" s="104"/>
      <c r="N663" s="104"/>
      <c r="O663" s="89"/>
      <c r="P663" s="105"/>
      <c r="AB663" s="64"/>
      <c r="AC663" s="33"/>
      <c r="AD663" s="64"/>
      <c r="AE663" s="64"/>
      <c r="AG663" s="64"/>
    </row>
    <row r="664" spans="4:33">
      <c r="D664" s="51"/>
      <c r="E664" s="51"/>
      <c r="F664" s="81"/>
      <c r="G664" s="81"/>
      <c r="H664" s="81"/>
      <c r="I664" s="15"/>
      <c r="K664" s="103"/>
      <c r="L664" s="103"/>
      <c r="M664" s="104"/>
      <c r="N664" s="104"/>
      <c r="O664" s="89"/>
      <c r="P664" s="105"/>
      <c r="AB664" s="64"/>
      <c r="AC664" s="33"/>
      <c r="AD664" s="64"/>
      <c r="AE664" s="64"/>
      <c r="AG664" s="64"/>
    </row>
    <row r="665" spans="4:33">
      <c r="D665" s="51"/>
      <c r="E665" s="51"/>
      <c r="F665" s="81"/>
      <c r="G665" s="81"/>
      <c r="H665" s="81"/>
      <c r="I665" s="15"/>
      <c r="K665" s="103"/>
      <c r="L665" s="103"/>
      <c r="M665" s="104"/>
      <c r="N665" s="104"/>
      <c r="O665" s="89"/>
      <c r="P665" s="105"/>
      <c r="AB665" s="64"/>
      <c r="AC665" s="33"/>
      <c r="AD665" s="64"/>
      <c r="AE665" s="64"/>
      <c r="AG665" s="64"/>
    </row>
    <row r="666" spans="4:33">
      <c r="D666" s="51"/>
      <c r="E666" s="51"/>
      <c r="F666" s="81"/>
      <c r="G666" s="81"/>
      <c r="H666" s="81"/>
      <c r="I666" s="15"/>
      <c r="K666" s="103"/>
      <c r="L666" s="103"/>
      <c r="M666" s="104"/>
      <c r="N666" s="104"/>
      <c r="O666" s="89"/>
      <c r="P666" s="105"/>
      <c r="AB666" s="64"/>
      <c r="AC666" s="33"/>
      <c r="AD666" s="64"/>
      <c r="AE666" s="64"/>
      <c r="AG666" s="64"/>
    </row>
    <row r="667" spans="4:33">
      <c r="D667" s="51"/>
      <c r="E667" s="51"/>
      <c r="F667" s="81"/>
      <c r="G667" s="81"/>
      <c r="H667" s="81"/>
      <c r="I667" s="15"/>
      <c r="K667" s="103"/>
      <c r="L667" s="103"/>
      <c r="M667" s="104"/>
      <c r="N667" s="104"/>
      <c r="O667" s="89"/>
      <c r="P667" s="105"/>
      <c r="AB667" s="64"/>
      <c r="AC667" s="33"/>
      <c r="AD667" s="64"/>
      <c r="AE667" s="64"/>
      <c r="AG667" s="64"/>
    </row>
    <row r="668" spans="4:33">
      <c r="D668" s="51"/>
      <c r="E668" s="51"/>
      <c r="F668" s="81"/>
      <c r="G668" s="81"/>
      <c r="H668" s="81"/>
      <c r="I668" s="15"/>
      <c r="K668" s="103"/>
      <c r="L668" s="103"/>
      <c r="M668" s="104"/>
      <c r="N668" s="104"/>
      <c r="O668" s="89"/>
      <c r="P668" s="105"/>
      <c r="AB668" s="64"/>
      <c r="AC668" s="33"/>
      <c r="AD668" s="64"/>
      <c r="AE668" s="64"/>
      <c r="AG668" s="64"/>
    </row>
    <row r="669" spans="4:33">
      <c r="D669" s="51"/>
      <c r="E669" s="51"/>
      <c r="F669" s="81"/>
      <c r="G669" s="81"/>
      <c r="H669" s="81"/>
      <c r="I669" s="15"/>
      <c r="K669" s="103"/>
      <c r="L669" s="103"/>
      <c r="M669" s="104"/>
      <c r="N669" s="104"/>
      <c r="O669" s="89"/>
      <c r="P669" s="105"/>
      <c r="AB669" s="64"/>
      <c r="AC669" s="33"/>
      <c r="AD669" s="64"/>
      <c r="AE669" s="64"/>
      <c r="AG669" s="64"/>
    </row>
    <row r="670" spans="4:33">
      <c r="D670" s="51"/>
      <c r="E670" s="51"/>
      <c r="F670" s="81"/>
      <c r="G670" s="81"/>
      <c r="H670" s="81"/>
      <c r="I670" s="15"/>
      <c r="K670" s="103"/>
      <c r="L670" s="103"/>
      <c r="M670" s="104"/>
      <c r="N670" s="104"/>
      <c r="O670" s="89"/>
      <c r="P670" s="105"/>
      <c r="AB670" s="64"/>
      <c r="AC670" s="33"/>
      <c r="AD670" s="64"/>
      <c r="AE670" s="64"/>
      <c r="AG670" s="64"/>
    </row>
    <row r="671" spans="4:33">
      <c r="D671" s="51"/>
      <c r="E671" s="51"/>
      <c r="F671" s="81"/>
      <c r="G671" s="81"/>
      <c r="H671" s="81"/>
      <c r="I671" s="15"/>
      <c r="K671" s="103"/>
      <c r="L671" s="103"/>
      <c r="M671" s="104"/>
      <c r="N671" s="104"/>
      <c r="O671" s="89"/>
      <c r="P671" s="105"/>
      <c r="AB671" s="64"/>
      <c r="AC671" s="33"/>
      <c r="AD671" s="64"/>
      <c r="AE671" s="64"/>
      <c r="AG671" s="64"/>
    </row>
    <row r="672" spans="4:33">
      <c r="D672" s="51"/>
      <c r="E672" s="51"/>
      <c r="F672" s="81"/>
      <c r="G672" s="81"/>
      <c r="H672" s="81"/>
      <c r="I672" s="15"/>
      <c r="K672" s="103"/>
      <c r="L672" s="103"/>
      <c r="M672" s="104"/>
      <c r="N672" s="104"/>
      <c r="O672" s="89"/>
      <c r="P672" s="105"/>
      <c r="AB672" s="64"/>
      <c r="AC672" s="33"/>
      <c r="AD672" s="64"/>
      <c r="AE672" s="64"/>
      <c r="AG672" s="64"/>
    </row>
    <row r="673" spans="4:34">
      <c r="D673" s="51"/>
      <c r="E673" s="51"/>
      <c r="F673" s="81"/>
      <c r="G673" s="81"/>
      <c r="H673" s="81"/>
      <c r="I673" s="15"/>
      <c r="K673" s="103"/>
      <c r="L673" s="103"/>
      <c r="M673" s="104"/>
      <c r="N673" s="104"/>
      <c r="O673" s="89"/>
      <c r="P673" s="105"/>
      <c r="AB673" s="64"/>
      <c r="AC673" s="33"/>
      <c r="AD673" s="64"/>
      <c r="AE673" s="64"/>
      <c r="AG673" s="64"/>
    </row>
    <row r="674" spans="4:34">
      <c r="D674" s="51"/>
      <c r="E674" s="51"/>
      <c r="F674" s="81"/>
      <c r="G674" s="81"/>
      <c r="H674" s="81"/>
      <c r="I674" s="15"/>
      <c r="K674" s="103"/>
      <c r="L674" s="103"/>
      <c r="M674" s="104"/>
      <c r="N674" s="104"/>
      <c r="O674" s="89"/>
      <c r="P674" s="105"/>
      <c r="AB674" s="64"/>
      <c r="AC674" s="33"/>
      <c r="AD674" s="64"/>
      <c r="AE674" s="64"/>
      <c r="AG674" s="64"/>
    </row>
    <row r="675" spans="4:34">
      <c r="D675" s="51"/>
      <c r="E675" s="51"/>
      <c r="F675" s="81"/>
      <c r="G675" s="81"/>
      <c r="H675" s="81"/>
      <c r="I675" s="15"/>
      <c r="K675" s="103"/>
      <c r="L675" s="103"/>
      <c r="M675" s="104"/>
      <c r="N675" s="104"/>
      <c r="O675" s="89"/>
      <c r="P675" s="105"/>
      <c r="AB675" s="64"/>
      <c r="AC675" s="33"/>
      <c r="AD675" s="64"/>
      <c r="AE675" s="64"/>
      <c r="AG675" s="64"/>
    </row>
    <row r="676" spans="4:34">
      <c r="D676" s="51"/>
      <c r="E676" s="51"/>
      <c r="F676" s="81"/>
      <c r="G676" s="81"/>
      <c r="H676" s="81"/>
      <c r="I676" s="15"/>
      <c r="K676" s="103"/>
      <c r="L676" s="103"/>
      <c r="M676" s="104"/>
      <c r="N676" s="104"/>
      <c r="O676" s="89"/>
      <c r="P676" s="105"/>
      <c r="AB676" s="64"/>
      <c r="AC676" s="33"/>
      <c r="AD676" s="64"/>
      <c r="AE676" s="64"/>
      <c r="AG676" s="64"/>
    </row>
    <row r="677" spans="4:34">
      <c r="D677" s="51"/>
      <c r="E677" s="51"/>
      <c r="F677" s="81"/>
      <c r="G677" s="81"/>
      <c r="H677" s="81"/>
      <c r="I677" s="15"/>
      <c r="K677" s="103"/>
      <c r="L677" s="103"/>
      <c r="M677" s="104"/>
      <c r="N677" s="104"/>
      <c r="O677" s="89"/>
      <c r="P677" s="105"/>
      <c r="AB677" s="64"/>
      <c r="AC677" s="33"/>
      <c r="AD677" s="106"/>
      <c r="AE677" s="106"/>
      <c r="AF677" s="107"/>
      <c r="AG677" s="106"/>
      <c r="AH677" s="108"/>
    </row>
    <row r="678" spans="4:34">
      <c r="D678" s="51"/>
      <c r="E678" s="51"/>
      <c r="F678" s="81"/>
      <c r="G678" s="81"/>
      <c r="H678" s="81"/>
      <c r="I678" s="15"/>
      <c r="K678" s="103"/>
      <c r="L678" s="103"/>
      <c r="M678" s="104"/>
      <c r="N678" s="104"/>
      <c r="O678" s="89"/>
      <c r="P678" s="105"/>
      <c r="AB678" s="64"/>
      <c r="AC678" s="33"/>
      <c r="AD678" s="64"/>
      <c r="AE678" s="64"/>
      <c r="AG678" s="64"/>
    </row>
    <row r="679" spans="4:34">
      <c r="D679" s="51"/>
      <c r="E679" s="51"/>
      <c r="F679" s="81"/>
      <c r="G679" s="81"/>
      <c r="H679" s="81"/>
      <c r="I679" s="15"/>
      <c r="K679" s="103"/>
      <c r="L679" s="103"/>
      <c r="M679" s="104"/>
      <c r="N679" s="104"/>
      <c r="O679" s="89"/>
      <c r="P679" s="105"/>
      <c r="AB679" s="64"/>
      <c r="AC679" s="33"/>
      <c r="AD679" s="64"/>
      <c r="AE679" s="64"/>
      <c r="AG679" s="64"/>
    </row>
    <row r="680" spans="4:34">
      <c r="D680" s="51"/>
      <c r="E680" s="51"/>
      <c r="F680" s="81"/>
      <c r="G680" s="81"/>
      <c r="H680" s="81"/>
      <c r="I680" s="15"/>
      <c r="K680" s="103"/>
      <c r="L680" s="103"/>
      <c r="M680" s="104"/>
      <c r="N680" s="104"/>
      <c r="O680" s="89"/>
      <c r="P680" s="105"/>
      <c r="AB680" s="64"/>
      <c r="AC680" s="33"/>
      <c r="AD680" s="64"/>
      <c r="AE680" s="64"/>
      <c r="AG680" s="64"/>
    </row>
    <row r="681" spans="4:34">
      <c r="D681" s="51"/>
      <c r="E681" s="51"/>
      <c r="F681" s="81"/>
      <c r="G681" s="81"/>
      <c r="H681" s="81"/>
      <c r="I681" s="15"/>
      <c r="K681" s="103"/>
      <c r="L681" s="103"/>
      <c r="M681" s="104"/>
      <c r="N681" s="104"/>
      <c r="O681" s="89"/>
      <c r="P681" s="105"/>
      <c r="AB681" s="64"/>
      <c r="AC681" s="33"/>
      <c r="AD681" s="64"/>
      <c r="AE681" s="64"/>
      <c r="AG681" s="64"/>
    </row>
    <row r="682" spans="4:34">
      <c r="D682" s="51"/>
      <c r="E682" s="51"/>
      <c r="F682" s="81"/>
      <c r="G682" s="81"/>
      <c r="H682" s="81"/>
      <c r="I682" s="15"/>
      <c r="K682" s="103"/>
      <c r="L682" s="103"/>
      <c r="M682" s="104"/>
      <c r="N682" s="104"/>
      <c r="O682" s="89"/>
      <c r="P682" s="105"/>
      <c r="AB682" s="64"/>
      <c r="AC682" s="33"/>
      <c r="AD682" s="64"/>
      <c r="AE682" s="64"/>
      <c r="AG682" s="64"/>
    </row>
    <row r="683" spans="4:34">
      <c r="D683" s="51"/>
      <c r="E683" s="51"/>
      <c r="F683" s="81"/>
      <c r="G683" s="81"/>
      <c r="H683" s="81"/>
      <c r="I683" s="15"/>
      <c r="K683" s="103"/>
      <c r="L683" s="103"/>
      <c r="M683" s="104"/>
      <c r="N683" s="104"/>
      <c r="O683" s="89"/>
      <c r="P683" s="105"/>
      <c r="AB683" s="64"/>
      <c r="AC683" s="33"/>
      <c r="AD683" s="64"/>
      <c r="AE683" s="64"/>
      <c r="AG683" s="64"/>
    </row>
    <row r="684" spans="4:34">
      <c r="D684" s="51"/>
      <c r="E684" s="51"/>
      <c r="F684" s="81"/>
      <c r="G684" s="81"/>
      <c r="H684" s="81"/>
      <c r="I684" s="15"/>
      <c r="K684" s="103"/>
      <c r="L684" s="103"/>
      <c r="M684" s="104"/>
      <c r="N684" s="104"/>
      <c r="O684" s="89"/>
      <c r="P684" s="105"/>
      <c r="AB684" s="64"/>
      <c r="AC684" s="33"/>
      <c r="AD684" s="64"/>
      <c r="AE684" s="64"/>
      <c r="AG684" s="64"/>
    </row>
    <row r="685" spans="4:34">
      <c r="D685" s="51"/>
      <c r="E685" s="51"/>
      <c r="F685" s="81"/>
      <c r="G685" s="81"/>
      <c r="H685" s="81"/>
      <c r="I685" s="15"/>
      <c r="K685" s="103"/>
      <c r="L685" s="103"/>
      <c r="M685" s="104"/>
      <c r="N685" s="104"/>
      <c r="O685" s="89"/>
      <c r="P685" s="105"/>
      <c r="AB685" s="64"/>
      <c r="AC685" s="33"/>
      <c r="AD685" s="64"/>
      <c r="AE685" s="64"/>
      <c r="AG685" s="64"/>
    </row>
    <row r="686" spans="4:34">
      <c r="D686" s="51"/>
      <c r="E686" s="51"/>
      <c r="F686" s="81"/>
      <c r="G686" s="81"/>
      <c r="H686" s="81"/>
      <c r="I686" s="15"/>
      <c r="K686" s="103"/>
      <c r="L686" s="103"/>
      <c r="M686" s="104"/>
      <c r="N686" s="104"/>
      <c r="O686" s="89"/>
      <c r="P686" s="105"/>
      <c r="AB686" s="64"/>
      <c r="AC686" s="33"/>
      <c r="AD686" s="64"/>
      <c r="AE686" s="64"/>
      <c r="AG686" s="64"/>
    </row>
    <row r="687" spans="4:34">
      <c r="D687" s="51"/>
      <c r="E687" s="51"/>
      <c r="F687" s="81"/>
      <c r="G687" s="81"/>
      <c r="H687" s="81"/>
      <c r="I687" s="15"/>
      <c r="K687" s="103"/>
      <c r="L687" s="103"/>
      <c r="M687" s="104"/>
      <c r="N687" s="104"/>
      <c r="O687" s="89"/>
      <c r="P687" s="105"/>
      <c r="AB687" s="64"/>
      <c r="AC687" s="33"/>
      <c r="AD687" s="64"/>
      <c r="AE687" s="64"/>
      <c r="AG687" s="64"/>
    </row>
    <row r="688" spans="4:34">
      <c r="D688" s="51"/>
      <c r="E688" s="51"/>
      <c r="F688" s="81"/>
      <c r="G688" s="81"/>
      <c r="H688" s="81"/>
      <c r="I688" s="15"/>
      <c r="K688" s="103"/>
      <c r="L688" s="103"/>
      <c r="M688" s="104"/>
      <c r="N688" s="104"/>
      <c r="O688" s="89"/>
      <c r="P688" s="105"/>
      <c r="AB688" s="64"/>
      <c r="AC688" s="33"/>
      <c r="AD688" s="64"/>
      <c r="AE688" s="64"/>
      <c r="AG688" s="64"/>
    </row>
    <row r="689" spans="4:33">
      <c r="D689" s="51"/>
      <c r="E689" s="51"/>
      <c r="F689" s="81"/>
      <c r="G689" s="81"/>
      <c r="H689" s="81"/>
      <c r="I689" s="15"/>
      <c r="K689" s="103"/>
      <c r="L689" s="103"/>
      <c r="M689" s="104"/>
      <c r="N689" s="104"/>
      <c r="O689" s="89"/>
      <c r="P689" s="105"/>
      <c r="AB689" s="64"/>
      <c r="AC689" s="33"/>
      <c r="AD689" s="64"/>
      <c r="AE689" s="64"/>
      <c r="AG689" s="64"/>
    </row>
    <row r="690" spans="4:33">
      <c r="D690" s="51"/>
      <c r="E690" s="51"/>
      <c r="F690" s="81"/>
      <c r="G690" s="81"/>
      <c r="H690" s="81"/>
      <c r="I690" s="15"/>
      <c r="K690" s="103"/>
      <c r="L690" s="103"/>
      <c r="M690" s="104"/>
      <c r="N690" s="104"/>
      <c r="O690" s="89"/>
      <c r="P690" s="105"/>
      <c r="AB690" s="64"/>
      <c r="AC690" s="33"/>
      <c r="AD690" s="64"/>
      <c r="AE690" s="64"/>
      <c r="AG690" s="64"/>
    </row>
    <row r="691" spans="4:33">
      <c r="D691" s="51"/>
      <c r="E691" s="51"/>
      <c r="F691" s="81"/>
      <c r="G691" s="81"/>
      <c r="H691" s="81"/>
      <c r="I691" s="15"/>
      <c r="K691" s="103"/>
      <c r="L691" s="103"/>
      <c r="M691" s="104"/>
      <c r="N691" s="104"/>
      <c r="O691" s="89"/>
      <c r="P691" s="105"/>
      <c r="AB691" s="64"/>
      <c r="AC691" s="33"/>
      <c r="AD691" s="64"/>
      <c r="AE691" s="64"/>
      <c r="AG691" s="64"/>
    </row>
    <row r="692" spans="4:33">
      <c r="D692" s="51"/>
      <c r="E692" s="51"/>
      <c r="F692" s="81"/>
      <c r="G692" s="81"/>
      <c r="H692" s="81"/>
      <c r="I692" s="15"/>
      <c r="K692" s="103"/>
      <c r="L692" s="103"/>
      <c r="M692" s="104"/>
      <c r="N692" s="104"/>
      <c r="O692" s="89"/>
      <c r="P692" s="105"/>
      <c r="AB692" s="64"/>
      <c r="AC692" s="33"/>
      <c r="AD692" s="64"/>
      <c r="AE692" s="64"/>
      <c r="AG692" s="64"/>
    </row>
    <row r="693" spans="4:33">
      <c r="D693" s="51"/>
      <c r="E693" s="51"/>
      <c r="F693" s="81"/>
      <c r="G693" s="81"/>
      <c r="H693" s="81"/>
      <c r="I693" s="15"/>
      <c r="K693" s="103"/>
      <c r="L693" s="103"/>
      <c r="M693" s="104"/>
      <c r="N693" s="104"/>
      <c r="O693" s="89"/>
      <c r="P693" s="105"/>
      <c r="AB693" s="64"/>
      <c r="AC693" s="33"/>
      <c r="AD693" s="64"/>
      <c r="AE693" s="64"/>
      <c r="AG693" s="64"/>
    </row>
    <row r="694" spans="4:33">
      <c r="D694" s="51"/>
      <c r="E694" s="51"/>
      <c r="F694" s="81"/>
      <c r="G694" s="81"/>
      <c r="H694" s="81"/>
      <c r="I694" s="15"/>
      <c r="K694" s="103"/>
      <c r="L694" s="103"/>
      <c r="M694" s="104"/>
      <c r="N694" s="104"/>
      <c r="O694" s="89"/>
      <c r="P694" s="105"/>
      <c r="AB694" s="64"/>
      <c r="AC694" s="33"/>
      <c r="AD694" s="64"/>
      <c r="AE694" s="64"/>
      <c r="AG694" s="64"/>
    </row>
    <row r="695" spans="4:33">
      <c r="D695" s="51"/>
      <c r="E695" s="51"/>
      <c r="F695" s="81"/>
      <c r="G695" s="81"/>
      <c r="H695" s="81"/>
      <c r="I695" s="15"/>
      <c r="K695" s="103"/>
      <c r="L695" s="103"/>
      <c r="M695" s="104"/>
      <c r="N695" s="104"/>
      <c r="O695" s="89"/>
      <c r="P695" s="105"/>
      <c r="AB695" s="64"/>
      <c r="AC695" s="33"/>
      <c r="AD695" s="64"/>
      <c r="AE695" s="64"/>
      <c r="AG695" s="64"/>
    </row>
    <row r="696" spans="4:33">
      <c r="D696" s="51"/>
      <c r="E696" s="51"/>
      <c r="F696" s="81"/>
      <c r="G696" s="81"/>
      <c r="H696" s="81"/>
      <c r="I696" s="15"/>
      <c r="K696" s="103"/>
      <c r="L696" s="103"/>
      <c r="M696" s="104"/>
      <c r="N696" s="104"/>
      <c r="O696" s="89"/>
      <c r="P696" s="105"/>
      <c r="AB696" s="64"/>
      <c r="AC696" s="33"/>
      <c r="AD696" s="64"/>
      <c r="AE696" s="64"/>
      <c r="AG696" s="64"/>
    </row>
    <row r="697" spans="4:33">
      <c r="D697" s="51"/>
      <c r="E697" s="51"/>
      <c r="F697" s="81"/>
      <c r="G697" s="81"/>
      <c r="H697" s="81"/>
      <c r="I697" s="15"/>
      <c r="K697" s="103"/>
      <c r="L697" s="103"/>
      <c r="M697" s="104"/>
      <c r="N697" s="104"/>
      <c r="O697" s="89"/>
      <c r="P697" s="105"/>
      <c r="AB697" s="64"/>
      <c r="AC697" s="33"/>
      <c r="AD697" s="64"/>
      <c r="AE697" s="64"/>
      <c r="AG697" s="64"/>
    </row>
    <row r="698" spans="4:33">
      <c r="D698" s="51"/>
      <c r="E698" s="51"/>
      <c r="F698" s="81"/>
      <c r="G698" s="81"/>
      <c r="H698" s="81"/>
      <c r="I698" s="15"/>
      <c r="K698" s="103"/>
      <c r="L698" s="103"/>
      <c r="M698" s="104"/>
      <c r="N698" s="104"/>
      <c r="O698" s="89"/>
      <c r="P698" s="105"/>
      <c r="AB698" s="64"/>
      <c r="AC698" s="33"/>
      <c r="AD698" s="64"/>
      <c r="AE698" s="64"/>
      <c r="AG698" s="64"/>
    </row>
    <row r="699" spans="4:33">
      <c r="D699" s="51"/>
      <c r="E699" s="51"/>
      <c r="F699" s="81"/>
      <c r="G699" s="81"/>
      <c r="H699" s="81"/>
      <c r="I699" s="15"/>
      <c r="K699" s="103"/>
      <c r="L699" s="103"/>
      <c r="M699" s="104"/>
      <c r="N699" s="104"/>
      <c r="O699" s="89"/>
      <c r="P699" s="105"/>
      <c r="AB699" s="64"/>
      <c r="AC699" s="33"/>
      <c r="AD699" s="64"/>
      <c r="AE699" s="64"/>
      <c r="AG699" s="64"/>
    </row>
    <row r="700" spans="4:33">
      <c r="D700" s="51"/>
      <c r="E700" s="51"/>
      <c r="F700" s="81"/>
      <c r="G700" s="81"/>
      <c r="H700" s="81"/>
      <c r="I700" s="15"/>
      <c r="K700" s="103"/>
      <c r="L700" s="103"/>
      <c r="M700" s="104"/>
      <c r="N700" s="104"/>
      <c r="O700" s="89"/>
      <c r="P700" s="105"/>
      <c r="AB700" s="64"/>
      <c r="AC700" s="33"/>
      <c r="AD700" s="64"/>
      <c r="AE700" s="64"/>
      <c r="AG700" s="64"/>
    </row>
    <row r="701" spans="4:33">
      <c r="D701" s="51"/>
      <c r="E701" s="51"/>
      <c r="F701" s="81"/>
      <c r="G701" s="81"/>
      <c r="H701" s="81"/>
      <c r="I701" s="15"/>
      <c r="K701" s="103"/>
      <c r="L701" s="103"/>
      <c r="M701" s="104"/>
      <c r="N701" s="104"/>
      <c r="O701" s="89"/>
      <c r="P701" s="105"/>
      <c r="AB701" s="64"/>
      <c r="AC701" s="33"/>
      <c r="AD701" s="64"/>
      <c r="AE701" s="64"/>
      <c r="AG701" s="64"/>
    </row>
    <row r="702" spans="4:33">
      <c r="D702" s="51"/>
      <c r="E702" s="51"/>
      <c r="F702" s="81"/>
      <c r="G702" s="81"/>
      <c r="H702" s="81"/>
      <c r="I702" s="15"/>
      <c r="K702" s="103"/>
      <c r="L702" s="103"/>
      <c r="M702" s="104"/>
      <c r="N702" s="104"/>
      <c r="O702" s="89"/>
      <c r="P702" s="105"/>
      <c r="AB702" s="64"/>
      <c r="AC702" s="33"/>
      <c r="AD702" s="64"/>
      <c r="AE702" s="64"/>
      <c r="AG702" s="64"/>
    </row>
    <row r="703" spans="4:33">
      <c r="D703" s="51"/>
      <c r="E703" s="51"/>
      <c r="F703" s="81"/>
      <c r="G703" s="81"/>
      <c r="H703" s="81"/>
      <c r="I703" s="15"/>
      <c r="K703" s="103"/>
      <c r="L703" s="103"/>
      <c r="M703" s="104"/>
      <c r="N703" s="104"/>
      <c r="O703" s="89"/>
      <c r="P703" s="105"/>
      <c r="AB703" s="64"/>
      <c r="AC703" s="33"/>
      <c r="AD703" s="64"/>
      <c r="AE703" s="64"/>
      <c r="AG703" s="64"/>
    </row>
    <row r="704" spans="4:33">
      <c r="D704" s="51"/>
      <c r="E704" s="51"/>
      <c r="F704" s="81"/>
      <c r="G704" s="81"/>
      <c r="H704" s="81"/>
      <c r="I704" s="15"/>
      <c r="K704" s="103"/>
      <c r="L704" s="103"/>
      <c r="M704" s="104"/>
      <c r="N704" s="104"/>
      <c r="O704" s="89"/>
      <c r="P704" s="105"/>
      <c r="AB704" s="64"/>
      <c r="AC704" s="33"/>
      <c r="AD704" s="64"/>
      <c r="AE704" s="64"/>
      <c r="AG704" s="64"/>
    </row>
    <row r="705" spans="4:34">
      <c r="D705" s="51"/>
      <c r="E705" s="51"/>
      <c r="F705" s="81"/>
      <c r="G705" s="81"/>
      <c r="H705" s="81"/>
      <c r="I705" s="15"/>
      <c r="K705" s="103"/>
      <c r="L705" s="103"/>
      <c r="M705" s="104"/>
      <c r="N705" s="104"/>
      <c r="O705" s="89"/>
      <c r="P705" s="105"/>
      <c r="AB705" s="64"/>
      <c r="AC705" s="33"/>
      <c r="AD705" s="64"/>
      <c r="AE705" s="64"/>
      <c r="AG705" s="64"/>
    </row>
    <row r="706" spans="4:34">
      <c r="D706" s="51"/>
      <c r="E706" s="51"/>
      <c r="F706" s="81"/>
      <c r="G706" s="81"/>
      <c r="H706" s="81"/>
      <c r="I706" s="15"/>
      <c r="K706" s="103"/>
      <c r="L706" s="103"/>
      <c r="M706" s="104"/>
      <c r="N706" s="104"/>
      <c r="O706" s="89"/>
      <c r="P706" s="105"/>
      <c r="AB706" s="64"/>
      <c r="AC706" s="33"/>
      <c r="AD706" s="64"/>
      <c r="AE706" s="64"/>
      <c r="AG706" s="64"/>
    </row>
    <row r="707" spans="4:34">
      <c r="D707" s="51"/>
      <c r="E707" s="51"/>
      <c r="F707" s="81"/>
      <c r="G707" s="81"/>
      <c r="H707" s="81"/>
      <c r="I707" s="15"/>
      <c r="K707" s="103"/>
      <c r="L707" s="103"/>
      <c r="M707" s="104"/>
      <c r="N707" s="104"/>
      <c r="O707" s="89"/>
      <c r="P707" s="105"/>
      <c r="AB707" s="64"/>
      <c r="AC707" s="33"/>
      <c r="AD707" s="106"/>
      <c r="AE707" s="106"/>
      <c r="AF707" s="107"/>
      <c r="AG707" s="106"/>
      <c r="AH707" s="108"/>
    </row>
    <row r="708" spans="4:34">
      <c r="D708" s="51"/>
      <c r="E708" s="51"/>
      <c r="F708" s="81"/>
      <c r="G708" s="81"/>
      <c r="H708" s="81"/>
      <c r="I708" s="15"/>
      <c r="K708" s="103"/>
      <c r="L708" s="103"/>
      <c r="M708" s="104"/>
      <c r="N708" s="104"/>
      <c r="O708" s="89"/>
      <c r="P708" s="105"/>
      <c r="AB708" s="64"/>
      <c r="AC708" s="33"/>
      <c r="AD708" s="64"/>
      <c r="AE708" s="64"/>
      <c r="AG708" s="64"/>
    </row>
    <row r="709" spans="4:34">
      <c r="D709" s="51"/>
      <c r="E709" s="51"/>
      <c r="F709" s="81"/>
      <c r="G709" s="81"/>
      <c r="H709" s="81"/>
      <c r="I709" s="15"/>
      <c r="K709" s="103"/>
      <c r="L709" s="103"/>
      <c r="M709" s="104"/>
      <c r="N709" s="104"/>
      <c r="O709" s="89"/>
      <c r="P709" s="105"/>
      <c r="AB709" s="64"/>
      <c r="AC709" s="33"/>
      <c r="AD709" s="64"/>
      <c r="AE709" s="64"/>
      <c r="AG709" s="64"/>
    </row>
    <row r="710" spans="4:34">
      <c r="D710" s="51"/>
      <c r="E710" s="51"/>
      <c r="F710" s="81"/>
      <c r="G710" s="81"/>
      <c r="H710" s="81"/>
      <c r="I710" s="15"/>
      <c r="K710" s="103"/>
      <c r="L710" s="103"/>
      <c r="M710" s="104"/>
      <c r="N710" s="104"/>
      <c r="O710" s="89"/>
      <c r="P710" s="105"/>
      <c r="AB710" s="64"/>
      <c r="AC710" s="33"/>
      <c r="AD710" s="64"/>
      <c r="AE710" s="64"/>
      <c r="AG710" s="64"/>
    </row>
    <row r="711" spans="4:34">
      <c r="D711" s="51"/>
      <c r="E711" s="51"/>
      <c r="F711" s="81"/>
      <c r="G711" s="81"/>
      <c r="H711" s="81"/>
      <c r="I711" s="15"/>
      <c r="K711" s="103"/>
      <c r="L711" s="103"/>
      <c r="M711" s="104"/>
      <c r="N711" s="104"/>
      <c r="O711" s="89"/>
      <c r="P711" s="105"/>
      <c r="AB711" s="64"/>
      <c r="AC711" s="33"/>
      <c r="AD711" s="64"/>
      <c r="AE711" s="64"/>
      <c r="AG711" s="64"/>
    </row>
    <row r="712" spans="4:34">
      <c r="D712" s="51"/>
      <c r="E712" s="51"/>
      <c r="F712" s="81"/>
      <c r="G712" s="81"/>
      <c r="H712" s="81"/>
      <c r="I712" s="15"/>
      <c r="K712" s="103"/>
      <c r="L712" s="103"/>
      <c r="M712" s="104"/>
      <c r="N712" s="104"/>
      <c r="O712" s="89"/>
      <c r="P712" s="105"/>
      <c r="AB712" s="64"/>
      <c r="AC712" s="33"/>
      <c r="AD712" s="64"/>
      <c r="AE712" s="64"/>
      <c r="AG712" s="64"/>
    </row>
    <row r="713" spans="4:34">
      <c r="D713" s="51"/>
      <c r="E713" s="51"/>
      <c r="F713" s="81"/>
      <c r="G713" s="81"/>
      <c r="H713" s="81"/>
      <c r="I713" s="15"/>
      <c r="K713" s="103"/>
      <c r="L713" s="103"/>
      <c r="M713" s="104"/>
      <c r="N713" s="104"/>
      <c r="O713" s="89"/>
      <c r="P713" s="105"/>
      <c r="AB713" s="64"/>
      <c r="AC713" s="33"/>
      <c r="AD713" s="64"/>
      <c r="AE713" s="64"/>
      <c r="AG713" s="64"/>
    </row>
    <row r="714" spans="4:34">
      <c r="D714" s="51"/>
      <c r="E714" s="51"/>
      <c r="F714" s="81"/>
      <c r="G714" s="81"/>
      <c r="H714" s="81"/>
      <c r="I714" s="15"/>
      <c r="K714" s="103"/>
      <c r="L714" s="103"/>
      <c r="M714" s="104"/>
      <c r="N714" s="104"/>
      <c r="O714" s="89"/>
      <c r="P714" s="105"/>
      <c r="AB714" s="64"/>
      <c r="AC714" s="33"/>
      <c r="AD714" s="64"/>
      <c r="AE714" s="64"/>
      <c r="AG714" s="64"/>
    </row>
    <row r="715" spans="4:34">
      <c r="D715" s="51"/>
      <c r="E715" s="51"/>
      <c r="F715" s="81"/>
      <c r="G715" s="81"/>
      <c r="H715" s="81"/>
      <c r="I715" s="15"/>
      <c r="K715" s="103"/>
      <c r="L715" s="103"/>
      <c r="M715" s="104"/>
      <c r="N715" s="104"/>
      <c r="O715" s="89"/>
      <c r="P715" s="105"/>
      <c r="AB715" s="64"/>
      <c r="AC715" s="33"/>
      <c r="AD715" s="64"/>
      <c r="AE715" s="64"/>
      <c r="AG715" s="64"/>
    </row>
    <row r="716" spans="4:34">
      <c r="D716" s="51"/>
      <c r="E716" s="51"/>
      <c r="F716" s="81"/>
      <c r="G716" s="81"/>
      <c r="H716" s="81"/>
      <c r="I716" s="15"/>
      <c r="K716" s="103"/>
      <c r="L716" s="103"/>
      <c r="M716" s="104"/>
      <c r="N716" s="104"/>
      <c r="O716" s="89"/>
      <c r="P716" s="105"/>
      <c r="AB716" s="64"/>
      <c r="AC716" s="33"/>
      <c r="AD716" s="64"/>
      <c r="AE716" s="64"/>
      <c r="AG716" s="64"/>
    </row>
    <row r="717" spans="4:34">
      <c r="D717" s="51"/>
      <c r="E717" s="51"/>
      <c r="F717" s="81"/>
      <c r="G717" s="81"/>
      <c r="H717" s="81"/>
      <c r="I717" s="15"/>
      <c r="K717" s="103"/>
      <c r="L717" s="103"/>
      <c r="M717" s="104"/>
      <c r="N717" s="104"/>
      <c r="O717" s="89"/>
      <c r="P717" s="105"/>
      <c r="AB717" s="64"/>
      <c r="AC717" s="33"/>
      <c r="AD717" s="64"/>
      <c r="AE717" s="64"/>
      <c r="AG717" s="64"/>
    </row>
    <row r="718" spans="4:34">
      <c r="D718" s="51"/>
      <c r="E718" s="51"/>
      <c r="F718" s="81"/>
      <c r="G718" s="81"/>
      <c r="H718" s="81"/>
      <c r="I718" s="15"/>
      <c r="K718" s="103"/>
      <c r="L718" s="103"/>
      <c r="M718" s="104"/>
      <c r="N718" s="104"/>
      <c r="O718" s="89"/>
      <c r="P718" s="105"/>
      <c r="AB718" s="64"/>
      <c r="AC718" s="33"/>
      <c r="AD718" s="64"/>
      <c r="AE718" s="64"/>
      <c r="AG718" s="64"/>
    </row>
    <row r="719" spans="4:34">
      <c r="D719" s="51"/>
      <c r="E719" s="51"/>
      <c r="F719" s="81"/>
      <c r="G719" s="81"/>
      <c r="H719" s="81"/>
      <c r="I719" s="15"/>
      <c r="K719" s="103"/>
      <c r="L719" s="103"/>
      <c r="M719" s="104"/>
      <c r="N719" s="104"/>
      <c r="O719" s="89"/>
      <c r="P719" s="105"/>
      <c r="AB719" s="64"/>
      <c r="AC719" s="33"/>
      <c r="AD719" s="64"/>
      <c r="AE719" s="64"/>
      <c r="AG719" s="64"/>
    </row>
    <row r="720" spans="4:34">
      <c r="D720" s="51"/>
      <c r="E720" s="51"/>
      <c r="F720" s="81"/>
      <c r="G720" s="81"/>
      <c r="H720" s="81"/>
      <c r="I720" s="15"/>
      <c r="K720" s="103"/>
      <c r="L720" s="103"/>
      <c r="M720" s="104"/>
      <c r="N720" s="104"/>
      <c r="O720" s="89"/>
      <c r="P720" s="105"/>
      <c r="AB720" s="64"/>
      <c r="AC720" s="33"/>
      <c r="AD720" s="64"/>
      <c r="AE720" s="64"/>
      <c r="AG720" s="64"/>
    </row>
    <row r="721" spans="4:33">
      <c r="D721" s="51"/>
      <c r="E721" s="51"/>
      <c r="F721" s="81"/>
      <c r="G721" s="81"/>
      <c r="H721" s="81"/>
      <c r="I721" s="15"/>
      <c r="K721" s="103"/>
      <c r="L721" s="103"/>
      <c r="M721" s="104"/>
      <c r="N721" s="104"/>
      <c r="O721" s="89"/>
      <c r="P721" s="105"/>
      <c r="AB721" s="64"/>
      <c r="AC721" s="33"/>
      <c r="AD721" s="64"/>
      <c r="AE721" s="64"/>
      <c r="AG721" s="64"/>
    </row>
    <row r="722" spans="4:33">
      <c r="D722" s="51"/>
      <c r="E722" s="51"/>
      <c r="F722" s="81"/>
      <c r="G722" s="81"/>
      <c r="H722" s="81"/>
      <c r="I722" s="15"/>
      <c r="K722" s="103"/>
      <c r="L722" s="103"/>
      <c r="M722" s="104"/>
      <c r="N722" s="104"/>
      <c r="O722" s="89"/>
      <c r="P722" s="105"/>
      <c r="AB722" s="64"/>
      <c r="AC722" s="33"/>
      <c r="AD722" s="64"/>
      <c r="AE722" s="64"/>
      <c r="AG722" s="64"/>
    </row>
    <row r="723" spans="4:33">
      <c r="D723" s="51"/>
      <c r="E723" s="51"/>
      <c r="F723" s="81"/>
      <c r="G723" s="81"/>
      <c r="H723" s="81"/>
      <c r="I723" s="15"/>
      <c r="K723" s="103"/>
      <c r="L723" s="103"/>
      <c r="M723" s="104"/>
      <c r="N723" s="104"/>
      <c r="O723" s="89"/>
      <c r="P723" s="105"/>
      <c r="AB723" s="64"/>
      <c r="AC723" s="33"/>
      <c r="AD723" s="64"/>
      <c r="AE723" s="64"/>
      <c r="AG723" s="64"/>
    </row>
    <row r="724" spans="4:33">
      <c r="D724" s="51"/>
      <c r="E724" s="51"/>
      <c r="F724" s="81"/>
      <c r="G724" s="81"/>
      <c r="H724" s="81"/>
      <c r="I724" s="15"/>
      <c r="K724" s="103"/>
      <c r="L724" s="103"/>
      <c r="M724" s="104"/>
      <c r="N724" s="104"/>
      <c r="O724" s="89"/>
      <c r="P724" s="105"/>
      <c r="AB724" s="64"/>
      <c r="AC724" s="33"/>
      <c r="AD724" s="64"/>
      <c r="AE724" s="64"/>
      <c r="AG724" s="64"/>
    </row>
    <row r="725" spans="4:33">
      <c r="D725" s="51"/>
      <c r="E725" s="51"/>
      <c r="F725" s="81"/>
      <c r="G725" s="81"/>
      <c r="H725" s="81"/>
      <c r="I725" s="15"/>
      <c r="K725" s="103"/>
      <c r="L725" s="103"/>
      <c r="M725" s="104"/>
      <c r="N725" s="104"/>
      <c r="O725" s="89"/>
      <c r="P725" s="105"/>
      <c r="AB725" s="64"/>
      <c r="AC725" s="33"/>
      <c r="AD725" s="64"/>
      <c r="AE725" s="64"/>
      <c r="AG725" s="64"/>
    </row>
    <row r="726" spans="4:33">
      <c r="D726" s="51"/>
      <c r="E726" s="51"/>
      <c r="F726" s="81"/>
      <c r="G726" s="81"/>
      <c r="H726" s="81"/>
      <c r="I726" s="15"/>
      <c r="K726" s="103"/>
      <c r="L726" s="103"/>
      <c r="M726" s="104"/>
      <c r="N726" s="104"/>
      <c r="O726" s="89"/>
      <c r="P726" s="105"/>
      <c r="AB726" s="64"/>
      <c r="AC726" s="33"/>
      <c r="AD726" s="64"/>
      <c r="AE726" s="64"/>
      <c r="AG726" s="64"/>
    </row>
    <row r="727" spans="4:33">
      <c r="D727" s="51"/>
      <c r="E727" s="51"/>
      <c r="F727" s="81"/>
      <c r="G727" s="81"/>
      <c r="H727" s="81"/>
      <c r="I727" s="15"/>
      <c r="K727" s="103"/>
      <c r="L727" s="103"/>
      <c r="M727" s="104"/>
      <c r="N727" s="104"/>
      <c r="O727" s="89"/>
      <c r="P727" s="105"/>
      <c r="AB727" s="64"/>
      <c r="AC727" s="33"/>
      <c r="AD727" s="64"/>
      <c r="AE727" s="64"/>
      <c r="AG727" s="64"/>
    </row>
    <row r="728" spans="4:33">
      <c r="D728" s="51"/>
      <c r="E728" s="51"/>
      <c r="F728" s="81"/>
      <c r="G728" s="81"/>
      <c r="H728" s="81"/>
      <c r="I728" s="15"/>
      <c r="K728" s="103"/>
      <c r="L728" s="103"/>
      <c r="M728" s="104"/>
      <c r="N728" s="104"/>
      <c r="O728" s="89"/>
      <c r="P728" s="105"/>
      <c r="AB728" s="64"/>
      <c r="AC728" s="33"/>
      <c r="AD728" s="64"/>
      <c r="AE728" s="64"/>
      <c r="AG728" s="64"/>
    </row>
    <row r="729" spans="4:33">
      <c r="D729" s="51"/>
      <c r="E729" s="51"/>
      <c r="F729" s="81"/>
      <c r="G729" s="81"/>
      <c r="H729" s="81"/>
      <c r="I729" s="15"/>
      <c r="K729" s="103"/>
      <c r="L729" s="103"/>
      <c r="M729" s="104"/>
      <c r="N729" s="104"/>
      <c r="O729" s="89"/>
      <c r="P729" s="105"/>
      <c r="AB729" s="64"/>
      <c r="AC729" s="33"/>
      <c r="AD729" s="64"/>
      <c r="AE729" s="64"/>
      <c r="AG729" s="64"/>
    </row>
    <row r="730" spans="4:33">
      <c r="D730" s="51"/>
      <c r="E730" s="51"/>
      <c r="F730" s="81"/>
      <c r="G730" s="81"/>
      <c r="H730" s="81"/>
      <c r="I730" s="15"/>
      <c r="K730" s="103"/>
      <c r="L730" s="103"/>
      <c r="M730" s="104"/>
      <c r="N730" s="104"/>
      <c r="O730" s="89"/>
      <c r="P730" s="105"/>
      <c r="AB730" s="64"/>
      <c r="AC730" s="33"/>
      <c r="AD730" s="64"/>
      <c r="AE730" s="64"/>
      <c r="AG730" s="64"/>
    </row>
    <row r="731" spans="4:33">
      <c r="D731" s="51"/>
      <c r="E731" s="51"/>
      <c r="F731" s="81"/>
      <c r="G731" s="81"/>
      <c r="H731" s="81"/>
      <c r="I731" s="15"/>
      <c r="K731" s="103"/>
      <c r="L731" s="103"/>
      <c r="M731" s="104"/>
      <c r="N731" s="104"/>
      <c r="O731" s="89"/>
      <c r="P731" s="105"/>
      <c r="AB731" s="64"/>
      <c r="AC731" s="33"/>
      <c r="AD731" s="64"/>
      <c r="AE731" s="64"/>
      <c r="AG731" s="64"/>
    </row>
    <row r="732" spans="4:33">
      <c r="D732" s="51"/>
      <c r="E732" s="51"/>
      <c r="F732" s="81"/>
      <c r="G732" s="81"/>
      <c r="H732" s="81"/>
      <c r="I732" s="15"/>
      <c r="K732" s="103"/>
      <c r="L732" s="103"/>
      <c r="M732" s="104"/>
      <c r="N732" s="104"/>
      <c r="O732" s="89"/>
      <c r="P732" s="105"/>
      <c r="AB732" s="64"/>
      <c r="AC732" s="33"/>
      <c r="AD732" s="64"/>
      <c r="AE732" s="64"/>
      <c r="AG732" s="64"/>
    </row>
    <row r="733" spans="4:33">
      <c r="D733" s="51"/>
      <c r="E733" s="51"/>
      <c r="F733" s="81"/>
      <c r="G733" s="81"/>
      <c r="H733" s="81"/>
      <c r="I733" s="15"/>
      <c r="K733" s="103"/>
      <c r="L733" s="103"/>
      <c r="M733" s="104"/>
      <c r="N733" s="104"/>
      <c r="O733" s="89"/>
      <c r="P733" s="105"/>
      <c r="AB733" s="64"/>
      <c r="AC733" s="33"/>
      <c r="AD733" s="64"/>
      <c r="AE733" s="64"/>
      <c r="AG733" s="64"/>
    </row>
    <row r="734" spans="4:33">
      <c r="D734" s="51"/>
      <c r="E734" s="51"/>
      <c r="F734" s="81"/>
      <c r="G734" s="81"/>
      <c r="H734" s="81"/>
      <c r="I734" s="15"/>
      <c r="K734" s="103"/>
      <c r="L734" s="103"/>
      <c r="M734" s="104"/>
      <c r="N734" s="104"/>
      <c r="O734" s="89"/>
      <c r="P734" s="105"/>
      <c r="AB734" s="64"/>
      <c r="AC734" s="33"/>
      <c r="AD734" s="64"/>
      <c r="AE734" s="64"/>
      <c r="AG734" s="64"/>
    </row>
    <row r="735" spans="4:33">
      <c r="D735" s="51"/>
      <c r="E735" s="51"/>
      <c r="F735" s="81"/>
      <c r="G735" s="81"/>
      <c r="H735" s="81"/>
      <c r="I735" s="15"/>
      <c r="K735" s="103"/>
      <c r="L735" s="103"/>
      <c r="M735" s="104"/>
      <c r="N735" s="104"/>
      <c r="O735" s="89"/>
      <c r="P735" s="105"/>
      <c r="AB735" s="64"/>
      <c r="AC735" s="33"/>
      <c r="AD735" s="64"/>
      <c r="AE735" s="64"/>
      <c r="AG735" s="64"/>
    </row>
    <row r="736" spans="4:33">
      <c r="D736" s="51"/>
      <c r="E736" s="51"/>
      <c r="F736" s="81"/>
      <c r="G736" s="81"/>
      <c r="H736" s="81"/>
      <c r="I736" s="15"/>
      <c r="K736" s="103"/>
      <c r="L736" s="103"/>
      <c r="M736" s="104"/>
      <c r="N736" s="104"/>
      <c r="O736" s="89"/>
      <c r="P736" s="105"/>
      <c r="AB736" s="64"/>
      <c r="AC736" s="33"/>
      <c r="AD736" s="64"/>
      <c r="AE736" s="64"/>
      <c r="AG736" s="64"/>
    </row>
    <row r="737" spans="4:33">
      <c r="D737" s="51"/>
      <c r="E737" s="51"/>
      <c r="F737" s="81"/>
      <c r="G737" s="81"/>
      <c r="H737" s="81"/>
      <c r="I737" s="15"/>
      <c r="K737" s="103"/>
      <c r="L737" s="103"/>
      <c r="M737" s="104"/>
      <c r="N737" s="104"/>
      <c r="O737" s="89"/>
      <c r="P737" s="105"/>
      <c r="AB737" s="64"/>
      <c r="AC737" s="33"/>
      <c r="AD737" s="64"/>
      <c r="AE737" s="64"/>
      <c r="AG737" s="64"/>
    </row>
    <row r="738" spans="4:33">
      <c r="D738" s="51"/>
      <c r="E738" s="51"/>
      <c r="F738" s="81"/>
      <c r="G738" s="81"/>
      <c r="H738" s="81"/>
      <c r="I738" s="15"/>
      <c r="K738" s="103"/>
      <c r="L738" s="103"/>
      <c r="M738" s="104"/>
      <c r="N738" s="104"/>
      <c r="O738" s="89"/>
      <c r="P738" s="105"/>
      <c r="AB738" s="64"/>
      <c r="AC738" s="33"/>
      <c r="AD738" s="64"/>
      <c r="AE738" s="64"/>
      <c r="AG738" s="64"/>
    </row>
    <row r="739" spans="4:33">
      <c r="D739" s="51"/>
      <c r="E739" s="51"/>
      <c r="F739" s="81"/>
      <c r="G739" s="81"/>
      <c r="H739" s="81"/>
      <c r="I739" s="15"/>
      <c r="K739" s="103"/>
      <c r="L739" s="103"/>
      <c r="M739" s="104"/>
      <c r="N739" s="104"/>
      <c r="O739" s="89"/>
      <c r="P739" s="105"/>
      <c r="AB739" s="64"/>
      <c r="AC739" s="33"/>
      <c r="AD739" s="64"/>
      <c r="AE739" s="64"/>
      <c r="AG739" s="64"/>
    </row>
    <row r="740" spans="4:33">
      <c r="D740" s="51"/>
      <c r="E740" s="51"/>
      <c r="F740" s="81"/>
      <c r="G740" s="81"/>
      <c r="H740" s="81"/>
      <c r="I740" s="15"/>
      <c r="K740" s="103"/>
      <c r="L740" s="103"/>
      <c r="M740" s="104"/>
      <c r="N740" s="104"/>
      <c r="O740" s="89"/>
      <c r="P740" s="105"/>
      <c r="AB740" s="64"/>
      <c r="AC740" s="33"/>
      <c r="AD740" s="64"/>
      <c r="AE740" s="64"/>
      <c r="AG740" s="64"/>
    </row>
    <row r="741" spans="4:33">
      <c r="D741" s="51"/>
      <c r="E741" s="51"/>
      <c r="F741" s="81"/>
      <c r="G741" s="81"/>
      <c r="H741" s="81"/>
      <c r="I741" s="15"/>
      <c r="K741" s="103"/>
      <c r="L741" s="103"/>
      <c r="M741" s="104"/>
      <c r="N741" s="104"/>
      <c r="O741" s="89"/>
      <c r="P741" s="105"/>
      <c r="AB741" s="64"/>
      <c r="AC741" s="33"/>
      <c r="AD741" s="64"/>
      <c r="AE741" s="64"/>
      <c r="AG741" s="64"/>
    </row>
    <row r="742" spans="4:33">
      <c r="D742" s="51"/>
      <c r="E742" s="51"/>
      <c r="F742" s="81"/>
      <c r="G742" s="81"/>
      <c r="H742" s="81"/>
      <c r="I742" s="15"/>
      <c r="K742" s="103"/>
      <c r="L742" s="103"/>
      <c r="M742" s="104"/>
      <c r="N742" s="104"/>
      <c r="O742" s="89"/>
      <c r="P742" s="105"/>
      <c r="AB742" s="64"/>
      <c r="AC742" s="33"/>
      <c r="AD742" s="64"/>
      <c r="AE742" s="64"/>
      <c r="AG742" s="64"/>
    </row>
    <row r="743" spans="4:33">
      <c r="D743" s="51"/>
      <c r="E743" s="51"/>
      <c r="F743" s="81"/>
      <c r="G743" s="81"/>
      <c r="H743" s="81"/>
      <c r="I743" s="15"/>
      <c r="K743" s="103"/>
      <c r="L743" s="103"/>
      <c r="M743" s="104"/>
      <c r="N743" s="104"/>
      <c r="O743" s="89"/>
      <c r="P743" s="105"/>
      <c r="AB743" s="64"/>
      <c r="AC743" s="33"/>
      <c r="AD743" s="64"/>
      <c r="AE743" s="64"/>
      <c r="AG743" s="64"/>
    </row>
    <row r="744" spans="4:33">
      <c r="D744" s="51"/>
      <c r="E744" s="51"/>
      <c r="F744" s="81"/>
      <c r="G744" s="81"/>
      <c r="H744" s="81"/>
      <c r="I744" s="15"/>
      <c r="K744" s="103"/>
      <c r="L744" s="103"/>
      <c r="M744" s="104"/>
      <c r="N744" s="104"/>
      <c r="O744" s="89"/>
      <c r="P744" s="105"/>
      <c r="AB744" s="64"/>
      <c r="AC744" s="33"/>
      <c r="AD744" s="64"/>
      <c r="AE744" s="64"/>
      <c r="AG744" s="64"/>
    </row>
    <row r="745" spans="4:33">
      <c r="D745" s="51"/>
      <c r="E745" s="51"/>
      <c r="F745" s="81"/>
      <c r="G745" s="81"/>
      <c r="H745" s="81"/>
      <c r="I745" s="15"/>
      <c r="K745" s="103"/>
      <c r="L745" s="103"/>
      <c r="M745" s="104"/>
      <c r="N745" s="104"/>
      <c r="O745" s="89"/>
      <c r="P745" s="105"/>
      <c r="AB745" s="64"/>
      <c r="AC745" s="33"/>
      <c r="AD745" s="64"/>
      <c r="AE745" s="64"/>
      <c r="AG745" s="64"/>
    </row>
    <row r="746" spans="4:33">
      <c r="D746" s="51"/>
      <c r="E746" s="51"/>
      <c r="F746" s="81"/>
      <c r="G746" s="81"/>
      <c r="H746" s="81"/>
      <c r="I746" s="15"/>
      <c r="K746" s="103"/>
      <c r="L746" s="103"/>
      <c r="M746" s="104"/>
      <c r="N746" s="104"/>
      <c r="O746" s="89"/>
      <c r="P746" s="105"/>
      <c r="AB746" s="64"/>
      <c r="AC746" s="33"/>
      <c r="AD746" s="64"/>
      <c r="AE746" s="64"/>
      <c r="AG746" s="64"/>
    </row>
    <row r="747" spans="4:33">
      <c r="D747" s="51"/>
      <c r="E747" s="51"/>
      <c r="F747" s="81"/>
      <c r="G747" s="81"/>
      <c r="H747" s="81"/>
      <c r="I747" s="15"/>
      <c r="K747" s="103"/>
      <c r="L747" s="103"/>
      <c r="M747" s="104"/>
      <c r="N747" s="104"/>
      <c r="O747" s="89"/>
      <c r="P747" s="105"/>
      <c r="AB747" s="64"/>
      <c r="AC747" s="33"/>
      <c r="AD747" s="64"/>
      <c r="AE747" s="64"/>
      <c r="AG747" s="64"/>
    </row>
    <row r="748" spans="4:33">
      <c r="D748" s="51"/>
      <c r="E748" s="51"/>
      <c r="F748" s="81"/>
      <c r="G748" s="81"/>
      <c r="H748" s="81"/>
      <c r="I748" s="15"/>
      <c r="K748" s="103"/>
      <c r="L748" s="103"/>
      <c r="M748" s="104"/>
      <c r="N748" s="104"/>
      <c r="O748" s="89"/>
      <c r="P748" s="105"/>
      <c r="AB748" s="64"/>
      <c r="AC748" s="33"/>
      <c r="AD748" s="64"/>
      <c r="AE748" s="64"/>
      <c r="AG748" s="64"/>
    </row>
    <row r="749" spans="4:33">
      <c r="D749" s="51"/>
      <c r="E749" s="51"/>
      <c r="F749" s="81"/>
      <c r="G749" s="81"/>
      <c r="H749" s="81"/>
      <c r="I749" s="15"/>
      <c r="K749" s="103"/>
      <c r="L749" s="103"/>
      <c r="M749" s="104"/>
      <c r="N749" s="104"/>
      <c r="O749" s="89"/>
      <c r="P749" s="105"/>
      <c r="AB749" s="64"/>
      <c r="AC749" s="33"/>
      <c r="AD749" s="64"/>
      <c r="AE749" s="64"/>
      <c r="AG749" s="64"/>
    </row>
    <row r="750" spans="4:33">
      <c r="D750" s="51"/>
      <c r="E750" s="51"/>
      <c r="F750" s="81"/>
      <c r="G750" s="81"/>
      <c r="H750" s="81"/>
      <c r="I750" s="15"/>
      <c r="K750" s="103"/>
      <c r="L750" s="103"/>
      <c r="M750" s="104"/>
      <c r="N750" s="104"/>
      <c r="O750" s="89"/>
      <c r="P750" s="105"/>
      <c r="AB750" s="64"/>
      <c r="AC750" s="33"/>
      <c r="AD750" s="64"/>
      <c r="AE750" s="64"/>
      <c r="AG750" s="64"/>
    </row>
    <row r="751" spans="4:33">
      <c r="D751" s="51"/>
      <c r="E751" s="51"/>
      <c r="F751" s="81"/>
      <c r="G751" s="81"/>
      <c r="H751" s="81"/>
      <c r="I751" s="15"/>
      <c r="K751" s="103"/>
      <c r="L751" s="103"/>
      <c r="M751" s="104"/>
      <c r="N751" s="104"/>
      <c r="O751" s="89"/>
      <c r="P751" s="105"/>
      <c r="AB751" s="64"/>
      <c r="AC751" s="33"/>
      <c r="AD751" s="64"/>
      <c r="AE751" s="64"/>
      <c r="AG751" s="64"/>
    </row>
    <row r="752" spans="4:33">
      <c r="D752" s="51"/>
      <c r="E752" s="51"/>
      <c r="F752" s="81"/>
      <c r="G752" s="81"/>
      <c r="H752" s="81"/>
      <c r="I752" s="15"/>
      <c r="K752" s="103"/>
      <c r="L752" s="103"/>
      <c r="M752" s="104"/>
      <c r="N752" s="104"/>
      <c r="O752" s="89"/>
      <c r="P752" s="105"/>
      <c r="AB752" s="64"/>
      <c r="AC752" s="33"/>
      <c r="AD752" s="64"/>
      <c r="AE752" s="64"/>
      <c r="AG752" s="64"/>
    </row>
    <row r="753" spans="4:34">
      <c r="D753" s="51"/>
      <c r="E753" s="51"/>
      <c r="F753" s="81"/>
      <c r="G753" s="81"/>
      <c r="H753" s="81"/>
      <c r="I753" s="15"/>
      <c r="K753" s="103"/>
      <c r="L753" s="103"/>
      <c r="M753" s="104"/>
      <c r="N753" s="104"/>
      <c r="O753" s="89"/>
      <c r="P753" s="105"/>
      <c r="AB753" s="64"/>
      <c r="AC753" s="33"/>
      <c r="AD753" s="64"/>
      <c r="AE753" s="64"/>
      <c r="AG753" s="64"/>
    </row>
    <row r="754" spans="4:34">
      <c r="D754" s="51"/>
      <c r="E754" s="51"/>
      <c r="F754" s="81"/>
      <c r="G754" s="81"/>
      <c r="H754" s="81"/>
      <c r="I754" s="15"/>
      <c r="K754" s="103"/>
      <c r="L754" s="103"/>
      <c r="M754" s="104"/>
      <c r="N754" s="104"/>
      <c r="O754" s="89"/>
      <c r="P754" s="105"/>
      <c r="AB754" s="64"/>
      <c r="AC754" s="33"/>
      <c r="AD754" s="64"/>
      <c r="AE754" s="64"/>
      <c r="AG754" s="64"/>
    </row>
    <row r="755" spans="4:34">
      <c r="D755" s="51"/>
      <c r="E755" s="51"/>
      <c r="F755" s="81"/>
      <c r="G755" s="81"/>
      <c r="H755" s="81"/>
      <c r="I755" s="15"/>
      <c r="K755" s="103"/>
      <c r="L755" s="103"/>
      <c r="M755" s="104"/>
      <c r="N755" s="104"/>
      <c r="O755" s="89"/>
      <c r="P755" s="105"/>
      <c r="AB755" s="64"/>
      <c r="AC755" s="33"/>
      <c r="AD755" s="64"/>
      <c r="AE755" s="64"/>
      <c r="AG755" s="64"/>
    </row>
    <row r="756" spans="4:34">
      <c r="D756" s="51"/>
      <c r="E756" s="51"/>
      <c r="F756" s="81"/>
      <c r="G756" s="81"/>
      <c r="H756" s="81"/>
      <c r="I756" s="15"/>
      <c r="K756" s="103"/>
      <c r="L756" s="103"/>
      <c r="M756" s="104"/>
      <c r="N756" s="104"/>
      <c r="O756" s="89"/>
      <c r="P756" s="105"/>
      <c r="AB756" s="64"/>
      <c r="AC756" s="33"/>
      <c r="AD756" s="64"/>
      <c r="AE756" s="64"/>
      <c r="AG756" s="64"/>
    </row>
    <row r="757" spans="4:34">
      <c r="D757" s="51"/>
      <c r="E757" s="51"/>
      <c r="F757" s="81"/>
      <c r="G757" s="81"/>
      <c r="H757" s="81"/>
      <c r="I757" s="15"/>
      <c r="K757" s="103"/>
      <c r="L757" s="103"/>
      <c r="M757" s="104"/>
      <c r="N757" s="104"/>
      <c r="O757" s="89"/>
      <c r="P757" s="105"/>
      <c r="AB757" s="64"/>
      <c r="AC757" s="33"/>
      <c r="AD757" s="64"/>
      <c r="AE757" s="64"/>
      <c r="AG757" s="64"/>
    </row>
    <row r="758" spans="4:34">
      <c r="D758" s="51"/>
      <c r="E758" s="51"/>
      <c r="F758" s="81"/>
      <c r="G758" s="81"/>
      <c r="H758" s="81"/>
      <c r="I758" s="15"/>
      <c r="K758" s="103"/>
      <c r="L758" s="103"/>
      <c r="M758" s="104"/>
      <c r="N758" s="104"/>
      <c r="O758" s="89"/>
      <c r="P758" s="105"/>
      <c r="AB758" s="64"/>
      <c r="AC758" s="33"/>
      <c r="AD758" s="64"/>
      <c r="AE758" s="64"/>
      <c r="AG758" s="64"/>
    </row>
    <row r="759" spans="4:34">
      <c r="D759" s="51"/>
      <c r="E759" s="51"/>
      <c r="F759" s="81"/>
      <c r="G759" s="81"/>
      <c r="H759" s="81"/>
      <c r="I759" s="15"/>
      <c r="K759" s="103"/>
      <c r="L759" s="103"/>
      <c r="M759" s="104"/>
      <c r="N759" s="104"/>
      <c r="O759" s="89"/>
      <c r="P759" s="105"/>
      <c r="AB759" s="64"/>
      <c r="AC759" s="33"/>
      <c r="AD759" s="64"/>
      <c r="AE759" s="64"/>
      <c r="AG759" s="64"/>
    </row>
    <row r="760" spans="4:34">
      <c r="D760" s="51"/>
      <c r="E760" s="51"/>
      <c r="F760" s="81"/>
      <c r="G760" s="81"/>
      <c r="H760" s="81"/>
      <c r="I760" s="15"/>
      <c r="K760" s="103"/>
      <c r="L760" s="103"/>
      <c r="M760" s="104"/>
      <c r="N760" s="104"/>
      <c r="O760" s="89"/>
      <c r="P760" s="105"/>
      <c r="AB760" s="64"/>
      <c r="AC760" s="33"/>
      <c r="AD760" s="64"/>
      <c r="AE760" s="64"/>
      <c r="AG760" s="64"/>
    </row>
    <row r="761" spans="4:34">
      <c r="D761" s="51"/>
      <c r="E761" s="51"/>
      <c r="F761" s="81"/>
      <c r="G761" s="81"/>
      <c r="H761" s="81"/>
      <c r="I761" s="15"/>
      <c r="K761" s="103"/>
      <c r="L761" s="103"/>
      <c r="M761" s="104"/>
      <c r="N761" s="104"/>
      <c r="O761" s="89"/>
      <c r="P761" s="105"/>
      <c r="AB761" s="64"/>
      <c r="AC761" s="33"/>
      <c r="AD761" s="64"/>
      <c r="AE761" s="64"/>
      <c r="AG761" s="64"/>
    </row>
    <row r="762" spans="4:34">
      <c r="D762" s="51"/>
      <c r="E762" s="51"/>
      <c r="F762" s="81"/>
      <c r="G762" s="81"/>
      <c r="H762" s="81"/>
      <c r="I762" s="15"/>
      <c r="K762" s="103"/>
      <c r="L762" s="103"/>
      <c r="M762" s="104"/>
      <c r="N762" s="104"/>
      <c r="O762" s="89"/>
      <c r="P762" s="105"/>
      <c r="AB762" s="64"/>
      <c r="AC762" s="33"/>
      <c r="AD762" s="64"/>
      <c r="AE762" s="64"/>
      <c r="AG762" s="64"/>
    </row>
    <row r="763" spans="4:34">
      <c r="D763" s="51"/>
      <c r="E763" s="51"/>
      <c r="F763" s="81"/>
      <c r="G763" s="81"/>
      <c r="H763" s="81"/>
      <c r="I763" s="15"/>
      <c r="K763" s="103"/>
      <c r="L763" s="103"/>
      <c r="M763" s="104"/>
      <c r="N763" s="104"/>
      <c r="O763" s="89"/>
      <c r="P763" s="105"/>
      <c r="AB763" s="64"/>
      <c r="AC763" s="33"/>
      <c r="AD763" s="64"/>
      <c r="AE763" s="64"/>
      <c r="AG763" s="64"/>
    </row>
    <row r="764" spans="4:34">
      <c r="D764" s="51"/>
      <c r="E764" s="51"/>
      <c r="F764" s="81"/>
      <c r="G764" s="81"/>
      <c r="H764" s="81"/>
      <c r="I764" s="15"/>
      <c r="K764" s="103"/>
      <c r="L764" s="103"/>
      <c r="M764" s="104"/>
      <c r="N764" s="104"/>
      <c r="O764" s="89"/>
      <c r="P764" s="105"/>
      <c r="AB764" s="64"/>
      <c r="AC764" s="33"/>
      <c r="AD764" s="64"/>
      <c r="AE764" s="64"/>
      <c r="AG764" s="64"/>
    </row>
    <row r="765" spans="4:34">
      <c r="D765" s="51"/>
      <c r="E765" s="51"/>
      <c r="F765" s="81"/>
      <c r="G765" s="81"/>
      <c r="H765" s="81"/>
      <c r="I765" s="15"/>
      <c r="K765" s="103"/>
      <c r="L765" s="103"/>
      <c r="M765" s="104"/>
      <c r="N765" s="104"/>
      <c r="O765" s="89"/>
      <c r="P765" s="105"/>
      <c r="AB765" s="64"/>
      <c r="AC765" s="33"/>
      <c r="AD765" s="64"/>
      <c r="AE765" s="64"/>
      <c r="AG765" s="64"/>
    </row>
    <row r="766" spans="4:34">
      <c r="D766" s="51"/>
      <c r="E766" s="51"/>
      <c r="F766" s="81"/>
      <c r="G766" s="81"/>
      <c r="H766" s="81"/>
      <c r="I766" s="15"/>
      <c r="K766" s="103"/>
      <c r="L766" s="103"/>
      <c r="M766" s="104"/>
      <c r="N766" s="104"/>
      <c r="O766" s="89"/>
      <c r="P766" s="105"/>
      <c r="AB766" s="64"/>
      <c r="AC766" s="33"/>
      <c r="AD766" s="106"/>
      <c r="AE766" s="106"/>
      <c r="AF766" s="107"/>
      <c r="AG766" s="106"/>
      <c r="AH766" s="108"/>
    </row>
    <row r="767" spans="4:34">
      <c r="D767" s="51"/>
      <c r="E767" s="51"/>
      <c r="F767" s="81"/>
      <c r="G767" s="81"/>
      <c r="H767" s="81"/>
      <c r="I767" s="15"/>
      <c r="K767" s="103"/>
      <c r="L767" s="103"/>
      <c r="M767" s="104"/>
      <c r="N767" s="104"/>
      <c r="O767" s="89"/>
      <c r="P767" s="105"/>
      <c r="AB767" s="64"/>
      <c r="AC767" s="33"/>
      <c r="AD767" s="64"/>
      <c r="AE767" s="64"/>
      <c r="AG767" s="64"/>
    </row>
    <row r="768" spans="4:34">
      <c r="D768" s="51"/>
      <c r="E768" s="51"/>
      <c r="F768" s="81"/>
      <c r="G768" s="81"/>
      <c r="H768" s="81"/>
      <c r="I768" s="15"/>
      <c r="K768" s="103"/>
      <c r="L768" s="103"/>
      <c r="M768" s="104"/>
      <c r="N768" s="104"/>
      <c r="O768" s="89"/>
      <c r="P768" s="105"/>
      <c r="AB768" s="64"/>
      <c r="AC768" s="33"/>
      <c r="AD768" s="64"/>
      <c r="AE768" s="64"/>
      <c r="AG768" s="64"/>
    </row>
    <row r="769" spans="4:33">
      <c r="D769" s="51"/>
      <c r="E769" s="51"/>
      <c r="F769" s="81"/>
      <c r="G769" s="81"/>
      <c r="H769" s="81"/>
      <c r="I769" s="15"/>
      <c r="K769" s="103"/>
      <c r="L769" s="103"/>
      <c r="M769" s="104"/>
      <c r="N769" s="104"/>
      <c r="O769" s="89"/>
      <c r="P769" s="105"/>
      <c r="AB769" s="64"/>
      <c r="AC769" s="33"/>
      <c r="AD769" s="64"/>
      <c r="AE769" s="64"/>
      <c r="AG769" s="64"/>
    </row>
    <row r="770" spans="4:33">
      <c r="D770" s="51"/>
      <c r="E770" s="51"/>
      <c r="F770" s="81"/>
      <c r="G770" s="81"/>
      <c r="H770" s="81"/>
      <c r="I770" s="15"/>
      <c r="K770" s="103"/>
      <c r="L770" s="103"/>
      <c r="M770" s="104"/>
      <c r="N770" s="104"/>
      <c r="O770" s="89"/>
      <c r="P770" s="105"/>
      <c r="AB770" s="64"/>
      <c r="AC770" s="33"/>
      <c r="AD770" s="64"/>
      <c r="AE770" s="64"/>
      <c r="AG770" s="64"/>
    </row>
    <row r="771" spans="4:33">
      <c r="D771" s="51"/>
      <c r="E771" s="51"/>
      <c r="F771" s="81"/>
      <c r="G771" s="81"/>
      <c r="H771" s="81"/>
      <c r="I771" s="15"/>
      <c r="K771" s="103"/>
      <c r="L771" s="103"/>
      <c r="M771" s="104"/>
      <c r="N771" s="104"/>
      <c r="O771" s="89"/>
      <c r="P771" s="105"/>
      <c r="AB771" s="64"/>
      <c r="AC771" s="33"/>
      <c r="AD771" s="64"/>
      <c r="AE771" s="64"/>
      <c r="AG771" s="64"/>
    </row>
    <row r="772" spans="4:33">
      <c r="D772" s="51"/>
      <c r="E772" s="51"/>
      <c r="F772" s="81"/>
      <c r="G772" s="81"/>
      <c r="H772" s="81"/>
      <c r="I772" s="15"/>
      <c r="K772" s="103"/>
      <c r="L772" s="103"/>
      <c r="M772" s="104"/>
      <c r="N772" s="104"/>
      <c r="O772" s="89"/>
      <c r="P772" s="105"/>
      <c r="AB772" s="64"/>
      <c r="AC772" s="33"/>
      <c r="AD772" s="64"/>
      <c r="AE772" s="64"/>
      <c r="AG772" s="64"/>
    </row>
    <row r="773" spans="4:33">
      <c r="D773" s="51"/>
      <c r="E773" s="51"/>
      <c r="F773" s="81"/>
      <c r="G773" s="81"/>
      <c r="H773" s="81"/>
      <c r="I773" s="15"/>
      <c r="K773" s="103"/>
      <c r="L773" s="103"/>
      <c r="M773" s="104"/>
      <c r="N773" s="104"/>
      <c r="O773" s="89"/>
      <c r="P773" s="105"/>
      <c r="AB773" s="64"/>
      <c r="AC773" s="33"/>
      <c r="AD773" s="64"/>
      <c r="AE773" s="64"/>
      <c r="AG773" s="64"/>
    </row>
    <row r="774" spans="4:33">
      <c r="D774" s="51"/>
      <c r="E774" s="51"/>
      <c r="F774" s="81"/>
      <c r="G774" s="81"/>
      <c r="H774" s="81"/>
      <c r="I774" s="15"/>
      <c r="K774" s="103"/>
      <c r="L774" s="103"/>
      <c r="M774" s="104"/>
      <c r="N774" s="104"/>
      <c r="O774" s="89"/>
      <c r="P774" s="105"/>
      <c r="AB774" s="64"/>
      <c r="AC774" s="33"/>
      <c r="AD774" s="64"/>
      <c r="AE774" s="64"/>
      <c r="AG774" s="64"/>
    </row>
    <row r="775" spans="4:33">
      <c r="D775" s="51"/>
      <c r="E775" s="51"/>
      <c r="F775" s="81"/>
      <c r="G775" s="81"/>
      <c r="H775" s="81"/>
      <c r="I775" s="15"/>
      <c r="K775" s="103"/>
      <c r="L775" s="103"/>
      <c r="M775" s="104"/>
      <c r="N775" s="104"/>
      <c r="O775" s="89"/>
      <c r="P775" s="105"/>
      <c r="AB775" s="64"/>
      <c r="AC775" s="33"/>
      <c r="AD775" s="64"/>
      <c r="AE775" s="64"/>
      <c r="AG775" s="64"/>
    </row>
    <row r="776" spans="4:33">
      <c r="D776" s="51"/>
      <c r="E776" s="51"/>
      <c r="F776" s="81"/>
      <c r="G776" s="81"/>
      <c r="H776" s="81"/>
      <c r="I776" s="15"/>
      <c r="K776" s="103"/>
      <c r="L776" s="103"/>
      <c r="M776" s="104"/>
      <c r="N776" s="104"/>
      <c r="O776" s="89"/>
      <c r="P776" s="105"/>
      <c r="AB776" s="64"/>
      <c r="AC776" s="33"/>
      <c r="AD776" s="64"/>
      <c r="AE776" s="64"/>
      <c r="AG776" s="64"/>
    </row>
    <row r="777" spans="4:33">
      <c r="D777" s="51"/>
      <c r="E777" s="51"/>
      <c r="F777" s="81"/>
      <c r="G777" s="81"/>
      <c r="H777" s="81"/>
      <c r="I777" s="15"/>
      <c r="K777" s="103"/>
      <c r="L777" s="103"/>
      <c r="M777" s="104"/>
      <c r="N777" s="104"/>
      <c r="O777" s="89"/>
      <c r="P777" s="105"/>
      <c r="AB777" s="64"/>
      <c r="AC777" s="33"/>
      <c r="AD777" s="64"/>
      <c r="AE777" s="64"/>
      <c r="AG777" s="64"/>
    </row>
    <row r="778" spans="4:33">
      <c r="D778" s="51"/>
      <c r="E778" s="51"/>
      <c r="F778" s="81"/>
      <c r="G778" s="81"/>
      <c r="H778" s="81"/>
      <c r="I778" s="15"/>
      <c r="K778" s="103"/>
      <c r="L778" s="103"/>
      <c r="M778" s="104"/>
      <c r="N778" s="104"/>
      <c r="O778" s="89"/>
      <c r="P778" s="105"/>
      <c r="AB778" s="64"/>
      <c r="AC778" s="33"/>
      <c r="AD778" s="64"/>
      <c r="AE778" s="64"/>
      <c r="AG778" s="64"/>
    </row>
    <row r="779" spans="4:33">
      <c r="D779" s="51"/>
      <c r="E779" s="51"/>
      <c r="F779" s="81"/>
      <c r="G779" s="81"/>
      <c r="H779" s="81"/>
      <c r="I779" s="15"/>
      <c r="K779" s="103"/>
      <c r="L779" s="103"/>
      <c r="M779" s="104"/>
      <c r="N779" s="104"/>
      <c r="O779" s="89"/>
      <c r="P779" s="105"/>
      <c r="AB779" s="64"/>
      <c r="AC779" s="33"/>
      <c r="AD779" s="64"/>
      <c r="AE779" s="64"/>
      <c r="AG779" s="64"/>
    </row>
    <row r="780" spans="4:33">
      <c r="D780" s="51"/>
      <c r="E780" s="51"/>
      <c r="F780" s="81"/>
      <c r="G780" s="81"/>
      <c r="H780" s="81"/>
      <c r="I780" s="15"/>
      <c r="K780" s="103"/>
      <c r="L780" s="103"/>
      <c r="M780" s="104"/>
      <c r="N780" s="104"/>
      <c r="O780" s="89"/>
      <c r="P780" s="105"/>
      <c r="AB780" s="64"/>
      <c r="AC780" s="33"/>
      <c r="AD780" s="64"/>
      <c r="AE780" s="64"/>
      <c r="AG780" s="64"/>
    </row>
    <row r="781" spans="4:33">
      <c r="D781" s="51"/>
      <c r="E781" s="51"/>
      <c r="F781" s="81"/>
      <c r="G781" s="81"/>
      <c r="H781" s="81"/>
      <c r="I781" s="15"/>
      <c r="K781" s="103"/>
      <c r="L781" s="103"/>
      <c r="M781" s="104"/>
      <c r="N781" s="104"/>
      <c r="O781" s="89"/>
      <c r="P781" s="105"/>
      <c r="AB781" s="64"/>
      <c r="AC781" s="33"/>
      <c r="AD781" s="64"/>
      <c r="AE781" s="64"/>
      <c r="AG781" s="64"/>
    </row>
    <row r="782" spans="4:33">
      <c r="D782" s="51"/>
      <c r="E782" s="51"/>
      <c r="F782" s="81"/>
      <c r="G782" s="81"/>
      <c r="H782" s="81"/>
      <c r="I782" s="15"/>
      <c r="K782" s="103"/>
      <c r="L782" s="103"/>
      <c r="M782" s="104"/>
      <c r="N782" s="104"/>
      <c r="O782" s="89"/>
      <c r="P782" s="105"/>
      <c r="AB782" s="64"/>
      <c r="AC782" s="33"/>
      <c r="AD782" s="64"/>
      <c r="AE782" s="64"/>
      <c r="AG782" s="64"/>
    </row>
    <row r="783" spans="4:33">
      <c r="D783" s="51"/>
      <c r="E783" s="51"/>
      <c r="F783" s="81"/>
      <c r="G783" s="81"/>
      <c r="H783" s="81"/>
      <c r="I783" s="15"/>
      <c r="K783" s="103"/>
      <c r="L783" s="103"/>
      <c r="M783" s="104"/>
      <c r="N783" s="104"/>
      <c r="O783" s="89"/>
      <c r="P783" s="105"/>
      <c r="AB783" s="64"/>
      <c r="AC783" s="33"/>
      <c r="AD783" s="64"/>
      <c r="AE783" s="64"/>
      <c r="AG783" s="64"/>
    </row>
    <row r="784" spans="4:33">
      <c r="D784" s="51"/>
      <c r="E784" s="51"/>
      <c r="F784" s="81"/>
      <c r="G784" s="81"/>
      <c r="H784" s="81"/>
      <c r="I784" s="15"/>
      <c r="K784" s="103"/>
      <c r="L784" s="103"/>
      <c r="M784" s="104"/>
      <c r="N784" s="104"/>
      <c r="O784" s="89"/>
      <c r="P784" s="105"/>
      <c r="AB784" s="64"/>
      <c r="AC784" s="33"/>
      <c r="AD784" s="64"/>
      <c r="AE784" s="64"/>
      <c r="AG784" s="64"/>
    </row>
    <row r="785" spans="4:33">
      <c r="D785" s="51"/>
      <c r="E785" s="51"/>
      <c r="F785" s="81"/>
      <c r="G785" s="81"/>
      <c r="H785" s="81"/>
      <c r="I785" s="15"/>
      <c r="K785" s="103"/>
      <c r="L785" s="103"/>
      <c r="M785" s="104"/>
      <c r="N785" s="104"/>
      <c r="O785" s="89"/>
      <c r="P785" s="105"/>
      <c r="AB785" s="64"/>
      <c r="AC785" s="33"/>
      <c r="AD785" s="64"/>
      <c r="AE785" s="64"/>
      <c r="AG785" s="64"/>
    </row>
    <row r="786" spans="4:33">
      <c r="D786" s="51"/>
      <c r="E786" s="51"/>
      <c r="F786" s="81"/>
      <c r="G786" s="81"/>
      <c r="H786" s="81"/>
      <c r="I786" s="15"/>
      <c r="K786" s="103"/>
      <c r="L786" s="103"/>
      <c r="M786" s="104"/>
      <c r="N786" s="104"/>
      <c r="O786" s="89"/>
      <c r="P786" s="105"/>
      <c r="AB786" s="64"/>
      <c r="AC786" s="33"/>
      <c r="AD786" s="64"/>
      <c r="AE786" s="64"/>
      <c r="AG786" s="64"/>
    </row>
    <row r="787" spans="4:33">
      <c r="D787" s="51"/>
      <c r="E787" s="51"/>
      <c r="F787" s="81"/>
      <c r="G787" s="81"/>
      <c r="H787" s="81"/>
      <c r="I787" s="15"/>
      <c r="K787" s="103"/>
      <c r="L787" s="103"/>
      <c r="M787" s="104"/>
      <c r="N787" s="104"/>
      <c r="O787" s="89"/>
      <c r="P787" s="105"/>
      <c r="AB787" s="64"/>
      <c r="AC787" s="33"/>
      <c r="AD787" s="64"/>
      <c r="AE787" s="64"/>
      <c r="AG787" s="64"/>
    </row>
    <row r="788" spans="4:33">
      <c r="D788" s="51"/>
      <c r="E788" s="51"/>
      <c r="F788" s="81"/>
      <c r="G788" s="81"/>
      <c r="H788" s="81"/>
      <c r="I788" s="15"/>
      <c r="K788" s="103"/>
      <c r="L788" s="103"/>
      <c r="M788" s="104"/>
      <c r="N788" s="104"/>
      <c r="O788" s="89"/>
      <c r="P788" s="105"/>
      <c r="AB788" s="64"/>
      <c r="AC788" s="33"/>
      <c r="AD788" s="64"/>
      <c r="AE788" s="64"/>
      <c r="AG788" s="64"/>
    </row>
    <row r="789" spans="4:33">
      <c r="D789" s="51"/>
      <c r="E789" s="51"/>
      <c r="F789" s="81"/>
      <c r="G789" s="81"/>
      <c r="H789" s="81"/>
      <c r="I789" s="15"/>
      <c r="K789" s="103"/>
      <c r="L789" s="103"/>
      <c r="M789" s="104"/>
      <c r="N789" s="104"/>
      <c r="O789" s="89"/>
      <c r="P789" s="105"/>
      <c r="AB789" s="64"/>
      <c r="AC789" s="33"/>
      <c r="AD789" s="64"/>
      <c r="AE789" s="64"/>
      <c r="AG789" s="64"/>
    </row>
    <row r="790" spans="4:33">
      <c r="D790" s="51"/>
      <c r="E790" s="51"/>
      <c r="F790" s="81"/>
      <c r="G790" s="81"/>
      <c r="H790" s="81"/>
      <c r="I790" s="15"/>
      <c r="K790" s="103"/>
      <c r="L790" s="103"/>
      <c r="M790" s="104"/>
      <c r="N790" s="104"/>
      <c r="O790" s="89"/>
      <c r="P790" s="105"/>
      <c r="AB790" s="64"/>
      <c r="AC790" s="33"/>
      <c r="AD790" s="64"/>
      <c r="AE790" s="64"/>
      <c r="AG790" s="64"/>
    </row>
    <row r="791" spans="4:33">
      <c r="D791" s="51"/>
      <c r="E791" s="51"/>
      <c r="F791" s="81"/>
      <c r="G791" s="81"/>
      <c r="H791" s="81"/>
      <c r="I791" s="15"/>
      <c r="K791" s="103"/>
      <c r="L791" s="103"/>
      <c r="M791" s="104"/>
      <c r="N791" s="104"/>
      <c r="O791" s="89"/>
      <c r="P791" s="105"/>
      <c r="AB791" s="64"/>
      <c r="AC791" s="33"/>
      <c r="AD791" s="64"/>
      <c r="AE791" s="64"/>
      <c r="AG791" s="64"/>
    </row>
    <row r="792" spans="4:33">
      <c r="D792" s="51"/>
      <c r="E792" s="51"/>
      <c r="F792" s="81"/>
      <c r="G792" s="81"/>
      <c r="H792" s="81"/>
      <c r="I792" s="15"/>
      <c r="K792" s="103"/>
      <c r="L792" s="103"/>
      <c r="M792" s="104"/>
      <c r="N792" s="104"/>
      <c r="O792" s="89"/>
      <c r="P792" s="105"/>
      <c r="AB792" s="64"/>
      <c r="AC792" s="33"/>
      <c r="AD792" s="64"/>
      <c r="AE792" s="64"/>
      <c r="AG792" s="64"/>
    </row>
    <row r="793" spans="4:33">
      <c r="D793" s="51"/>
      <c r="E793" s="51"/>
      <c r="F793" s="81"/>
      <c r="G793" s="81"/>
      <c r="H793" s="81"/>
      <c r="I793" s="15"/>
      <c r="K793" s="103"/>
      <c r="L793" s="103"/>
      <c r="M793" s="104"/>
      <c r="N793" s="104"/>
      <c r="O793" s="89"/>
      <c r="P793" s="105"/>
      <c r="AB793" s="64"/>
      <c r="AC793" s="33"/>
      <c r="AD793" s="64"/>
      <c r="AE793" s="64"/>
      <c r="AG793" s="64"/>
    </row>
    <row r="794" spans="4:33">
      <c r="D794" s="51"/>
      <c r="E794" s="51"/>
      <c r="F794" s="81"/>
      <c r="G794" s="81"/>
      <c r="H794" s="81"/>
      <c r="I794" s="15"/>
      <c r="K794" s="103"/>
      <c r="L794" s="103"/>
      <c r="M794" s="104"/>
      <c r="N794" s="104"/>
      <c r="O794" s="89"/>
      <c r="P794" s="105"/>
      <c r="AB794" s="64"/>
      <c r="AC794" s="33"/>
      <c r="AD794" s="64"/>
      <c r="AE794" s="64"/>
      <c r="AG794" s="64"/>
    </row>
    <row r="795" spans="4:33">
      <c r="D795" s="51"/>
      <c r="E795" s="51"/>
      <c r="F795" s="81"/>
      <c r="G795" s="81"/>
      <c r="H795" s="81"/>
      <c r="I795" s="15"/>
      <c r="K795" s="103"/>
      <c r="L795" s="103"/>
      <c r="M795" s="104"/>
      <c r="N795" s="104"/>
      <c r="O795" s="89"/>
      <c r="P795" s="105"/>
      <c r="AB795" s="64"/>
      <c r="AC795" s="33"/>
      <c r="AD795" s="64"/>
      <c r="AE795" s="64"/>
      <c r="AG795" s="64"/>
    </row>
    <row r="796" spans="4:33">
      <c r="D796" s="51"/>
      <c r="E796" s="51"/>
      <c r="F796" s="81"/>
      <c r="G796" s="81"/>
      <c r="H796" s="81"/>
      <c r="I796" s="15"/>
      <c r="K796" s="103"/>
      <c r="L796" s="103"/>
      <c r="M796" s="104"/>
      <c r="N796" s="104"/>
      <c r="O796" s="89"/>
      <c r="P796" s="105"/>
      <c r="AB796" s="64"/>
      <c r="AC796" s="33"/>
      <c r="AD796" s="64"/>
      <c r="AE796" s="64"/>
      <c r="AG796" s="64"/>
    </row>
    <row r="797" spans="4:33">
      <c r="D797" s="51"/>
      <c r="E797" s="51"/>
      <c r="F797" s="81"/>
      <c r="G797" s="81"/>
      <c r="H797" s="81"/>
      <c r="I797" s="15"/>
      <c r="K797" s="103"/>
      <c r="L797" s="103"/>
      <c r="M797" s="104"/>
      <c r="N797" s="104"/>
      <c r="O797" s="89"/>
      <c r="P797" s="105"/>
      <c r="AB797" s="64"/>
      <c r="AC797" s="33"/>
      <c r="AD797" s="64"/>
      <c r="AE797" s="64"/>
      <c r="AG797" s="64"/>
    </row>
    <row r="798" spans="4:33">
      <c r="D798" s="51"/>
      <c r="E798" s="51"/>
      <c r="F798" s="81"/>
      <c r="G798" s="81"/>
      <c r="H798" s="81"/>
      <c r="I798" s="15"/>
      <c r="K798" s="103"/>
      <c r="L798" s="103"/>
      <c r="M798" s="104"/>
      <c r="N798" s="104"/>
      <c r="O798" s="89"/>
      <c r="P798" s="105"/>
      <c r="AB798" s="64"/>
      <c r="AC798" s="33"/>
      <c r="AD798" s="64"/>
      <c r="AE798" s="64"/>
      <c r="AG798" s="64"/>
    </row>
    <row r="799" spans="4:33">
      <c r="D799" s="51"/>
      <c r="E799" s="51"/>
      <c r="F799" s="81"/>
      <c r="G799" s="81"/>
      <c r="H799" s="81"/>
      <c r="I799" s="15"/>
      <c r="K799" s="103"/>
      <c r="L799" s="103"/>
      <c r="M799" s="104"/>
      <c r="N799" s="104"/>
      <c r="O799" s="89"/>
      <c r="P799" s="105"/>
      <c r="AB799" s="64"/>
      <c r="AC799" s="33"/>
      <c r="AD799" s="64"/>
      <c r="AE799" s="64"/>
      <c r="AG799" s="64"/>
    </row>
    <row r="800" spans="4:33">
      <c r="D800" s="51"/>
      <c r="E800" s="51"/>
      <c r="F800" s="81"/>
      <c r="G800" s="81"/>
      <c r="H800" s="81"/>
      <c r="I800" s="15"/>
      <c r="K800" s="103"/>
      <c r="L800" s="103"/>
      <c r="M800" s="104"/>
      <c r="N800" s="104"/>
      <c r="O800" s="89"/>
      <c r="P800" s="105"/>
      <c r="AB800" s="64"/>
      <c r="AC800" s="33"/>
      <c r="AD800" s="64"/>
      <c r="AE800" s="64"/>
      <c r="AG800" s="64"/>
    </row>
    <row r="801" spans="4:33">
      <c r="D801" s="51"/>
      <c r="E801" s="51"/>
      <c r="F801" s="81"/>
      <c r="G801" s="81"/>
      <c r="H801" s="81"/>
      <c r="I801" s="15"/>
      <c r="K801" s="103"/>
      <c r="L801" s="103"/>
      <c r="M801" s="104"/>
      <c r="N801" s="104"/>
      <c r="O801" s="89"/>
      <c r="P801" s="105"/>
      <c r="AB801" s="64"/>
      <c r="AC801" s="33"/>
      <c r="AD801" s="64"/>
      <c r="AE801" s="64"/>
      <c r="AG801" s="64"/>
    </row>
    <row r="802" spans="4:33">
      <c r="D802" s="51"/>
      <c r="E802" s="51"/>
      <c r="F802" s="81"/>
      <c r="G802" s="81"/>
      <c r="H802" s="81"/>
      <c r="I802" s="15"/>
      <c r="K802" s="103"/>
      <c r="L802" s="103"/>
      <c r="M802" s="104"/>
      <c r="N802" s="104"/>
      <c r="O802" s="89"/>
      <c r="P802" s="105"/>
      <c r="AB802" s="64"/>
      <c r="AC802" s="33"/>
      <c r="AD802" s="64"/>
      <c r="AE802" s="64"/>
      <c r="AG802" s="64"/>
    </row>
    <row r="803" spans="4:33">
      <c r="D803" s="51"/>
      <c r="E803" s="51"/>
      <c r="F803" s="81"/>
      <c r="G803" s="81"/>
      <c r="H803" s="81"/>
      <c r="I803" s="15"/>
      <c r="K803" s="103"/>
      <c r="L803" s="103"/>
      <c r="M803" s="104"/>
      <c r="N803" s="104"/>
      <c r="O803" s="89"/>
      <c r="P803" s="105"/>
      <c r="AB803" s="64"/>
      <c r="AC803" s="33"/>
      <c r="AD803" s="64"/>
      <c r="AE803" s="64"/>
      <c r="AG803" s="64"/>
    </row>
    <row r="804" spans="4:33">
      <c r="D804" s="51"/>
      <c r="E804" s="51"/>
      <c r="F804" s="81"/>
      <c r="G804" s="81"/>
      <c r="H804" s="81"/>
      <c r="I804" s="15"/>
      <c r="K804" s="103"/>
      <c r="L804" s="103"/>
      <c r="M804" s="104"/>
      <c r="N804" s="104"/>
      <c r="O804" s="89"/>
      <c r="P804" s="105"/>
      <c r="AB804" s="64"/>
      <c r="AC804" s="33"/>
      <c r="AD804" s="64"/>
      <c r="AE804" s="64"/>
      <c r="AG804" s="64"/>
    </row>
    <row r="805" spans="4:33">
      <c r="D805" s="51"/>
      <c r="E805" s="51"/>
      <c r="F805" s="81"/>
      <c r="G805" s="81"/>
      <c r="H805" s="81"/>
      <c r="I805" s="15"/>
      <c r="K805" s="103"/>
      <c r="L805" s="103"/>
      <c r="M805" s="104"/>
      <c r="N805" s="104"/>
      <c r="O805" s="89"/>
      <c r="P805" s="105"/>
      <c r="AB805" s="64"/>
      <c r="AC805" s="33"/>
      <c r="AD805" s="64"/>
      <c r="AE805" s="64"/>
      <c r="AG805" s="64"/>
    </row>
    <row r="806" spans="4:33">
      <c r="D806" s="51"/>
      <c r="E806" s="51"/>
      <c r="F806" s="81"/>
      <c r="G806" s="81"/>
      <c r="H806" s="81"/>
      <c r="I806" s="15"/>
      <c r="K806" s="103"/>
      <c r="L806" s="103"/>
      <c r="M806" s="104"/>
      <c r="N806" s="104"/>
      <c r="O806" s="89"/>
      <c r="P806" s="105"/>
      <c r="AB806" s="64"/>
      <c r="AC806" s="33"/>
      <c r="AD806" s="64"/>
      <c r="AE806" s="64"/>
      <c r="AG806" s="64"/>
    </row>
    <row r="807" spans="4:33">
      <c r="D807" s="51"/>
      <c r="E807" s="51"/>
      <c r="F807" s="81"/>
      <c r="G807" s="81"/>
      <c r="H807" s="81"/>
      <c r="I807" s="15"/>
      <c r="K807" s="103"/>
      <c r="L807" s="103"/>
      <c r="M807" s="104"/>
      <c r="N807" s="104"/>
      <c r="O807" s="89"/>
      <c r="P807" s="105"/>
      <c r="AB807" s="64"/>
      <c r="AC807" s="33"/>
      <c r="AD807" s="64"/>
      <c r="AE807" s="64"/>
      <c r="AG807" s="64"/>
    </row>
    <row r="808" spans="4:33">
      <c r="D808" s="51"/>
      <c r="E808" s="51"/>
      <c r="F808" s="81"/>
      <c r="G808" s="81"/>
      <c r="H808" s="81"/>
      <c r="I808" s="15"/>
      <c r="K808" s="103"/>
      <c r="L808" s="103"/>
      <c r="M808" s="104"/>
      <c r="N808" s="104"/>
      <c r="O808" s="89"/>
      <c r="P808" s="105"/>
      <c r="AB808" s="64"/>
      <c r="AC808" s="33"/>
      <c r="AD808" s="64"/>
      <c r="AE808" s="64"/>
      <c r="AG808" s="64"/>
    </row>
    <row r="809" spans="4:33">
      <c r="D809" s="51"/>
      <c r="E809" s="51"/>
      <c r="F809" s="81"/>
      <c r="G809" s="81"/>
      <c r="H809" s="81"/>
      <c r="I809" s="15"/>
      <c r="K809" s="103"/>
      <c r="L809" s="103"/>
      <c r="M809" s="104"/>
      <c r="N809" s="104"/>
      <c r="O809" s="89"/>
      <c r="P809" s="105"/>
      <c r="AB809" s="64"/>
      <c r="AC809" s="33"/>
      <c r="AD809" s="64"/>
      <c r="AE809" s="64"/>
      <c r="AG809" s="64"/>
    </row>
    <row r="810" spans="4:33">
      <c r="D810" s="51"/>
      <c r="E810" s="51"/>
      <c r="F810" s="81"/>
      <c r="G810" s="81"/>
      <c r="H810" s="81"/>
      <c r="I810" s="15"/>
      <c r="K810" s="103"/>
      <c r="L810" s="103"/>
      <c r="M810" s="104"/>
      <c r="N810" s="104"/>
      <c r="O810" s="89"/>
      <c r="P810" s="105"/>
      <c r="AB810" s="71"/>
      <c r="AC810" s="33"/>
      <c r="AD810" s="64"/>
      <c r="AE810" s="64"/>
      <c r="AG810" s="64"/>
    </row>
    <row r="811" spans="4:33">
      <c r="D811" s="51"/>
      <c r="E811" s="51"/>
      <c r="F811" s="81"/>
      <c r="G811" s="81"/>
      <c r="H811" s="81"/>
      <c r="I811" s="15"/>
      <c r="K811" s="103"/>
      <c r="L811" s="103"/>
      <c r="M811" s="104"/>
      <c r="N811" s="104"/>
      <c r="O811" s="89"/>
      <c r="P811" s="105"/>
      <c r="AB811" s="71"/>
      <c r="AC811" s="33"/>
      <c r="AD811" s="64"/>
      <c r="AE811" s="64"/>
      <c r="AG811" s="64"/>
    </row>
    <row r="812" spans="4:33">
      <c r="I812" s="15"/>
      <c r="K812" s="103"/>
      <c r="L812" s="103"/>
      <c r="M812" s="104"/>
      <c r="N812" s="104"/>
      <c r="O812" s="89"/>
      <c r="P812" s="105"/>
      <c r="AB812" s="71"/>
      <c r="AC812" s="33"/>
      <c r="AD812" s="64"/>
      <c r="AE812" s="64"/>
      <c r="AG812" s="64"/>
    </row>
    <row r="813" spans="4:33">
      <c r="I813" s="15"/>
      <c r="K813" s="103"/>
      <c r="L813" s="103"/>
      <c r="M813" s="104"/>
      <c r="N813" s="104"/>
      <c r="O813" s="89"/>
      <c r="P813" s="105"/>
      <c r="AB813" s="71"/>
      <c r="AC813" s="33"/>
      <c r="AD813" s="64"/>
      <c r="AE813" s="64"/>
      <c r="AG813" s="64"/>
    </row>
    <row r="814" spans="4:33">
      <c r="I814" s="15"/>
      <c r="K814" s="103"/>
      <c r="L814" s="103"/>
      <c r="M814" s="104"/>
      <c r="N814" s="104"/>
      <c r="O814" s="89"/>
      <c r="P814" s="105"/>
      <c r="AB814" s="71"/>
      <c r="AC814" s="33"/>
      <c r="AD814" s="64"/>
      <c r="AE814" s="64"/>
      <c r="AG814" s="64"/>
    </row>
    <row r="815" spans="4:33">
      <c r="I815" s="15"/>
      <c r="K815" s="103"/>
      <c r="L815" s="103"/>
      <c r="M815" s="104"/>
      <c r="N815" s="104"/>
      <c r="O815" s="89"/>
      <c r="P815" s="105"/>
      <c r="AB815" s="71"/>
      <c r="AC815" s="33"/>
      <c r="AD815" s="64"/>
      <c r="AE815" s="64"/>
      <c r="AG815" s="64"/>
    </row>
    <row r="816" spans="4:33">
      <c r="I816" s="15"/>
      <c r="K816" s="103"/>
      <c r="L816" s="103"/>
      <c r="M816" s="104"/>
      <c r="N816" s="104"/>
      <c r="O816" s="89"/>
      <c r="P816" s="105"/>
      <c r="AB816" s="71"/>
      <c r="AC816" s="33"/>
      <c r="AD816" s="64"/>
      <c r="AE816" s="64"/>
      <c r="AG816" s="64"/>
    </row>
    <row r="817" spans="9:33">
      <c r="I817" s="15"/>
      <c r="K817" s="103"/>
      <c r="L817" s="103"/>
      <c r="M817" s="104"/>
      <c r="N817" s="104"/>
      <c r="O817" s="89"/>
      <c r="P817" s="105"/>
      <c r="AB817" s="71"/>
      <c r="AC817" s="33"/>
      <c r="AD817" s="64"/>
      <c r="AE817" s="64"/>
      <c r="AG817" s="64"/>
    </row>
    <row r="818" spans="9:33">
      <c r="I818" s="15"/>
      <c r="K818" s="103"/>
      <c r="L818" s="103"/>
      <c r="M818" s="104"/>
      <c r="N818" s="104"/>
      <c r="O818" s="89"/>
      <c r="P818" s="105"/>
      <c r="AB818" s="71"/>
      <c r="AC818" s="33"/>
      <c r="AD818" s="64"/>
      <c r="AE818" s="64"/>
      <c r="AG818" s="64"/>
    </row>
    <row r="819" spans="9:33">
      <c r="I819" s="15"/>
      <c r="K819" s="103"/>
      <c r="L819" s="103"/>
      <c r="M819" s="104"/>
      <c r="N819" s="104"/>
      <c r="O819" s="89"/>
      <c r="P819" s="105"/>
      <c r="AB819" s="71"/>
      <c r="AC819" s="33"/>
      <c r="AD819" s="64"/>
      <c r="AE819" s="64"/>
      <c r="AG819" s="64"/>
    </row>
    <row r="820" spans="9:33">
      <c r="I820" s="15"/>
      <c r="K820" s="103"/>
      <c r="L820" s="103"/>
      <c r="M820" s="104"/>
      <c r="N820" s="104"/>
      <c r="O820" s="89"/>
      <c r="P820" s="105"/>
      <c r="AB820" s="71"/>
      <c r="AC820" s="33"/>
      <c r="AD820" s="64"/>
      <c r="AE820" s="64"/>
      <c r="AG820" s="64"/>
    </row>
    <row r="821" spans="9:33">
      <c r="I821" s="15"/>
      <c r="K821" s="103"/>
      <c r="L821" s="103"/>
      <c r="M821" s="104"/>
      <c r="N821" s="104"/>
      <c r="O821" s="89"/>
      <c r="P821" s="105"/>
      <c r="AB821" s="109"/>
      <c r="AC821" s="33"/>
      <c r="AD821" s="64"/>
      <c r="AE821" s="64"/>
      <c r="AG821" s="64"/>
    </row>
    <row r="822" spans="9:33">
      <c r="I822" s="15"/>
      <c r="K822" s="103"/>
      <c r="L822" s="103"/>
      <c r="M822" s="104"/>
      <c r="N822" s="104"/>
      <c r="O822" s="89"/>
      <c r="P822" s="105"/>
      <c r="AB822" s="109"/>
      <c r="AC822" s="33"/>
      <c r="AD822" s="64"/>
      <c r="AE822" s="64"/>
      <c r="AG822" s="64"/>
    </row>
    <row r="823" spans="9:33">
      <c r="I823" s="15"/>
      <c r="K823" s="103"/>
      <c r="L823" s="103"/>
      <c r="M823" s="104"/>
      <c r="N823" s="104"/>
      <c r="O823" s="89"/>
      <c r="P823" s="105"/>
      <c r="AB823" s="109"/>
      <c r="AC823" s="33"/>
      <c r="AD823" s="64"/>
      <c r="AE823" s="64"/>
      <c r="AG823" s="64"/>
    </row>
    <row r="824" spans="9:33">
      <c r="I824" s="15"/>
      <c r="K824" s="103"/>
      <c r="L824" s="103"/>
      <c r="M824" s="104"/>
      <c r="N824" s="104"/>
      <c r="O824" s="89"/>
      <c r="P824" s="105"/>
      <c r="AB824" s="109"/>
      <c r="AC824" s="33"/>
      <c r="AD824" s="64"/>
      <c r="AE824" s="64"/>
      <c r="AG824" s="64"/>
    </row>
    <row r="825" spans="9:33">
      <c r="I825" s="15"/>
      <c r="K825" s="103"/>
      <c r="L825" s="103"/>
      <c r="M825" s="104"/>
      <c r="N825" s="104"/>
      <c r="O825" s="89"/>
      <c r="P825" s="105"/>
      <c r="AB825" s="109"/>
      <c r="AC825" s="33"/>
      <c r="AD825" s="64"/>
      <c r="AE825" s="64"/>
      <c r="AG825" s="64"/>
    </row>
    <row r="826" spans="9:33">
      <c r="I826" s="15"/>
      <c r="K826" s="103"/>
      <c r="L826" s="103"/>
      <c r="M826" s="104"/>
      <c r="N826" s="104"/>
      <c r="O826" s="89"/>
      <c r="P826" s="105"/>
      <c r="AB826" s="109"/>
      <c r="AC826" s="33"/>
      <c r="AD826" s="64"/>
      <c r="AE826" s="64"/>
      <c r="AG826" s="64"/>
    </row>
    <row r="827" spans="9:33">
      <c r="I827" s="15"/>
      <c r="K827" s="103"/>
      <c r="L827" s="103"/>
      <c r="M827" s="104"/>
      <c r="N827" s="104"/>
      <c r="O827" s="89"/>
      <c r="P827" s="105"/>
      <c r="AB827" s="109"/>
      <c r="AC827" s="33"/>
      <c r="AD827" s="64"/>
      <c r="AE827" s="64"/>
      <c r="AG827" s="64"/>
    </row>
    <row r="828" spans="9:33">
      <c r="I828" s="15"/>
      <c r="K828" s="103"/>
      <c r="L828" s="103"/>
      <c r="M828" s="104"/>
      <c r="N828" s="104"/>
      <c r="O828" s="89"/>
      <c r="P828" s="105"/>
      <c r="AB828" s="109"/>
      <c r="AC828" s="33"/>
      <c r="AD828" s="64"/>
      <c r="AE828" s="64"/>
      <c r="AG828" s="64"/>
    </row>
    <row r="829" spans="9:33">
      <c r="I829" s="15"/>
      <c r="K829" s="103"/>
      <c r="L829" s="103"/>
      <c r="M829" s="104"/>
      <c r="N829" s="104"/>
      <c r="O829" s="89"/>
      <c r="P829" s="105"/>
      <c r="AB829" s="109"/>
      <c r="AC829" s="33"/>
      <c r="AD829" s="64"/>
      <c r="AE829" s="64"/>
      <c r="AG829" s="64"/>
    </row>
    <row r="830" spans="9:33">
      <c r="I830" s="15"/>
      <c r="K830" s="103"/>
      <c r="L830" s="103"/>
      <c r="M830" s="104"/>
      <c r="N830" s="104"/>
      <c r="O830" s="89"/>
      <c r="P830" s="105"/>
      <c r="AB830" s="109"/>
      <c r="AC830" s="33"/>
      <c r="AD830" s="64"/>
      <c r="AE830" s="64"/>
      <c r="AG830" s="64"/>
    </row>
    <row r="831" spans="9:33">
      <c r="I831" s="15"/>
      <c r="K831" s="103"/>
      <c r="L831" s="103"/>
      <c r="M831" s="104"/>
      <c r="N831" s="104"/>
      <c r="O831" s="89"/>
      <c r="P831" s="105"/>
      <c r="AB831" s="109"/>
      <c r="AC831" s="33"/>
      <c r="AD831" s="64"/>
      <c r="AE831" s="64"/>
      <c r="AG831" s="64"/>
    </row>
    <row r="832" spans="9:33">
      <c r="I832" s="15"/>
      <c r="K832" s="103"/>
      <c r="L832" s="103"/>
      <c r="M832" s="104"/>
      <c r="N832" s="104"/>
      <c r="O832" s="89"/>
      <c r="P832" s="105"/>
      <c r="AB832" s="109"/>
      <c r="AC832" s="33"/>
      <c r="AD832" s="64"/>
      <c r="AE832" s="64"/>
      <c r="AG832" s="64"/>
    </row>
    <row r="833" spans="9:33">
      <c r="I833" s="15"/>
      <c r="K833" s="103"/>
      <c r="L833" s="103"/>
      <c r="M833" s="104"/>
      <c r="N833" s="104"/>
      <c r="O833" s="89"/>
      <c r="P833" s="105"/>
      <c r="AB833" s="109"/>
      <c r="AC833" s="33"/>
      <c r="AD833" s="64"/>
      <c r="AE833" s="64"/>
      <c r="AG833" s="64"/>
    </row>
    <row r="834" spans="9:33">
      <c r="I834" s="15"/>
      <c r="K834" s="103"/>
      <c r="L834" s="103"/>
      <c r="M834" s="104"/>
      <c r="N834" s="104"/>
      <c r="O834" s="89"/>
      <c r="P834" s="105"/>
      <c r="AB834" s="109"/>
      <c r="AC834" s="33"/>
      <c r="AD834" s="64"/>
      <c r="AE834" s="64"/>
      <c r="AG834" s="64"/>
    </row>
    <row r="835" spans="9:33">
      <c r="I835" s="15"/>
      <c r="K835" s="103"/>
      <c r="L835" s="103"/>
      <c r="M835" s="104"/>
      <c r="N835" s="104"/>
      <c r="O835" s="89"/>
      <c r="P835" s="105"/>
      <c r="AB835" s="109"/>
      <c r="AC835" s="33"/>
      <c r="AD835" s="64"/>
      <c r="AE835" s="64"/>
      <c r="AG835" s="64"/>
    </row>
    <row r="836" spans="9:33">
      <c r="I836" s="15"/>
      <c r="K836" s="103"/>
      <c r="L836" s="103"/>
      <c r="M836" s="104"/>
      <c r="N836" s="104"/>
      <c r="O836" s="89"/>
      <c r="P836" s="105"/>
      <c r="AB836" s="109"/>
      <c r="AC836" s="33"/>
      <c r="AD836" s="64"/>
      <c r="AE836" s="64"/>
      <c r="AG836" s="64"/>
    </row>
    <row r="837" spans="9:33">
      <c r="I837" s="15"/>
      <c r="K837" s="103"/>
      <c r="L837" s="103"/>
      <c r="M837" s="104"/>
      <c r="N837" s="104"/>
      <c r="O837" s="89"/>
      <c r="P837" s="105"/>
      <c r="AB837" s="109"/>
      <c r="AC837" s="33"/>
      <c r="AD837" s="64"/>
      <c r="AE837" s="64"/>
      <c r="AG837" s="64"/>
    </row>
    <row r="838" spans="9:33">
      <c r="I838" s="15"/>
      <c r="K838" s="103"/>
      <c r="L838" s="103"/>
      <c r="M838" s="104"/>
      <c r="N838" s="104"/>
      <c r="O838" s="89"/>
      <c r="P838" s="105"/>
      <c r="AB838" s="109"/>
      <c r="AC838" s="33"/>
      <c r="AD838" s="64"/>
      <c r="AE838" s="64"/>
      <c r="AG838" s="64"/>
    </row>
    <row r="839" spans="9:33">
      <c r="I839" s="15"/>
      <c r="K839" s="103"/>
      <c r="L839" s="103"/>
      <c r="M839" s="104"/>
      <c r="N839" s="104"/>
      <c r="O839" s="89"/>
      <c r="P839" s="105"/>
      <c r="AB839" s="109"/>
      <c r="AC839" s="33"/>
      <c r="AD839" s="64"/>
      <c r="AE839" s="64"/>
      <c r="AG839" s="64"/>
    </row>
    <row r="840" spans="9:33">
      <c r="I840" s="15"/>
      <c r="K840" s="103"/>
      <c r="L840" s="103"/>
      <c r="M840" s="104"/>
      <c r="N840" s="104"/>
      <c r="O840" s="89"/>
      <c r="P840" s="105"/>
      <c r="AB840" s="109"/>
      <c r="AC840" s="33"/>
      <c r="AD840" s="64"/>
      <c r="AE840" s="64"/>
      <c r="AG840" s="64"/>
    </row>
    <row r="841" spans="9:33">
      <c r="I841" s="15"/>
      <c r="K841" s="103"/>
      <c r="L841" s="103"/>
      <c r="M841" s="104"/>
      <c r="N841" s="104"/>
      <c r="O841" s="89"/>
      <c r="P841" s="105"/>
      <c r="AB841" s="109"/>
      <c r="AC841" s="33"/>
      <c r="AD841" s="64"/>
      <c r="AE841" s="64"/>
      <c r="AG841" s="64"/>
    </row>
    <row r="842" spans="9:33">
      <c r="I842" s="15"/>
      <c r="K842" s="103"/>
      <c r="L842" s="103"/>
      <c r="M842" s="104"/>
      <c r="N842" s="104"/>
      <c r="O842" s="89"/>
      <c r="P842" s="105"/>
      <c r="AB842" s="109"/>
      <c r="AC842" s="33"/>
      <c r="AD842" s="64"/>
      <c r="AE842" s="64"/>
      <c r="AG842" s="64"/>
    </row>
    <row r="843" spans="9:33">
      <c r="I843" s="15"/>
      <c r="K843" s="103"/>
      <c r="L843" s="103"/>
      <c r="M843" s="104"/>
      <c r="N843" s="104"/>
      <c r="O843" s="89"/>
      <c r="P843" s="105"/>
      <c r="AB843" s="109"/>
      <c r="AC843" s="33"/>
      <c r="AD843" s="64"/>
      <c r="AE843" s="64"/>
      <c r="AG843" s="64"/>
    </row>
    <row r="844" spans="9:33">
      <c r="I844" s="15"/>
      <c r="K844" s="103"/>
      <c r="L844" s="103"/>
      <c r="M844" s="104"/>
      <c r="N844" s="104"/>
      <c r="O844" s="89"/>
      <c r="P844" s="105"/>
      <c r="AB844" s="109"/>
      <c r="AC844" s="33"/>
      <c r="AD844" s="64"/>
      <c r="AE844" s="64"/>
      <c r="AG844" s="64"/>
    </row>
    <row r="845" spans="9:33">
      <c r="I845" s="15"/>
      <c r="K845" s="103"/>
      <c r="L845" s="103"/>
      <c r="M845" s="104"/>
      <c r="N845" s="104"/>
      <c r="O845" s="89"/>
      <c r="P845" s="105"/>
      <c r="AB845" s="109"/>
      <c r="AC845" s="33"/>
      <c r="AD845" s="64"/>
      <c r="AE845" s="64"/>
      <c r="AG845" s="64"/>
    </row>
    <row r="846" spans="9:33">
      <c r="I846" s="15"/>
      <c r="K846" s="103"/>
      <c r="L846" s="103"/>
      <c r="M846" s="104"/>
      <c r="N846" s="104"/>
      <c r="O846" s="89"/>
      <c r="P846" s="105"/>
      <c r="AB846" s="109"/>
      <c r="AC846" s="33"/>
      <c r="AD846" s="64"/>
      <c r="AE846" s="64"/>
      <c r="AG846" s="64"/>
    </row>
    <row r="847" spans="9:33">
      <c r="I847" s="15"/>
      <c r="K847" s="103"/>
      <c r="L847" s="103"/>
      <c r="M847" s="104"/>
      <c r="N847" s="104"/>
      <c r="O847" s="89"/>
      <c r="P847" s="105"/>
      <c r="AB847" s="109"/>
      <c r="AC847" s="33"/>
      <c r="AD847" s="64"/>
      <c r="AE847" s="64"/>
      <c r="AG847" s="64"/>
    </row>
    <row r="848" spans="9:33">
      <c r="I848" s="15"/>
      <c r="K848" s="103"/>
      <c r="L848" s="103"/>
      <c r="M848" s="104"/>
      <c r="N848" s="104"/>
      <c r="O848" s="89"/>
      <c r="P848" s="105"/>
      <c r="AB848" s="109"/>
      <c r="AC848" s="33"/>
      <c r="AD848" s="64"/>
      <c r="AE848" s="64"/>
      <c r="AG848" s="64"/>
    </row>
    <row r="849" spans="9:34">
      <c r="I849" s="15"/>
      <c r="K849" s="103"/>
      <c r="L849" s="103"/>
      <c r="M849" s="104"/>
      <c r="N849" s="104"/>
      <c r="O849" s="89"/>
      <c r="P849" s="105"/>
      <c r="AB849" s="109"/>
      <c r="AC849" s="33"/>
      <c r="AD849" s="64"/>
      <c r="AE849" s="64"/>
      <c r="AG849" s="64"/>
    </row>
    <row r="850" spans="9:34">
      <c r="I850" s="15"/>
      <c r="K850" s="103"/>
      <c r="L850" s="103"/>
      <c r="M850" s="104"/>
      <c r="N850" s="104"/>
      <c r="O850" s="89"/>
      <c r="P850" s="105"/>
      <c r="AB850" s="109"/>
      <c r="AC850" s="33"/>
      <c r="AD850" s="64"/>
      <c r="AE850" s="64"/>
      <c r="AG850" s="64"/>
    </row>
    <row r="851" spans="9:34">
      <c r="I851" s="15"/>
      <c r="K851" s="103"/>
      <c r="L851" s="103"/>
      <c r="M851" s="104"/>
      <c r="N851" s="104"/>
      <c r="O851" s="89"/>
      <c r="P851" s="105"/>
      <c r="AB851" s="109"/>
      <c r="AC851" s="33"/>
      <c r="AD851" s="64"/>
      <c r="AE851" s="64"/>
      <c r="AG851" s="64"/>
    </row>
    <row r="852" spans="9:34">
      <c r="I852" s="15"/>
      <c r="K852" s="103"/>
      <c r="L852" s="103"/>
      <c r="M852" s="104"/>
      <c r="N852" s="104"/>
      <c r="O852" s="89"/>
      <c r="P852" s="105"/>
      <c r="AB852" s="109"/>
      <c r="AC852" s="33"/>
      <c r="AD852" s="64"/>
      <c r="AE852" s="64"/>
      <c r="AG852" s="64"/>
    </row>
    <row r="853" spans="9:34">
      <c r="I853" s="15"/>
      <c r="K853" s="103"/>
      <c r="L853" s="103"/>
      <c r="M853" s="104"/>
      <c r="N853" s="104"/>
      <c r="O853" s="89"/>
      <c r="P853" s="105"/>
      <c r="AB853" s="109"/>
      <c r="AC853" s="33"/>
      <c r="AD853" s="106"/>
      <c r="AE853" s="106"/>
      <c r="AF853" s="107"/>
      <c r="AG853" s="106"/>
      <c r="AH853" s="108"/>
    </row>
    <row r="854" spans="9:34">
      <c r="I854" s="15"/>
      <c r="K854" s="103"/>
      <c r="L854" s="103"/>
      <c r="M854" s="104"/>
      <c r="N854" s="104"/>
      <c r="O854" s="89"/>
      <c r="P854" s="105"/>
      <c r="AB854" s="109"/>
      <c r="AC854" s="33"/>
      <c r="AD854" s="64"/>
      <c r="AE854" s="64"/>
      <c r="AG854" s="64"/>
    </row>
    <row r="855" spans="9:34">
      <c r="I855" s="15"/>
      <c r="K855" s="103"/>
      <c r="L855" s="103"/>
      <c r="M855" s="104"/>
      <c r="N855" s="104"/>
      <c r="O855" s="89"/>
      <c r="P855" s="105"/>
      <c r="AB855" s="109"/>
      <c r="AC855" s="33"/>
      <c r="AD855" s="64"/>
      <c r="AE855" s="64"/>
      <c r="AG855" s="64"/>
    </row>
    <row r="856" spans="9:34">
      <c r="I856" s="15"/>
      <c r="K856" s="103"/>
      <c r="L856" s="103"/>
      <c r="M856" s="104"/>
      <c r="N856" s="104"/>
      <c r="O856" s="89"/>
      <c r="P856" s="105"/>
      <c r="AB856" s="109"/>
      <c r="AC856" s="33"/>
      <c r="AD856" s="64"/>
      <c r="AE856" s="64"/>
      <c r="AG856" s="64"/>
    </row>
    <row r="857" spans="9:34">
      <c r="I857" s="15"/>
      <c r="K857" s="103"/>
      <c r="L857" s="103"/>
      <c r="M857" s="104"/>
      <c r="N857" s="104"/>
      <c r="O857" s="89"/>
      <c r="P857" s="105"/>
      <c r="AB857" s="109"/>
      <c r="AC857" s="33"/>
      <c r="AD857" s="64"/>
      <c r="AE857" s="64"/>
      <c r="AG857" s="64"/>
    </row>
    <row r="858" spans="9:34">
      <c r="I858" s="15"/>
      <c r="K858" s="103"/>
      <c r="L858" s="103"/>
      <c r="M858" s="104"/>
      <c r="N858" s="104"/>
      <c r="O858" s="89"/>
      <c r="P858" s="105"/>
      <c r="AB858" s="109"/>
      <c r="AC858" s="33"/>
      <c r="AD858" s="64"/>
      <c r="AE858" s="64"/>
      <c r="AG858" s="64"/>
    </row>
    <row r="859" spans="9:34">
      <c r="I859" s="15"/>
      <c r="K859" s="103"/>
      <c r="L859" s="103"/>
      <c r="M859" s="104"/>
      <c r="N859" s="104"/>
      <c r="O859" s="89"/>
      <c r="P859" s="105"/>
      <c r="AB859" s="109"/>
      <c r="AC859" s="33"/>
      <c r="AD859" s="64"/>
      <c r="AE859" s="64"/>
      <c r="AG859" s="64"/>
    </row>
    <row r="860" spans="9:34">
      <c r="I860" s="15"/>
      <c r="K860" s="103"/>
      <c r="L860" s="103"/>
      <c r="M860" s="104"/>
      <c r="N860" s="104"/>
      <c r="O860" s="89"/>
      <c r="P860" s="105"/>
      <c r="AB860" s="109"/>
      <c r="AC860" s="33"/>
      <c r="AD860" s="64"/>
      <c r="AE860" s="64"/>
      <c r="AG860" s="64"/>
    </row>
    <row r="861" spans="9:34">
      <c r="I861" s="15"/>
      <c r="K861" s="103"/>
      <c r="L861" s="103"/>
      <c r="M861" s="104"/>
      <c r="N861" s="104"/>
      <c r="O861" s="89"/>
      <c r="P861" s="105"/>
      <c r="AB861" s="109"/>
      <c r="AC861" s="33"/>
      <c r="AD861" s="64"/>
      <c r="AE861" s="64"/>
      <c r="AG861" s="64"/>
    </row>
    <row r="862" spans="9:34">
      <c r="I862" s="15"/>
      <c r="K862" s="103"/>
      <c r="L862" s="103"/>
      <c r="M862" s="104"/>
      <c r="N862" s="104"/>
      <c r="O862" s="89"/>
      <c r="P862" s="105"/>
      <c r="AB862" s="109"/>
      <c r="AC862" s="33"/>
      <c r="AD862" s="64"/>
      <c r="AE862" s="64"/>
      <c r="AG862" s="64"/>
    </row>
    <row r="863" spans="9:34">
      <c r="I863" s="15"/>
      <c r="K863" s="103"/>
      <c r="L863" s="103"/>
      <c r="M863" s="104"/>
      <c r="N863" s="104"/>
      <c r="O863" s="89"/>
      <c r="P863" s="105"/>
      <c r="AB863" s="109"/>
      <c r="AC863" s="33"/>
      <c r="AD863" s="64"/>
      <c r="AE863" s="64"/>
      <c r="AG863" s="64"/>
    </row>
    <row r="864" spans="9:34">
      <c r="I864" s="15"/>
      <c r="K864" s="103"/>
      <c r="L864" s="103"/>
      <c r="M864" s="104"/>
      <c r="N864" s="104"/>
      <c r="O864" s="89"/>
      <c r="P864" s="105"/>
      <c r="AB864" s="109"/>
      <c r="AC864" s="33"/>
      <c r="AD864" s="64"/>
      <c r="AE864" s="64"/>
      <c r="AG864" s="64"/>
    </row>
    <row r="865" spans="9:33">
      <c r="I865" s="15"/>
      <c r="K865" s="103"/>
      <c r="L865" s="103"/>
      <c r="M865" s="104"/>
      <c r="N865" s="104"/>
      <c r="O865" s="89"/>
      <c r="P865" s="105"/>
      <c r="AB865" s="109"/>
      <c r="AC865" s="33"/>
      <c r="AD865" s="64"/>
      <c r="AE865" s="64"/>
      <c r="AG865" s="64"/>
    </row>
    <row r="866" spans="9:33">
      <c r="I866" s="15"/>
      <c r="K866" s="103"/>
      <c r="L866" s="103"/>
      <c r="M866" s="104"/>
      <c r="N866" s="104"/>
      <c r="O866" s="89"/>
      <c r="P866" s="105"/>
      <c r="AB866" s="109"/>
      <c r="AC866" s="33"/>
      <c r="AD866" s="64"/>
      <c r="AE866" s="64"/>
      <c r="AG866" s="64"/>
    </row>
    <row r="867" spans="9:33">
      <c r="I867" s="15"/>
      <c r="K867" s="103"/>
      <c r="L867" s="103"/>
      <c r="M867" s="104"/>
      <c r="N867" s="104"/>
      <c r="O867" s="89"/>
      <c r="P867" s="105"/>
      <c r="AB867" s="109"/>
      <c r="AC867" s="33"/>
      <c r="AD867" s="64"/>
      <c r="AE867" s="64"/>
      <c r="AG867" s="64"/>
    </row>
    <row r="868" spans="9:33">
      <c r="I868" s="15"/>
      <c r="K868" s="103"/>
      <c r="L868" s="103"/>
      <c r="M868" s="104"/>
      <c r="N868" s="104"/>
      <c r="O868" s="89"/>
      <c r="P868" s="105"/>
      <c r="AB868" s="109"/>
      <c r="AC868" s="33"/>
      <c r="AD868" s="64"/>
      <c r="AE868" s="64"/>
      <c r="AG868" s="64"/>
    </row>
    <row r="869" spans="9:33">
      <c r="I869" s="15"/>
      <c r="K869" s="103"/>
      <c r="L869" s="103"/>
      <c r="M869" s="104"/>
      <c r="N869" s="104"/>
      <c r="O869" s="89"/>
      <c r="P869" s="105"/>
      <c r="AB869" s="109"/>
      <c r="AC869" s="33"/>
      <c r="AD869" s="64"/>
      <c r="AE869" s="64"/>
      <c r="AG869" s="64"/>
    </row>
    <row r="870" spans="9:33">
      <c r="I870" s="15"/>
      <c r="K870" s="103"/>
      <c r="L870" s="103"/>
      <c r="M870" s="104"/>
      <c r="N870" s="104"/>
      <c r="O870" s="89"/>
      <c r="P870" s="105"/>
      <c r="AB870" s="109"/>
      <c r="AC870" s="33"/>
      <c r="AD870" s="64"/>
      <c r="AE870" s="64"/>
      <c r="AG870" s="64"/>
    </row>
    <row r="871" spans="9:33">
      <c r="I871" s="15"/>
      <c r="K871" s="103"/>
      <c r="L871" s="103"/>
      <c r="M871" s="104"/>
      <c r="N871" s="104"/>
      <c r="O871" s="89"/>
      <c r="P871" s="105"/>
      <c r="AB871" s="109"/>
      <c r="AC871" s="33"/>
      <c r="AD871" s="64"/>
      <c r="AE871" s="64"/>
      <c r="AG871" s="64"/>
    </row>
    <row r="872" spans="9:33">
      <c r="I872" s="15"/>
      <c r="K872" s="103"/>
      <c r="L872" s="103"/>
      <c r="M872" s="104"/>
      <c r="N872" s="104"/>
      <c r="O872" s="89"/>
      <c r="P872" s="105"/>
      <c r="AB872" s="109"/>
      <c r="AC872" s="33"/>
      <c r="AD872" s="64"/>
      <c r="AE872" s="64"/>
      <c r="AG872" s="64"/>
    </row>
    <row r="873" spans="9:33">
      <c r="I873" s="15"/>
      <c r="K873" s="103"/>
      <c r="L873" s="103"/>
      <c r="M873" s="104"/>
      <c r="N873" s="104"/>
      <c r="O873" s="89"/>
      <c r="P873" s="105"/>
      <c r="AB873" s="109"/>
      <c r="AC873" s="33"/>
      <c r="AD873" s="64"/>
      <c r="AE873" s="64"/>
      <c r="AG873" s="64"/>
    </row>
    <row r="874" spans="9:33">
      <c r="I874" s="15"/>
      <c r="K874" s="103"/>
      <c r="L874" s="103"/>
      <c r="M874" s="104"/>
      <c r="N874" s="104"/>
      <c r="O874" s="89"/>
      <c r="P874" s="105"/>
      <c r="AB874" s="109"/>
      <c r="AC874" s="33"/>
      <c r="AD874" s="64"/>
      <c r="AE874" s="64"/>
      <c r="AG874" s="64"/>
    </row>
    <row r="875" spans="9:33">
      <c r="I875" s="15"/>
      <c r="K875" s="103"/>
      <c r="L875" s="103"/>
      <c r="M875" s="104"/>
      <c r="N875" s="104"/>
      <c r="O875" s="89"/>
      <c r="P875" s="105"/>
      <c r="AB875" s="109"/>
      <c r="AC875" s="33"/>
      <c r="AD875" s="64"/>
      <c r="AE875" s="64"/>
      <c r="AG875" s="64"/>
    </row>
    <row r="876" spans="9:33">
      <c r="I876" s="15"/>
      <c r="K876" s="103"/>
      <c r="L876" s="103"/>
      <c r="M876" s="104"/>
      <c r="N876" s="104"/>
      <c r="O876" s="89"/>
      <c r="P876" s="105"/>
      <c r="AB876" s="109"/>
      <c r="AC876" s="33"/>
      <c r="AD876" s="64"/>
      <c r="AE876" s="64"/>
      <c r="AG876" s="64"/>
    </row>
    <row r="877" spans="9:33">
      <c r="I877" s="15"/>
      <c r="K877" s="103"/>
      <c r="L877" s="103"/>
      <c r="M877" s="104"/>
      <c r="N877" s="104"/>
      <c r="O877" s="89"/>
      <c r="P877" s="105"/>
      <c r="AB877" s="109"/>
      <c r="AC877" s="33"/>
      <c r="AD877" s="64"/>
      <c r="AE877" s="64"/>
      <c r="AG877" s="64"/>
    </row>
    <row r="878" spans="9:33">
      <c r="I878" s="15"/>
      <c r="K878" s="103"/>
      <c r="L878" s="103"/>
      <c r="M878" s="104"/>
      <c r="N878" s="104"/>
      <c r="O878" s="89"/>
      <c r="P878" s="105"/>
      <c r="AB878" s="109"/>
      <c r="AC878" s="33"/>
      <c r="AD878" s="64"/>
      <c r="AE878" s="64"/>
      <c r="AG878" s="64"/>
    </row>
    <row r="879" spans="9:33">
      <c r="I879" s="15"/>
      <c r="K879" s="103"/>
      <c r="L879" s="103"/>
      <c r="M879" s="104"/>
      <c r="N879" s="104"/>
      <c r="O879" s="89"/>
      <c r="P879" s="105"/>
      <c r="AB879" s="109"/>
      <c r="AC879" s="33"/>
      <c r="AD879" s="64"/>
      <c r="AE879" s="64"/>
      <c r="AG879" s="64"/>
    </row>
    <row r="880" spans="9:33">
      <c r="I880" s="15"/>
      <c r="K880" s="103"/>
      <c r="L880" s="103"/>
      <c r="M880" s="104"/>
      <c r="N880" s="104"/>
      <c r="O880" s="89"/>
      <c r="P880" s="105"/>
      <c r="AB880" s="109"/>
      <c r="AC880" s="33"/>
      <c r="AD880" s="64"/>
      <c r="AE880" s="64"/>
      <c r="AG880" s="64"/>
    </row>
    <row r="881" spans="9:33">
      <c r="I881" s="15"/>
      <c r="K881" s="103"/>
      <c r="L881" s="103"/>
      <c r="M881" s="104"/>
      <c r="N881" s="104"/>
      <c r="O881" s="89"/>
      <c r="P881" s="105"/>
      <c r="AB881" s="109"/>
      <c r="AC881" s="33"/>
      <c r="AD881" s="64"/>
      <c r="AE881" s="64"/>
      <c r="AG881" s="64"/>
    </row>
    <row r="882" spans="9:33">
      <c r="I882" s="15"/>
      <c r="K882" s="103"/>
      <c r="L882" s="103"/>
      <c r="M882" s="104"/>
      <c r="N882" s="104"/>
      <c r="O882" s="89"/>
      <c r="P882" s="105"/>
      <c r="AB882" s="109"/>
      <c r="AC882" s="33"/>
      <c r="AD882" s="64"/>
      <c r="AE882" s="64"/>
      <c r="AG882" s="64"/>
    </row>
    <row r="883" spans="9:33">
      <c r="I883" s="15"/>
      <c r="K883" s="103"/>
      <c r="L883" s="103"/>
      <c r="M883" s="104"/>
      <c r="N883" s="104"/>
      <c r="O883" s="89"/>
      <c r="P883" s="105"/>
      <c r="AB883" s="109"/>
      <c r="AC883" s="33"/>
      <c r="AD883" s="64"/>
      <c r="AE883" s="64"/>
      <c r="AG883" s="64"/>
    </row>
    <row r="884" spans="9:33">
      <c r="I884" s="15"/>
      <c r="K884" s="103"/>
      <c r="L884" s="103"/>
      <c r="M884" s="104"/>
      <c r="N884" s="104"/>
      <c r="O884" s="89"/>
      <c r="P884" s="105"/>
      <c r="AB884" s="109"/>
      <c r="AC884" s="33"/>
      <c r="AD884" s="64"/>
      <c r="AE884" s="64"/>
      <c r="AG884" s="64"/>
    </row>
    <row r="885" spans="9:33">
      <c r="I885" s="15"/>
      <c r="K885" s="103"/>
      <c r="L885" s="103"/>
      <c r="M885" s="104"/>
      <c r="N885" s="104"/>
      <c r="O885" s="89"/>
      <c r="P885" s="105"/>
      <c r="AB885" s="109"/>
      <c r="AC885" s="33"/>
      <c r="AD885" s="64"/>
      <c r="AE885" s="64"/>
      <c r="AG885" s="64"/>
    </row>
    <row r="886" spans="9:33">
      <c r="I886" s="15"/>
      <c r="K886" s="103"/>
      <c r="L886" s="103"/>
      <c r="M886" s="104"/>
      <c r="N886" s="104"/>
      <c r="O886" s="89"/>
      <c r="P886" s="105"/>
      <c r="AB886" s="109"/>
      <c r="AC886" s="33"/>
      <c r="AD886" s="64"/>
      <c r="AE886" s="64"/>
      <c r="AG886" s="64"/>
    </row>
    <row r="887" spans="9:33">
      <c r="I887" s="15"/>
      <c r="K887" s="103"/>
      <c r="L887" s="103"/>
      <c r="M887" s="104"/>
      <c r="N887" s="104"/>
      <c r="O887" s="89"/>
      <c r="P887" s="105"/>
      <c r="AB887" s="109"/>
      <c r="AC887" s="33"/>
      <c r="AD887" s="64"/>
      <c r="AE887" s="64"/>
      <c r="AG887" s="64"/>
    </row>
    <row r="888" spans="9:33">
      <c r="I888" s="15"/>
      <c r="K888" s="103"/>
      <c r="L888" s="103"/>
      <c r="M888" s="104"/>
      <c r="N888" s="104"/>
      <c r="O888" s="89"/>
      <c r="P888" s="105"/>
      <c r="AB888" s="109"/>
      <c r="AC888" s="33"/>
      <c r="AD888" s="64"/>
      <c r="AE888" s="64"/>
      <c r="AG888" s="64"/>
    </row>
    <row r="889" spans="9:33">
      <c r="I889" s="15"/>
      <c r="K889" s="103"/>
      <c r="L889" s="103"/>
      <c r="M889" s="104"/>
      <c r="N889" s="104"/>
      <c r="O889" s="89"/>
      <c r="P889" s="105"/>
      <c r="AB889" s="109"/>
      <c r="AC889" s="33"/>
      <c r="AD889" s="64"/>
      <c r="AE889" s="64"/>
      <c r="AG889" s="64"/>
    </row>
    <row r="890" spans="9:33">
      <c r="I890" s="15"/>
      <c r="K890" s="103"/>
      <c r="L890" s="103"/>
      <c r="M890" s="104"/>
      <c r="N890" s="104"/>
      <c r="O890" s="89"/>
      <c r="P890" s="105"/>
      <c r="AB890" s="109"/>
      <c r="AC890" s="33"/>
      <c r="AD890" s="64"/>
      <c r="AE890" s="64"/>
      <c r="AG890" s="64"/>
    </row>
    <row r="891" spans="9:33">
      <c r="I891" s="15"/>
      <c r="K891" s="103"/>
      <c r="L891" s="103"/>
      <c r="M891" s="104"/>
      <c r="N891" s="104"/>
      <c r="O891" s="89"/>
      <c r="P891" s="105"/>
      <c r="AD891" s="64"/>
      <c r="AE891" s="64"/>
      <c r="AG891" s="64"/>
    </row>
    <row r="892" spans="9:33">
      <c r="I892" s="15"/>
      <c r="K892" s="103"/>
      <c r="L892" s="103"/>
      <c r="M892" s="104"/>
      <c r="N892" s="104"/>
      <c r="O892" s="89"/>
      <c r="P892" s="105"/>
      <c r="AD892" s="64"/>
      <c r="AE892" s="64"/>
      <c r="AG892" s="64"/>
    </row>
    <row r="893" spans="9:33">
      <c r="I893" s="15"/>
      <c r="K893" s="103"/>
      <c r="L893" s="103"/>
      <c r="M893" s="104"/>
      <c r="N893" s="104"/>
      <c r="O893" s="89"/>
      <c r="P893" s="105"/>
      <c r="AD893" s="64"/>
      <c r="AE893" s="64"/>
      <c r="AG893" s="64"/>
    </row>
    <row r="894" spans="9:33">
      <c r="I894" s="15"/>
      <c r="K894" s="103"/>
      <c r="L894" s="103"/>
      <c r="M894" s="104"/>
      <c r="N894" s="104"/>
      <c r="O894" s="89"/>
      <c r="P894" s="105"/>
      <c r="AD894" s="64"/>
      <c r="AE894" s="64"/>
      <c r="AG894" s="64"/>
    </row>
    <row r="895" spans="9:33">
      <c r="I895" s="15"/>
      <c r="K895" s="103"/>
      <c r="L895" s="103"/>
      <c r="M895" s="104"/>
      <c r="N895" s="104"/>
      <c r="O895" s="89"/>
      <c r="P895" s="105"/>
      <c r="AD895" s="64"/>
      <c r="AE895" s="64"/>
      <c r="AG895" s="64"/>
    </row>
    <row r="896" spans="9:33">
      <c r="I896" s="15"/>
      <c r="K896" s="103"/>
      <c r="L896" s="103"/>
      <c r="M896" s="104"/>
      <c r="N896" s="104"/>
      <c r="O896" s="89"/>
      <c r="P896" s="105"/>
      <c r="AD896" s="64"/>
      <c r="AE896" s="64"/>
      <c r="AG896" s="64"/>
    </row>
    <row r="897" spans="9:33">
      <c r="I897" s="15"/>
      <c r="K897" s="103"/>
      <c r="L897" s="103"/>
      <c r="M897" s="104"/>
      <c r="N897" s="104"/>
      <c r="O897" s="89"/>
      <c r="P897" s="105"/>
      <c r="AD897" s="64"/>
      <c r="AE897" s="64"/>
      <c r="AG897" s="64"/>
    </row>
    <row r="898" spans="9:33">
      <c r="I898" s="15"/>
      <c r="K898" s="103"/>
      <c r="L898" s="103"/>
      <c r="M898" s="104"/>
      <c r="N898" s="104"/>
      <c r="O898" s="89"/>
      <c r="P898" s="105"/>
      <c r="AD898" s="64"/>
      <c r="AE898" s="64"/>
      <c r="AG898" s="64"/>
    </row>
    <row r="899" spans="9:33">
      <c r="I899" s="15"/>
      <c r="K899" s="103"/>
      <c r="L899" s="103"/>
      <c r="M899" s="104"/>
      <c r="N899" s="104"/>
      <c r="O899" s="89"/>
      <c r="P899" s="105"/>
      <c r="AD899" s="64"/>
      <c r="AE899" s="64"/>
      <c r="AG899" s="64"/>
    </row>
    <row r="900" spans="9:33">
      <c r="I900" s="15"/>
      <c r="K900" s="103"/>
      <c r="L900" s="103"/>
      <c r="M900" s="104"/>
      <c r="N900" s="104"/>
      <c r="O900" s="89"/>
      <c r="P900" s="105"/>
      <c r="AD900" s="64"/>
      <c r="AE900" s="64"/>
      <c r="AG900" s="64"/>
    </row>
    <row r="901" spans="9:33">
      <c r="I901" s="15"/>
      <c r="K901" s="103"/>
      <c r="L901" s="103"/>
      <c r="M901" s="104"/>
      <c r="N901" s="104"/>
      <c r="O901" s="89"/>
      <c r="P901" s="105"/>
      <c r="AD901" s="64"/>
      <c r="AE901" s="64"/>
      <c r="AG901" s="64"/>
    </row>
    <row r="902" spans="9:33">
      <c r="I902" s="15"/>
      <c r="K902" s="103"/>
      <c r="L902" s="103"/>
      <c r="M902" s="104"/>
      <c r="N902" s="104"/>
      <c r="O902" s="89"/>
      <c r="P902" s="105"/>
      <c r="AD902" s="64"/>
      <c r="AE902" s="64"/>
      <c r="AG902" s="64"/>
    </row>
    <row r="903" spans="9:33">
      <c r="I903" s="15"/>
      <c r="K903" s="103"/>
      <c r="L903" s="103"/>
      <c r="M903" s="104"/>
      <c r="N903" s="104"/>
      <c r="O903" s="89"/>
      <c r="P903" s="105"/>
      <c r="AD903" s="64"/>
      <c r="AE903" s="64"/>
      <c r="AG903" s="64"/>
    </row>
    <row r="904" spans="9:33">
      <c r="I904" s="15"/>
      <c r="K904" s="103"/>
      <c r="L904" s="103"/>
      <c r="M904" s="104"/>
      <c r="N904" s="104"/>
      <c r="O904" s="89"/>
      <c r="P904" s="105"/>
      <c r="AD904" s="64"/>
      <c r="AE904" s="64"/>
      <c r="AG904" s="64"/>
    </row>
    <row r="905" spans="9:33">
      <c r="I905" s="15"/>
      <c r="K905" s="103"/>
      <c r="L905" s="103"/>
      <c r="M905" s="104"/>
      <c r="N905" s="104"/>
      <c r="O905" s="89"/>
      <c r="P905" s="105"/>
      <c r="AD905" s="64"/>
      <c r="AE905" s="64"/>
      <c r="AG905" s="64"/>
    </row>
    <row r="906" spans="9:33">
      <c r="I906" s="15"/>
      <c r="K906" s="103"/>
      <c r="L906" s="103"/>
      <c r="M906" s="104"/>
      <c r="N906" s="104"/>
      <c r="O906" s="89"/>
      <c r="P906" s="105"/>
      <c r="AD906" s="64"/>
      <c r="AE906" s="64"/>
      <c r="AG906" s="64"/>
    </row>
    <row r="907" spans="9:33">
      <c r="I907" s="15"/>
      <c r="K907" s="103"/>
      <c r="L907" s="103"/>
      <c r="M907" s="104"/>
      <c r="N907" s="104"/>
      <c r="O907" s="89"/>
      <c r="P907" s="105"/>
      <c r="AD907" s="64"/>
      <c r="AE907" s="64"/>
      <c r="AG907" s="64"/>
    </row>
    <row r="908" spans="9:33">
      <c r="I908" s="15"/>
      <c r="K908" s="103"/>
      <c r="L908" s="103"/>
      <c r="M908" s="104"/>
      <c r="N908" s="104"/>
      <c r="O908" s="89"/>
      <c r="P908" s="105"/>
      <c r="AD908" s="64"/>
      <c r="AE908" s="64"/>
      <c r="AG908" s="64"/>
    </row>
    <row r="909" spans="9:33">
      <c r="I909" s="15"/>
      <c r="K909" s="103"/>
      <c r="L909" s="103"/>
      <c r="M909" s="104"/>
      <c r="N909" s="104"/>
      <c r="O909" s="89"/>
      <c r="P909" s="105"/>
      <c r="AD909" s="64"/>
      <c r="AE909" s="64"/>
      <c r="AG909" s="64"/>
    </row>
    <row r="910" spans="9:33">
      <c r="I910" s="15"/>
      <c r="K910" s="103"/>
      <c r="L910" s="103"/>
      <c r="M910" s="104"/>
      <c r="N910" s="104"/>
      <c r="O910" s="89"/>
      <c r="P910" s="105"/>
      <c r="AD910" s="64"/>
      <c r="AE910" s="64"/>
      <c r="AG910" s="64"/>
    </row>
    <row r="911" spans="9:33">
      <c r="I911" s="15"/>
      <c r="K911" s="103"/>
      <c r="L911" s="103"/>
      <c r="M911" s="104"/>
      <c r="N911" s="104"/>
      <c r="O911" s="89"/>
      <c r="P911" s="105"/>
      <c r="AD911" s="64"/>
      <c r="AE911" s="64"/>
      <c r="AG911" s="64"/>
    </row>
    <row r="912" spans="9:33">
      <c r="I912" s="15"/>
      <c r="K912" s="103"/>
      <c r="L912" s="103"/>
      <c r="M912" s="104"/>
      <c r="N912" s="104"/>
      <c r="O912" s="89"/>
      <c r="P912" s="105"/>
      <c r="AD912" s="64"/>
      <c r="AE912" s="64"/>
      <c r="AG912" s="64"/>
    </row>
    <row r="913" spans="9:33">
      <c r="I913" s="15"/>
      <c r="K913" s="103"/>
      <c r="L913" s="103"/>
      <c r="M913" s="104"/>
      <c r="N913" s="104"/>
      <c r="O913" s="89"/>
      <c r="P913" s="105"/>
      <c r="AD913" s="64"/>
      <c r="AE913" s="64"/>
      <c r="AG913" s="64"/>
    </row>
    <row r="914" spans="9:33">
      <c r="I914" s="15"/>
      <c r="K914" s="103"/>
      <c r="L914" s="103"/>
      <c r="M914" s="104"/>
      <c r="N914" s="104"/>
      <c r="O914" s="89"/>
      <c r="P914" s="105"/>
      <c r="AD914" s="64"/>
      <c r="AE914" s="64"/>
      <c r="AG914" s="64"/>
    </row>
    <row r="915" spans="9:33">
      <c r="I915" s="15"/>
      <c r="K915" s="103"/>
      <c r="L915" s="103"/>
      <c r="M915" s="104"/>
      <c r="N915" s="104"/>
      <c r="O915" s="89"/>
      <c r="P915" s="105"/>
      <c r="AD915" s="64"/>
      <c r="AE915" s="64"/>
      <c r="AG915" s="64"/>
    </row>
    <row r="916" spans="9:33">
      <c r="I916" s="15"/>
      <c r="K916" s="103"/>
      <c r="L916" s="103"/>
      <c r="M916" s="104"/>
      <c r="N916" s="104"/>
      <c r="O916" s="89"/>
      <c r="P916" s="105"/>
      <c r="AD916" s="64"/>
      <c r="AE916" s="64"/>
      <c r="AG916" s="64"/>
    </row>
    <row r="917" spans="9:33">
      <c r="I917" s="15"/>
      <c r="K917" s="103"/>
      <c r="L917" s="103"/>
      <c r="M917" s="104"/>
      <c r="N917" s="104"/>
      <c r="O917" s="89"/>
      <c r="P917" s="105"/>
      <c r="AD917" s="64"/>
      <c r="AE917" s="64"/>
      <c r="AG917" s="64"/>
    </row>
    <row r="918" spans="9:33">
      <c r="I918" s="15"/>
      <c r="K918" s="103"/>
      <c r="L918" s="103"/>
      <c r="M918" s="104"/>
      <c r="N918" s="104"/>
      <c r="O918" s="89"/>
      <c r="P918" s="105"/>
      <c r="AD918" s="64"/>
      <c r="AE918" s="64"/>
      <c r="AG918" s="64"/>
    </row>
    <row r="919" spans="9:33">
      <c r="I919" s="15"/>
      <c r="K919" s="103"/>
      <c r="L919" s="103"/>
      <c r="M919" s="104"/>
      <c r="N919" s="104"/>
      <c r="O919" s="89"/>
      <c r="P919" s="105"/>
      <c r="AD919" s="64"/>
      <c r="AE919" s="64"/>
      <c r="AG919" s="64"/>
    </row>
    <row r="920" spans="9:33">
      <c r="I920" s="15"/>
      <c r="K920" s="103"/>
      <c r="L920" s="103"/>
      <c r="M920" s="104"/>
      <c r="N920" s="104"/>
      <c r="O920" s="89"/>
      <c r="P920" s="105"/>
      <c r="AD920" s="64"/>
      <c r="AE920" s="64"/>
      <c r="AG920" s="64"/>
    </row>
    <row r="921" spans="9:33">
      <c r="I921" s="15"/>
      <c r="K921" s="103"/>
      <c r="L921" s="103"/>
      <c r="M921" s="104"/>
      <c r="N921" s="104"/>
      <c r="O921" s="89"/>
      <c r="P921" s="105"/>
      <c r="AD921" s="64"/>
      <c r="AE921" s="64"/>
      <c r="AG921" s="64"/>
    </row>
    <row r="922" spans="9:33">
      <c r="I922" s="15"/>
      <c r="K922" s="103"/>
      <c r="L922" s="103"/>
      <c r="M922" s="104"/>
      <c r="N922" s="104"/>
      <c r="O922" s="89"/>
      <c r="P922" s="105"/>
      <c r="AD922" s="64"/>
      <c r="AE922" s="64"/>
      <c r="AG922" s="64"/>
    </row>
    <row r="923" spans="9:33">
      <c r="I923" s="15"/>
      <c r="K923" s="103"/>
      <c r="L923" s="103"/>
      <c r="M923" s="104"/>
      <c r="N923" s="104"/>
      <c r="O923" s="89"/>
      <c r="P923" s="105"/>
      <c r="AD923" s="64"/>
      <c r="AE923" s="64"/>
      <c r="AG923" s="64"/>
    </row>
    <row r="924" spans="9:33">
      <c r="I924" s="15"/>
      <c r="K924" s="103"/>
      <c r="L924" s="103"/>
      <c r="M924" s="104"/>
      <c r="N924" s="104"/>
      <c r="O924" s="89"/>
      <c r="P924" s="105"/>
      <c r="AD924" s="64"/>
      <c r="AE924" s="64"/>
      <c r="AG924" s="64"/>
    </row>
    <row r="925" spans="9:33">
      <c r="I925" s="15"/>
      <c r="K925" s="103"/>
      <c r="L925" s="103"/>
      <c r="M925" s="104"/>
      <c r="N925" s="104"/>
      <c r="O925" s="89"/>
      <c r="P925" s="105"/>
      <c r="AD925" s="64"/>
      <c r="AE925" s="64"/>
      <c r="AG925" s="64"/>
    </row>
    <row r="926" spans="9:33">
      <c r="I926" s="15"/>
      <c r="K926" s="103"/>
      <c r="L926" s="103"/>
      <c r="M926" s="104"/>
      <c r="N926" s="104"/>
      <c r="O926" s="89"/>
      <c r="P926" s="105"/>
      <c r="AD926" s="64"/>
      <c r="AE926" s="64"/>
      <c r="AG926" s="64"/>
    </row>
    <row r="927" spans="9:33">
      <c r="I927" s="15"/>
      <c r="K927" s="103"/>
      <c r="L927" s="103"/>
      <c r="M927" s="104"/>
      <c r="N927" s="104"/>
      <c r="O927" s="89"/>
      <c r="P927" s="105"/>
      <c r="AD927" s="64"/>
      <c r="AE927" s="64"/>
      <c r="AG927" s="64"/>
    </row>
    <row r="928" spans="9:33">
      <c r="I928" s="15"/>
      <c r="K928" s="103"/>
      <c r="L928" s="103"/>
      <c r="M928" s="104"/>
      <c r="N928" s="104"/>
      <c r="O928" s="89"/>
      <c r="P928" s="105"/>
      <c r="AD928" s="64"/>
      <c r="AE928" s="64"/>
      <c r="AG928" s="64"/>
    </row>
    <row r="929" spans="9:33">
      <c r="I929" s="15"/>
      <c r="K929" s="103"/>
      <c r="L929" s="103"/>
      <c r="M929" s="104"/>
      <c r="N929" s="104"/>
      <c r="O929" s="89"/>
      <c r="P929" s="105"/>
      <c r="AD929" s="64"/>
      <c r="AE929" s="64"/>
      <c r="AG929" s="64"/>
    </row>
    <row r="930" spans="9:33">
      <c r="I930" s="15"/>
      <c r="K930" s="103"/>
      <c r="L930" s="103"/>
      <c r="M930" s="104"/>
      <c r="N930" s="104"/>
      <c r="O930" s="89"/>
      <c r="P930" s="105"/>
      <c r="AD930" s="64"/>
      <c r="AE930" s="64"/>
      <c r="AG930" s="64"/>
    </row>
    <row r="931" spans="9:33">
      <c r="I931" s="15"/>
      <c r="K931" s="103"/>
      <c r="L931" s="103"/>
      <c r="M931" s="104"/>
      <c r="N931" s="104"/>
      <c r="O931" s="89"/>
      <c r="P931" s="105"/>
      <c r="AD931" s="64"/>
      <c r="AE931" s="64"/>
      <c r="AG931" s="64"/>
    </row>
    <row r="932" spans="9:33">
      <c r="I932" s="15"/>
      <c r="K932" s="103"/>
      <c r="L932" s="103"/>
      <c r="M932" s="104"/>
      <c r="N932" s="104"/>
      <c r="O932" s="89"/>
      <c r="P932" s="105"/>
      <c r="AD932" s="64"/>
      <c r="AE932" s="64"/>
      <c r="AG932" s="64"/>
    </row>
    <row r="933" spans="9:33">
      <c r="I933" s="15"/>
      <c r="K933" s="103"/>
      <c r="L933" s="103"/>
      <c r="M933" s="104"/>
      <c r="N933" s="104"/>
      <c r="O933" s="89"/>
      <c r="P933" s="105"/>
      <c r="AD933" s="64"/>
      <c r="AE933" s="64"/>
      <c r="AG933" s="64"/>
    </row>
    <row r="934" spans="9:33">
      <c r="I934" s="15"/>
      <c r="K934" s="103"/>
      <c r="L934" s="103"/>
      <c r="M934" s="104"/>
      <c r="N934" s="104"/>
      <c r="O934" s="89"/>
      <c r="P934" s="105"/>
      <c r="AD934" s="64"/>
      <c r="AE934" s="64"/>
      <c r="AG934" s="64"/>
    </row>
    <row r="935" spans="9:33">
      <c r="I935" s="15"/>
      <c r="K935" s="103"/>
      <c r="L935" s="103"/>
      <c r="M935" s="104"/>
      <c r="N935" s="104"/>
      <c r="O935" s="89"/>
      <c r="P935" s="105"/>
      <c r="AD935" s="64"/>
      <c r="AE935" s="64"/>
      <c r="AG935" s="6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Arya Augusta</cp:lastModifiedBy>
  <dcterms:created xsi:type="dcterms:W3CDTF">2026-09-15T06:43:34Z</dcterms:created>
  <dcterms:modified xsi:type="dcterms:W3CDTF">2026-09-18T03:30:35Z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20D36F70ED844DD6BFB3C3A0B306EDFA_11</vt:lpwstr>
  </property>
  <property fmtid="{D5CDD505-2E9C-101B-9397-08002B2CF9AE}" pid="3" name="KSOProductBuildVer">
    <vt:lpwstr>1033-12.2.0.23206</vt:lpwstr>
  </property>
</Properties>
</file>