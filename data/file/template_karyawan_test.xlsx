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<sst xmlns="http://schemas.openxmlformats.org/spreadsheetml/2006/main" count="146" uniqueCount="132">
  <si>
    <t>KLIEN</t>
  </si>
  <si>
    <t>PT EYECOS KOSMETIK INDONESIA</t>
  </si>
  <si>
    <t>KRY LAMA</t>
  </si>
  <si>
    <t xml:space="preserve">KRY BARU </t>
  </si>
  <si>
    <t xml:space="preserve">KRY RESIGN </t>
  </si>
  <si>
    <t>KRY AKTIF</t>
  </si>
  <si>
    <t xml:space="preserve">HARUSNYA </t>
  </si>
  <si>
    <t xml:space="preserve">SELISIH </t>
  </si>
  <si>
    <t>N/A</t>
  </si>
  <si>
    <t>RSGN TAPI AKTIF</t>
  </si>
  <si>
    <t>NOPEG</t>
  </si>
  <si>
    <t>Aktif 2025</t>
  </si>
  <si>
    <t>Tgl Lahir</t>
  </si>
  <si>
    <t>Tgl Masuk</t>
  </si>
  <si>
    <t>Gaji</t>
  </si>
  <si>
    <t>Aktif 2024</t>
  </si>
  <si>
    <t>PBO</t>
  </si>
  <si>
    <t>Diskonto</t>
  </si>
  <si>
    <t>Resign 2025</t>
  </si>
  <si>
    <t>Tgl Resign</t>
  </si>
  <si>
    <t>Alasan</t>
  </si>
  <si>
    <t>Pesangon</t>
  </si>
  <si>
    <t>Uang Pisah</t>
  </si>
  <si>
    <t>Cuti</t>
  </si>
  <si>
    <t>UPMK</t>
  </si>
  <si>
    <t>Tgl pembayaran</t>
  </si>
  <si>
    <t>Aktif 2025 vs Aktif 2024</t>
  </si>
  <si>
    <t>Aktif 2024 vs Aktif 2025</t>
  </si>
  <si>
    <t>Aktif 2025 vs Resign 2025</t>
  </si>
  <si>
    <t>Resign 2025 vs Aktif 2024</t>
  </si>
  <si>
    <t>Putri Dina Pelita</t>
  </si>
  <si>
    <t>Maureen Priscilla</t>
  </si>
  <si>
    <t>Resign</t>
  </si>
  <si>
    <t>Annisa Dyah Cahyarini</t>
  </si>
  <si>
    <t>Judith Theresia Muliadi</t>
  </si>
  <si>
    <t>20240006</t>
  </si>
  <si>
    <t>NADHIRA SEFTRIANI</t>
  </si>
  <si>
    <t xml:space="preserve">Alifionita Anjarsari </t>
  </si>
  <si>
    <t>20240008</t>
  </si>
  <si>
    <t>Rosi Rosalina</t>
  </si>
  <si>
    <t xml:space="preserve">Pamela Wijaya </t>
  </si>
  <si>
    <t>20240009</t>
  </si>
  <si>
    <t>Fiq'Rah Lestari Aziz</t>
  </si>
  <si>
    <t>Siti Hanjar</t>
  </si>
  <si>
    <t>20240011</t>
  </si>
  <si>
    <t>Romayana</t>
  </si>
  <si>
    <t>Vivi Tania</t>
  </si>
  <si>
    <t>20240019</t>
  </si>
  <si>
    <t>WISNU CAHYO HANDITO</t>
  </si>
  <si>
    <t>Evelyn Felicia Saputra</t>
  </si>
  <si>
    <t>KRISHNA DEWI</t>
  </si>
  <si>
    <t>Rusmala Dewi</t>
  </si>
  <si>
    <t>Milik Rahayu</t>
  </si>
  <si>
    <t>Desi Berliana Sembiring</t>
  </si>
  <si>
    <t>Rachma Khoirunnissa</t>
  </si>
  <si>
    <t>ERNAWATI PUSPITA SARI</t>
  </si>
  <si>
    <t>Dwi Agustin Fitriani</t>
  </si>
  <si>
    <t>FITRIA NURJANAH</t>
  </si>
  <si>
    <t>Aulia Nur Pratiwi</t>
  </si>
  <si>
    <t>Lingga Hardiansyah</t>
  </si>
  <si>
    <t>Febria Hana Rahmadani</t>
  </si>
  <si>
    <t>Putri Deswita Asri</t>
  </si>
  <si>
    <t>Samuel Pranata</t>
  </si>
  <si>
    <t>Eky Sidqul Yakin</t>
  </si>
  <si>
    <t>RIZAL RENALDY</t>
  </si>
  <si>
    <t>ARYA  SAPUTRA</t>
  </si>
  <si>
    <t>Utami Imaniah</t>
  </si>
  <si>
    <t>Fauzan Ananda Triadi</t>
  </si>
  <si>
    <t>Fadli Effendi</t>
  </si>
  <si>
    <t>Gilang Armansyah</t>
  </si>
  <si>
    <t>Ardi Jaya Laksana</t>
  </si>
  <si>
    <t>Ade Danu</t>
  </si>
  <si>
    <t>Kiki Septian Yudistira</t>
  </si>
  <si>
    <t>FACHRUDIN BAYU</t>
  </si>
  <si>
    <t>Dicky Ramadhan</t>
  </si>
  <si>
    <t>ALFIAN FURDIANSYAH SAPUTRA</t>
  </si>
  <si>
    <t>Reyven Ferdo Erlangga</t>
  </si>
  <si>
    <t>Alvi Eka Tiana</t>
  </si>
  <si>
    <t>Nia Kurniasih</t>
  </si>
  <si>
    <t>Hijatul Fajriyah</t>
  </si>
  <si>
    <t>M DIAZ HAFIZ</t>
  </si>
  <si>
    <t>Yulianti</t>
  </si>
  <si>
    <t>Mudzalifah</t>
  </si>
  <si>
    <t>Rizqa Laila Siregar</t>
  </si>
  <si>
    <t>Uum Umayah</t>
  </si>
  <si>
    <t>Dinan Kurnianti</t>
  </si>
  <si>
    <t>Yanu Biratmoko</t>
  </si>
  <si>
    <t>Kayla Rahula</t>
  </si>
  <si>
    <t>Nabilah Umayatun Zahiroh</t>
  </si>
  <si>
    <t>Gita Aprianti</t>
  </si>
  <si>
    <t>Safira Widia Ningrum</t>
  </si>
  <si>
    <t>Dea Sumala</t>
  </si>
  <si>
    <t>NABILA AISYAH PUTRI</t>
  </si>
  <si>
    <t>Evi Suci Fitriyani</t>
  </si>
  <si>
    <t>Maudy Intan Permatasari</t>
  </si>
  <si>
    <t>ISYANI SAADILA</t>
  </si>
  <si>
    <t>Siti Rohimah</t>
  </si>
  <si>
    <t>Reni Agustin</t>
  </si>
  <si>
    <t>Hernita</t>
  </si>
  <si>
    <t>Kurniawan</t>
  </si>
  <si>
    <t>Desy Octaviani</t>
  </si>
  <si>
    <t>TEDY FIRMANYSAH</t>
  </si>
  <si>
    <t>Muhammad Fadillah</t>
  </si>
  <si>
    <t>Nuria Ariansyah</t>
  </si>
  <si>
    <t>Zulfan Muhammad Ziaulhaq</t>
  </si>
  <si>
    <t>Farel Fausta Rizal</t>
  </si>
  <si>
    <t>Muthia Arrahmah</t>
  </si>
  <si>
    <t>Setiyono</t>
  </si>
  <si>
    <t>Devana Aretha</t>
  </si>
  <si>
    <t>AHMAD AFLAH</t>
  </si>
  <si>
    <t>Novi Zarudin</t>
  </si>
  <si>
    <t>ATIKA LISTIANI</t>
  </si>
  <si>
    <t>Fitriani Zannatuzzahra</t>
  </si>
  <si>
    <t>Dinda Faradina</t>
  </si>
  <si>
    <t>Siti Helmi Rahayu</t>
  </si>
  <si>
    <t>ANANDA VETTA DESYANA</t>
  </si>
  <si>
    <t>Vika Nada</t>
  </si>
  <si>
    <t>Fathima Tuzzahro</t>
  </si>
  <si>
    <t>Eka Puspita</t>
  </si>
  <si>
    <t>Susi</t>
  </si>
  <si>
    <t>Hanni Bayu Widagdo</t>
  </si>
  <si>
    <t>Annisa Arifatul Fitriyah</t>
  </si>
  <si>
    <t>Valentina Syrin Kurniawan</t>
  </si>
  <si>
    <t>Hariyanto T</t>
  </si>
  <si>
    <t>EVELYN</t>
  </si>
  <si>
    <t>VANNISA APRILIA  PUTRI</t>
  </si>
  <si>
    <t>Fira Neily Wahdah</t>
  </si>
  <si>
    <t>Nila Verawaty</t>
  </si>
  <si>
    <t>Khanifah</t>
  </si>
  <si>
    <t>Kelvin Ardana Putra</t>
  </si>
  <si>
    <t>Risma Nur Chamidah</t>
  </si>
  <si>
    <t>Amalia Meizara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</si>
</sst>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  <numFmt numFmtId="180" formatCode="_-* #,##0.00_-;\-* #,##0.00_-;_-* &quot;-&quot;??_-;_-@_-"/>
    <numFmt numFmtId="181" formatCode="_-* #,##0.0_-;\-* #,##0.0_-;_-* &quot;-&quot;_-;_-@_-"/>
    <numFmt numFmtId="182" formatCode="dd/mm/yyyy;@"/>
    <numFmt numFmtId="183" formatCode="_-* #,##0_-;\-* #,##0_-;_-* &quot;-&quot;??_-;_-@_-"/>
    <numFmt numFmtId="184" formatCode="_(* #,##0_);_(* \(#,##0\);_(* &quot;-&quot;??_);_(@_)"/>
  </numFmts>
  <fonts count="35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0"/>
      <scheme val="minor"/>
    </font>
    <font>
      <b/>
      <sz val="11"/>
      <color rgb="FFFF0000"/>
      <name val="Calibri"/>
      <family val="2"/>
      <charset val="0"/>
      <scheme val="minor"/>
    </font>
    <font>
      <sz val="11"/>
      <name val="Calibri"/>
      <family val="2"/>
      <charset val="0"/>
      <scheme val="minor"/>
    </font>
    <font>
      <b/>
      <sz val="11"/>
      <color theme="1"/>
      <name val="Calibri"/>
      <charset val="134"/>
      <scheme val="minor"/>
    </font>
    <font>
      <b/>
      <sz val="11"/>
      <color theme="1"/>
      <name val="Calibri"/>
      <family val="2"/>
      <charset val="0"/>
      <scheme val="minor"/>
    </font>
    <font>
      <b/>
      <sz val="11"/>
      <name val="Calibri"/>
      <family val="2"/>
      <charset val="0"/>
      <scheme val="minor"/>
    </font>
    <font>
      <sz val="11"/>
      <color rgb="FFFF0000"/>
      <name val="Calibri"/>
      <family val="2"/>
      <charset val="0"/>
      <scheme val="minor"/>
    </font>
    <font>
      <sz val="11"/>
      <color indexed="8"/>
      <name val="Calibri"/>
      <family val="2"/>
      <charset val="0"/>
      <scheme val="minor"/>
    </font>
    <font>
      <sz val="10"/>
      <name val="Arial"/>
      <charset val="0"/>
    </font>
    <font>
      <sz val="11"/>
      <color rgb="FF1F1F1F"/>
      <name val="Calibri"/>
      <family val="2"/>
      <charset val="0"/>
      <scheme val="minor"/>
    </font>
    <font>
      <b/>
      <sz val="11"/>
      <color rgb="FFFF0000"/>
      <name val="Calibri"/>
      <family val="2"/>
      <charset val="0"/>
    </font>
    <font>
      <b/>
      <sz val="10"/>
      <color rgb="FFFF0000"/>
      <name val="Arial"/>
      <family val="2"/>
      <charset val="0"/>
    </font>
    <font>
      <sz val="11"/>
      <color rgb="FF000000"/>
      <name val="Calibri"/>
      <family val="2"/>
      <charset val="0"/>
      <scheme val="minor"/>
    </font>
    <font>
      <sz val="10"/>
      <color rgb="FF1F1F1F"/>
      <name val="Arial"/>
      <family val="2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family val="2"/>
      <charset val="0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3" borderId="5" applyNumberFormat="0" applyAlignment="0" applyProtection="0">
      <alignment vertical="center"/>
    </xf>
    <xf numFmtId="0" fontId="24" fillId="4" borderId="6" applyNumberFormat="0" applyAlignment="0" applyProtection="0">
      <alignment vertical="center"/>
    </xf>
    <xf numFmtId="0" fontId="25" fillId="4" borderId="5" applyNumberFormat="0" applyAlignment="0" applyProtection="0">
      <alignment vertical="center"/>
    </xf>
    <xf numFmtId="0" fontId="26" fillId="5" borderId="7" applyNumberFormat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6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180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78" fontId="34" fillId="0" borderId="0" applyFont="0" applyFill="0" applyBorder="0" applyAlignment="0" applyProtection="0"/>
  </cellStyleXfs>
  <cellXfs count="109">
    <xf numFmtId="0" fontId="0" fillId="0" borderId="0" xfId="0">
      <alignment vertical="center"/>
    </xf>
    <xf numFmtId="0" fontId="1" fillId="0" borderId="0" xfId="0" applyFont="1" applyFill="1" applyBorder="1" applyAlignment="1"/>
    <xf numFmtId="58" fontId="1" fillId="0" borderId="0" xfId="0" applyNumberFormat="1" applyFont="1" applyFill="1" applyBorder="1" applyAlignment="1">
      <alignment horizontal="center"/>
    </xf>
    <xf numFmtId="0" fontId="1" fillId="0" borderId="0" xfId="0" applyFont="1" applyFill="1" applyBorder="1" applyAlignment="1">
      <alignment horizontal="left"/>
    </xf>
    <xf numFmtId="1" fontId="1" fillId="0" borderId="0" xfId="0" applyNumberFormat="1" applyFont="1" applyFill="1" applyBorder="1" applyAlignment="1"/>
    <xf numFmtId="0" fontId="1" fillId="0" borderId="0" xfId="0" applyFont="1" applyFill="1" applyBorder="1" applyAlignment="1"/>
    <xf numFmtId="1" fontId="1" fillId="0" borderId="0" xfId="0" applyNumberFormat="1" applyFont="1" applyFill="1" applyBorder="1" applyAlignment="1">
      <alignment horizontal="left"/>
    </xf>
    <xf numFmtId="1" fontId="2" fillId="0" borderId="0" xfId="0" applyNumberFormat="1" applyFont="1" applyFill="1" applyBorder="1" applyAlignment="1">
      <alignment horizontal="left"/>
    </xf>
    <xf numFmtId="58" fontId="1" fillId="0" borderId="0" xfId="0" applyNumberFormat="1" applyFont="1" applyFill="1" applyBorder="1" applyAlignment="1">
      <alignment horizontal="left"/>
    </xf>
    <xf numFmtId="58" fontId="1" fillId="0" borderId="0" xfId="0" applyNumberFormat="1" applyFont="1" applyFill="1" applyBorder="1" applyAlignment="1"/>
    <xf numFmtId="0" fontId="1" fillId="0" borderId="0" xfId="0" applyNumberFormat="1" applyFont="1" applyFill="1" applyBorder="1" applyAlignment="1"/>
    <xf numFmtId="0" fontId="3" fillId="0" borderId="0" xfId="0" applyFont="1" applyFill="1" applyBorder="1" applyAlignment="1"/>
    <xf numFmtId="0" fontId="2" fillId="0" borderId="0" xfId="0" applyFont="1" applyFill="1" applyBorder="1" applyAlignment="1"/>
    <xf numFmtId="58" fontId="4" fillId="0" borderId="0" xfId="0" applyNumberFormat="1" applyFont="1" applyFill="1" applyAlignment="1"/>
    <xf numFmtId="181" fontId="4" fillId="0" borderId="0" xfId="50" applyNumberFormat="1" applyFont="1" applyFill="1"/>
    <xf numFmtId="181" fontId="5" fillId="0" borderId="0" xfId="50" applyNumberFormat="1" applyFont="1" applyFill="1"/>
    <xf numFmtId="49" fontId="1" fillId="0" borderId="0" xfId="0" applyNumberFormat="1" applyFont="1" applyFill="1" applyBorder="1" applyAlignment="1"/>
    <xf numFmtId="49" fontId="5" fillId="0" borderId="0" xfId="0" applyNumberFormat="1" applyFont="1" applyFill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left"/>
    </xf>
    <xf numFmtId="0" fontId="1" fillId="0" borderId="0" xfId="0" applyNumberFormat="1" applyFont="1" applyFill="1" applyBorder="1" applyAlignment="1">
      <alignment horizontal="left"/>
    </xf>
    <xf numFmtId="58" fontId="6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left" wrapText="1"/>
    </xf>
    <xf numFmtId="58" fontId="7" fillId="0" borderId="0" xfId="0" applyNumberFormat="1" applyFont="1" applyFill="1" applyBorder="1" applyAlignment="1">
      <alignment horizontal="center"/>
    </xf>
    <xf numFmtId="0" fontId="5" fillId="0" borderId="0" xfId="0" applyFont="1" applyFill="1" applyBorder="1" applyAlignment="1">
      <alignment horizontal="center"/>
    </xf>
    <xf numFmtId="49" fontId="5" fillId="0" borderId="0" xfId="0" applyNumberFormat="1" applyFont="1" applyFill="1" applyBorder="1" applyAlignment="1">
      <alignment horizontal="center"/>
    </xf>
    <xf numFmtId="0" fontId="5" fillId="0" borderId="0" xfId="0" applyFont="1" applyFill="1" applyBorder="1" applyAlignment="1"/>
    <xf numFmtId="0" fontId="8" fillId="0" borderId="0" xfId="0" applyFont="1" applyFill="1" applyBorder="1" applyAlignment="1"/>
    <xf numFmtId="182" fontId="3" fillId="0" borderId="0" xfId="0" applyNumberFormat="1" applyFont="1" applyFill="1" applyBorder="1" applyAlignment="1"/>
    <xf numFmtId="182" fontId="3" fillId="0" borderId="1" xfId="0" applyNumberFormat="1" applyFont="1" applyFill="1" applyBorder="1" applyAlignment="1">
      <alignment vertical="top" wrapText="1"/>
    </xf>
    <xf numFmtId="178" fontId="8" fillId="0" borderId="0" xfId="4" applyFont="1" applyFill="1" applyAlignment="1">
      <alignment horizontal="center" vertical="center"/>
    </xf>
    <xf numFmtId="0" fontId="8" fillId="0" borderId="0" xfId="0" applyFont="1" applyFill="1" applyBorder="1" applyAlignment="1">
      <alignment vertical="center"/>
    </xf>
    <xf numFmtId="182" fontId="9" fillId="0" borderId="0" xfId="0" applyNumberFormat="1" applyFont="1" applyFill="1" applyBorder="1" applyAlignment="1"/>
    <xf numFmtId="182" fontId="9" fillId="0" borderId="1" xfId="0" applyNumberFormat="1" applyFont="1" applyFill="1" applyBorder="1" applyAlignment="1">
      <alignment vertical="top" wrapText="1"/>
    </xf>
    <xf numFmtId="182" fontId="1" fillId="0" borderId="0" xfId="0" applyNumberFormat="1" applyFont="1" applyFill="1" applyBorder="1" applyAlignment="1"/>
    <xf numFmtId="178" fontId="1" fillId="0" borderId="0" xfId="4" applyFont="1" applyFill="1"/>
    <xf numFmtId="182" fontId="10" fillId="0" borderId="0" xfId="0" applyNumberFormat="1" applyFont="1" applyFill="1" applyBorder="1" applyAlignment="1">
      <alignment readingOrder="1"/>
    </xf>
    <xf numFmtId="0" fontId="11" fillId="0" borderId="0" xfId="0" applyFont="1" applyFill="1" applyBorder="1" applyAlignment="1"/>
    <xf numFmtId="41" fontId="7" fillId="0" borderId="0" xfId="50" applyFont="1" applyFill="1" applyAlignment="1"/>
    <xf numFmtId="1" fontId="5" fillId="0" borderId="0" xfId="0" applyNumberFormat="1" applyFont="1" applyFill="1" applyBorder="1" applyAlignment="1"/>
    <xf numFmtId="0" fontId="12" fillId="0" borderId="0" xfId="0" applyFont="1" applyFill="1" applyBorder="1" applyAlignment="1"/>
    <xf numFmtId="1" fontId="2" fillId="0" borderId="0" xfId="0" applyNumberFormat="1" applyFont="1" applyFill="1" applyBorder="1" applyAlignment="1"/>
    <xf numFmtId="58" fontId="8" fillId="0" borderId="0" xfId="0" applyNumberFormat="1" applyFont="1" applyFill="1" applyBorder="1" applyAlignment="1">
      <alignment vertical="center"/>
    </xf>
    <xf numFmtId="183" fontId="8" fillId="0" borderId="0" xfId="51" applyNumberFormat="1" applyFont="1" applyFill="1" applyAlignment="1">
      <alignment horizontal="center" vertical="center"/>
    </xf>
    <xf numFmtId="184" fontId="1" fillId="0" borderId="0" xfId="4" applyNumberFormat="1" applyFont="1" applyFill="1" applyAlignment="1">
      <alignment horizontal="left" vertical="top" wrapText="1"/>
    </xf>
    <xf numFmtId="10" fontId="1" fillId="0" borderId="0" xfId="3" applyNumberFormat="1" applyFont="1" applyFill="1" applyAlignment="1">
      <alignment wrapText="1"/>
    </xf>
    <xf numFmtId="178" fontId="1" fillId="0" borderId="0" xfId="4" applyFont="1" applyFill="1" applyAlignment="1">
      <alignment horizontal="left" vertical="top" wrapText="1"/>
    </xf>
    <xf numFmtId="184" fontId="13" fillId="0" borderId="0" xfId="4" applyNumberFormat="1" applyFont="1" applyFill="1" applyAlignment="1">
      <alignment horizontal="left"/>
    </xf>
    <xf numFmtId="10" fontId="13" fillId="0" borderId="0" xfId="3" applyNumberFormat="1" applyFont="1" applyFill="1" applyAlignment="1"/>
    <xf numFmtId="178" fontId="13" fillId="0" borderId="0" xfId="4" applyFont="1" applyFill="1" applyAlignment="1">
      <alignment horizontal="left"/>
    </xf>
    <xf numFmtId="1" fontId="1" fillId="0" borderId="0" xfId="0" applyNumberFormat="1" applyFont="1" applyFill="1" applyBorder="1" applyAlignment="1">
      <alignment vertical="top" wrapText="1"/>
    </xf>
    <xf numFmtId="184" fontId="8" fillId="0" borderId="0" xfId="4" applyNumberFormat="1" applyFont="1" applyFill="1" applyAlignment="1">
      <alignment horizontal="left" vertical="center"/>
    </xf>
    <xf numFmtId="10" fontId="8" fillId="0" borderId="0" xfId="3" applyNumberFormat="1" applyFont="1" applyFill="1" applyAlignment="1"/>
    <xf numFmtId="178" fontId="8" fillId="0" borderId="0" xfId="4" applyFont="1" applyFill="1" applyAlignment="1">
      <alignment horizontal="left" vertical="center"/>
    </xf>
    <xf numFmtId="183" fontId="1" fillId="0" borderId="0" xfId="51" applyNumberFormat="1" applyFont="1" applyFill="1"/>
    <xf numFmtId="0" fontId="5" fillId="0" borderId="0" xfId="0" applyFont="1" applyFill="1" applyBorder="1" applyAlignment="1"/>
    <xf numFmtId="0" fontId="2" fillId="0" borderId="0" xfId="0" applyFont="1" applyFill="1" applyBorder="1" applyAlignment="1"/>
    <xf numFmtId="0" fontId="5" fillId="0" borderId="0" xfId="0" applyFont="1" applyFill="1" applyBorder="1" applyAlignment="1">
      <alignment horizontal="center"/>
    </xf>
    <xf numFmtId="0" fontId="5" fillId="0" borderId="0" xfId="0" applyFont="1" applyFill="1" applyBorder="1" applyAlignment="1">
      <alignment horizontal="center" wrapText="1"/>
    </xf>
    <xf numFmtId="0" fontId="8" fillId="0" borderId="0" xfId="0" applyNumberFormat="1" applyFont="1" applyFill="1" applyBorder="1" applyAlignment="1"/>
    <xf numFmtId="58" fontId="10" fillId="0" borderId="0" xfId="0" applyNumberFormat="1" applyFont="1" applyFill="1" applyBorder="1" applyAlignment="1">
      <alignment vertical="center" readingOrder="1"/>
    </xf>
    <xf numFmtId="182" fontId="8" fillId="0" borderId="0" xfId="0" applyNumberFormat="1" applyFont="1" applyFill="1" applyBorder="1" applyAlignment="1">
      <alignment vertical="center"/>
    </xf>
    <xf numFmtId="178" fontId="8" fillId="0" borderId="0" xfId="4" applyFont="1" applyFill="1" applyAlignment="1">
      <alignment vertical="center"/>
    </xf>
    <xf numFmtId="182" fontId="1" fillId="0" borderId="0" xfId="0" applyNumberFormat="1" applyFont="1" applyFill="1" applyBorder="1" applyAlignment="1">
      <alignment vertical="center"/>
    </xf>
    <xf numFmtId="178" fontId="1" fillId="0" borderId="0" xfId="4" applyFont="1" applyFill="1" applyAlignment="1">
      <alignment vertical="center"/>
    </xf>
    <xf numFmtId="0" fontId="14" fillId="0" borderId="0" xfId="0" applyFont="1" applyFill="1" applyBorder="1" applyAlignment="1">
      <alignment vertical="center" readingOrder="1"/>
    </xf>
    <xf numFmtId="58" fontId="14" fillId="0" borderId="0" xfId="0" applyNumberFormat="1" applyFont="1" applyFill="1" applyBorder="1" applyAlignment="1">
      <alignment vertical="center" readingOrder="1"/>
    </xf>
    <xf numFmtId="183" fontId="1" fillId="0" borderId="0" xfId="49" applyNumberFormat="1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>
      <alignment horizontal="left"/>
    </xf>
    <xf numFmtId="178" fontId="8" fillId="0" borderId="0" xfId="4" applyFont="1" applyFill="1" applyBorder="1" applyAlignment="1">
      <alignment vertical="center"/>
    </xf>
    <xf numFmtId="1" fontId="5" fillId="0" borderId="0" xfId="0" applyNumberFormat="1" applyFont="1" applyFill="1" applyBorder="1" applyAlignment="1">
      <alignment horizontal="left"/>
    </xf>
    <xf numFmtId="58" fontId="5" fillId="0" borderId="0" xfId="0" applyNumberFormat="1" applyFont="1" applyFill="1" applyBorder="1" applyAlignment="1">
      <alignment horizontal="left"/>
    </xf>
    <xf numFmtId="58" fontId="2" fillId="0" borderId="0" xfId="0" applyNumberFormat="1" applyFont="1" applyFill="1" applyBorder="1" applyAlignment="1">
      <alignment horizontal="left"/>
    </xf>
    <xf numFmtId="1" fontId="5" fillId="0" borderId="0" xfId="0" applyNumberFormat="1" applyFont="1" applyFill="1" applyBorder="1" applyAlignment="1">
      <alignment horizontal="center"/>
    </xf>
    <xf numFmtId="1" fontId="2" fillId="0" borderId="0" xfId="0" applyNumberFormat="1" applyFont="1" applyFill="1" applyBorder="1" applyAlignment="1">
      <alignment horizontal="center"/>
    </xf>
    <xf numFmtId="58" fontId="5" fillId="0" borderId="0" xfId="0" applyNumberFormat="1" applyFont="1" applyFill="1" applyBorder="1" applyAlignment="1">
      <alignment horizontal="center"/>
    </xf>
    <xf numFmtId="182" fontId="1" fillId="0" borderId="0" xfId="49" applyNumberFormat="1" applyFont="1" applyFill="1" applyAlignment="1"/>
    <xf numFmtId="1" fontId="2" fillId="0" borderId="0" xfId="49" applyNumberFormat="1" applyFont="1" applyFill="1" applyAlignment="1">
      <alignment horizontal="left"/>
    </xf>
    <xf numFmtId="182" fontId="1" fillId="0" borderId="0" xfId="49" applyNumberFormat="1" applyFont="1" applyFill="1" applyAlignment="1">
      <alignment horizontal="left"/>
    </xf>
    <xf numFmtId="0" fontId="1" fillId="0" borderId="0" xfId="49" applyNumberFormat="1" applyFont="1" applyFill="1" applyAlignment="1">
      <alignment horizontal="left"/>
    </xf>
    <xf numFmtId="182" fontId="1" fillId="0" borderId="0" xfId="4" applyNumberFormat="1" applyFont="1" applyFill="1"/>
    <xf numFmtId="0" fontId="1" fillId="0" borderId="0" xfId="49" applyNumberFormat="1" applyFont="1" applyFill="1" applyAlignment="1"/>
    <xf numFmtId="0" fontId="5" fillId="0" borderId="0" xfId="0" applyNumberFormat="1" applyFont="1" applyFill="1" applyBorder="1" applyAlignment="1">
      <alignment horizontal="center"/>
    </xf>
    <xf numFmtId="0" fontId="6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58" fontId="1" fillId="0" borderId="0" xfId="49" applyNumberFormat="1" applyFont="1" applyFill="1" applyAlignment="1">
      <alignment horizontal="left"/>
    </xf>
    <xf numFmtId="178" fontId="1" fillId="0" borderId="0" xfId="4" applyFont="1" applyFill="1" applyAlignment="1">
      <alignment horizontal="center"/>
    </xf>
    <xf numFmtId="58" fontId="8" fillId="0" borderId="0" xfId="0" applyNumberFormat="1" applyFont="1" applyFill="1" applyBorder="1" applyAlignment="1"/>
    <xf numFmtId="58" fontId="8" fillId="0" borderId="0" xfId="0" applyNumberFormat="1" applyFont="1" applyFill="1" applyBorder="1" applyAlignment="1">
      <alignment horizontal="left" vertical="center"/>
    </xf>
    <xf numFmtId="183" fontId="8" fillId="0" borderId="0" xfId="4" applyNumberFormat="1" applyFont="1" applyFill="1" applyAlignment="1">
      <alignment horizontal="left" vertical="center"/>
    </xf>
    <xf numFmtId="49" fontId="8" fillId="0" borderId="0" xfId="0" applyNumberFormat="1" applyFont="1" applyFill="1" applyBorder="1" applyAlignment="1">
      <alignment horizontal="left" vertical="center"/>
    </xf>
    <xf numFmtId="0" fontId="8" fillId="0" borderId="0" xfId="0" applyFont="1" applyFill="1" applyBorder="1" applyAlignment="1">
      <alignment horizontal="left" vertical="center"/>
    </xf>
    <xf numFmtId="178" fontId="1" fillId="0" borderId="0" xfId="4" applyFont="1" applyFill="1" applyBorder="1"/>
    <xf numFmtId="0" fontId="8" fillId="0" borderId="0" xfId="0" applyNumberFormat="1" applyFont="1" applyFill="1" applyBorder="1" applyAlignment="1">
      <alignment vertical="center"/>
    </xf>
    <xf numFmtId="0" fontId="1" fillId="0" borderId="0" xfId="0" applyNumberFormat="1" applyFont="1" applyFill="1" applyBorder="1" applyAlignment="1">
      <alignment vertical="center"/>
    </xf>
    <xf numFmtId="178" fontId="1" fillId="0" borderId="0" xfId="4" applyFont="1" applyFill="1" applyAlignment="1">
      <alignment horizontal="center" vertical="center"/>
    </xf>
    <xf numFmtId="49" fontId="8" fillId="0" borderId="0" xfId="0" applyNumberFormat="1" applyFont="1" applyFill="1" applyBorder="1" applyAlignment="1">
      <alignment vertical="center"/>
    </xf>
    <xf numFmtId="49" fontId="1" fillId="0" borderId="0" xfId="0" applyNumberFormat="1" applyFont="1" applyFill="1" applyBorder="1" applyAlignment="1">
      <alignment horizontal="left" vertical="center"/>
    </xf>
    <xf numFmtId="58" fontId="1" fillId="0" borderId="0" xfId="0" applyNumberFormat="1" applyFont="1" applyFill="1" applyBorder="1" applyAlignment="1">
      <alignment horizontal="left" vertical="center"/>
    </xf>
    <xf numFmtId="183" fontId="1" fillId="0" borderId="0" xfId="4" applyNumberFormat="1" applyFont="1" applyFill="1" applyAlignment="1">
      <alignment horizontal="left" vertical="center"/>
    </xf>
    <xf numFmtId="184" fontId="1" fillId="0" borderId="0" xfId="4" applyNumberFormat="1" applyFont="1" applyFill="1" applyAlignment="1">
      <alignment horizontal="left" vertical="center"/>
    </xf>
    <xf numFmtId="10" fontId="1" fillId="0" borderId="0" xfId="3" applyNumberFormat="1" applyFont="1" applyFill="1" applyAlignment="1"/>
    <xf numFmtId="178" fontId="1" fillId="0" borderId="0" xfId="4" applyFont="1" applyFill="1" applyAlignment="1">
      <alignment horizontal="left" vertical="center"/>
    </xf>
    <xf numFmtId="182" fontId="1" fillId="0" borderId="0" xfId="0" applyNumberFormat="1" applyFont="1" applyFill="1" applyBorder="1" applyAlignment="1">
      <alignment horizontal="left" vertical="center"/>
    </xf>
    <xf numFmtId="182" fontId="8" fillId="0" borderId="0" xfId="0" applyNumberFormat="1" applyFont="1" applyFill="1" applyBorder="1" applyAlignment="1">
      <alignment horizontal="left" vertical="center"/>
    </xf>
    <xf numFmtId="1" fontId="8" fillId="0" borderId="0" xfId="0" applyNumberFormat="1" applyFont="1" applyFill="1" applyBorder="1" applyAlignment="1">
      <alignment vertical="center"/>
    </xf>
    <xf numFmtId="182" fontId="1" fillId="0" borderId="0" xfId="0" applyNumberFormat="1" applyFont="1" applyFill="1" applyBorder="1" applyAlignment="1">
      <alignment horizontal="left"/>
    </xf>
    <xf numFmtId="178" fontId="1" fillId="0" borderId="0" xfId="4" applyFont="1" applyFill="1" applyAlignment="1">
      <alignment horizontal="left"/>
    </xf>
    <xf numFmtId="1" fontId="1" fillId="0" borderId="0" xfId="49" applyNumberFormat="1" applyFont="1" applyFill="1" applyAlignment="1">
      <alignment horizontal="left"/>
    </xf>
    <xf numFmtId="58" fontId="6" fillId="0" borderId="0" xfId="0" applyNumberFormat="1" applyFont="1" applyFill="1" applyBorder="1" applyAlignment="1" quotePrefix="1">
      <alignment vertical="center"/>
    </xf>
    <xf numFmtId="0" fontId="8" fillId="0" borderId="0" xfId="0" applyFont="1" applyFill="1" applyBorder="1" applyAlignment="1" quotePrefix="1"/>
    <xf numFmtId="0" fontId="8" fillId="0" borderId="0" xfId="0" applyNumberFormat="1" applyFont="1" applyFill="1" applyBorder="1" applyAlignment="1" quotePrefix="1"/>
    <xf numFmtId="0" fontId="1" fillId="0" borderId="0" xfId="0" applyFont="1" applyFill="1" applyBorder="1" applyAlignmen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Comma 2 2" xfId="49"/>
    <cellStyle name="Comma [0] 4" xfId="50"/>
    <cellStyle name="Comma [0] 9 2" xfId="51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V934"/>
  <sheetViews>
    <sheetView tabSelected="1" workbookViewId="0">
      <selection activeCell="F1" sqref="F1"/>
    </sheetView>
  </sheetViews>
  <sheetFormatPr defaultColWidth="9.11111111111111" defaultRowHeight="14.4"/>
  <cols>
    <col min="1" max="1" width="9" style="1"/>
    <col min="2" max="2" width="4" style="1"/>
    <col min="3" max="3" width="29.6666666666667" style="1"/>
    <col min="4" max="4" width="10.6666666666667" style="1"/>
    <col min="5" max="5" width="16" style="2"/>
    <col min="6" max="6" width="11.5555555555556" style="2"/>
    <col min="7" max="7" width="3.66666666666667" style="2" customWidth="1"/>
    <col min="8" max="8" width="4" style="1"/>
    <col min="9" max="9" width="14.3333333333333" style="3" hidden="1" customWidth="1"/>
    <col min="10" max="10" width="13.8888888888889" style="3" hidden="1" customWidth="1"/>
    <col min="11" max="11" width="10.6666666666667" style="3" hidden="1" customWidth="1"/>
    <col min="12" max="12" width="12.5555555555556" style="3" hidden="1" customWidth="1"/>
    <col min="13" max="13" width="14.3333333333333" style="3" hidden="1" customWidth="1"/>
    <col min="14" max="14" width="12.5555555555556" style="3" hidden="1" customWidth="1"/>
    <col min="15" max="15" width="5" style="3" customWidth="1"/>
    <col min="16" max="16" width="4" style="4" customWidth="1"/>
    <col min="17" max="17" width="22.4444444444444" style="1"/>
    <col min="18" max="20" width="10.5555555555556" style="1" customWidth="1"/>
    <col min="21" max="21" width="12.5555555555556" style="1" customWidth="1"/>
    <col min="22" max="22" width="16.4444444444444" style="5" customWidth="1"/>
    <col min="23" max="23" width="13.8888888888889" style="1" customWidth="1"/>
    <col min="24" max="26" width="13.6666666666667" style="1" customWidth="1"/>
    <col min="27" max="27" width="15.1111111111111" style="1" customWidth="1"/>
    <col min="28" max="28" width="3.66666666666667" style="1" customWidth="1"/>
    <col min="29" max="29" width="20.6666666666667" style="6" hidden="1" customWidth="1"/>
    <col min="30" max="30" width="15.3333333333333" style="7" hidden="1" customWidth="1"/>
    <col min="31" max="31" width="21.5555555555556" style="6" hidden="1" customWidth="1"/>
    <col min="32" max="32" width="17" style="8" hidden="1" customWidth="1"/>
    <col min="33" max="33" width="1.55555555555556" style="9" hidden="1" customWidth="1"/>
    <col min="34" max="34" width="15.4444444444444" style="10" hidden="1" customWidth="1"/>
    <col min="35" max="35" width="13.8888888888889" style="1" hidden="1" customWidth="1"/>
    <col min="36" max="36" width="3.11111111111111" style="1" hidden="1" customWidth="1"/>
    <col min="37" max="37" width="23.1111111111111" style="1" hidden="1" customWidth="1"/>
    <col min="38" max="38" width="5.55555555555556" style="11" hidden="1" customWidth="1"/>
    <col min="39" max="39" width="11" style="12" hidden="1" customWidth="1"/>
    <col min="40" max="40" width="26.3333333333333" style="1" hidden="1" customWidth="1"/>
    <col min="41" max="41" width="1.55555555555556" style="1" hidden="1" customWidth="1"/>
    <col min="42" max="42" width="17.3333333333333" style="1" hidden="1" customWidth="1"/>
    <col min="43" max="43" width="1.11111111111111" style="1" customWidth="1"/>
    <col min="44" max="44" width="9.11111111111111" style="1" customWidth="1"/>
    <col min="45" max="16384" width="9.11111111111111" style="1"/>
  </cols>
  <sheetData>
    <row r="1" s="1" customFormat="1" spans="5:39">
      <c r="E1" s="13" t="s">
        <v>0</v>
      </c>
      <c r="F1" s="14" t="s">
        <v>1</v>
      </c>
      <c r="G1" s="15"/>
      <c r="I1" s="18"/>
      <c r="J1" s="3"/>
      <c r="K1" s="3"/>
      <c r="L1" s="3"/>
      <c r="M1" s="3"/>
      <c r="N1" s="3"/>
      <c r="O1" s="3"/>
      <c r="P1" s="4"/>
      <c r="V1" s="5"/>
      <c r="AC1" s="6"/>
      <c r="AD1" s="7"/>
      <c r="AE1" s="6"/>
      <c r="AF1" s="8"/>
      <c r="AG1" s="9"/>
      <c r="AH1" s="10"/>
      <c r="AL1" s="11"/>
      <c r="AM1" s="12"/>
    </row>
    <row r="2" s="1" customFormat="1" spans="3:39">
      <c r="C2" s="16"/>
      <c r="D2" s="16"/>
      <c r="E2" s="17" t="s">
        <v>2</v>
      </c>
      <c r="F2" s="18">
        <f>COUNT(H12:H994)</f>
        <v>0</v>
      </c>
      <c r="G2" s="18"/>
      <c r="I2" s="37"/>
      <c r="J2" s="38"/>
      <c r="K2" s="3"/>
      <c r="L2" s="12"/>
      <c r="M2" s="18"/>
      <c r="N2" s="3"/>
      <c r="O2" s="3"/>
      <c r="P2" s="39"/>
      <c r="Q2" s="26"/>
      <c r="R2" s="26"/>
      <c r="S2" s="26"/>
      <c r="T2" s="26"/>
      <c r="U2" s="26"/>
      <c r="V2" s="55"/>
      <c r="W2" s="26"/>
      <c r="X2" s="26"/>
      <c r="Y2" s="26"/>
      <c r="Z2" s="26"/>
      <c r="AA2" s="26"/>
      <c r="AB2" s="26"/>
      <c r="AC2" s="70"/>
      <c r="AD2" s="7"/>
      <c r="AE2" s="6"/>
      <c r="AF2" s="71"/>
      <c r="AG2" s="9"/>
      <c r="AH2" s="10"/>
      <c r="AL2" s="11"/>
      <c r="AM2" s="12"/>
    </row>
    <row r="3" s="1" customFormat="1" spans="3:39">
      <c r="C3" s="16"/>
      <c r="D3" s="16"/>
      <c r="E3" s="17" t="s">
        <v>3</v>
      </c>
      <c r="F3" s="19">
        <v>0</v>
      </c>
      <c r="G3" s="19"/>
      <c r="I3" s="40"/>
      <c r="J3" s="38"/>
      <c r="K3" s="3"/>
      <c r="L3" s="12"/>
      <c r="M3" s="18"/>
      <c r="N3" s="3"/>
      <c r="O3" s="3"/>
      <c r="P3" s="39"/>
      <c r="Q3" s="26"/>
      <c r="R3" s="26"/>
      <c r="S3" s="26"/>
      <c r="T3" s="26"/>
      <c r="U3" s="26"/>
      <c r="V3" s="55"/>
      <c r="W3" s="26"/>
      <c r="X3" s="26"/>
      <c r="Y3" s="26"/>
      <c r="Z3" s="26"/>
      <c r="AA3" s="26"/>
      <c r="AB3" s="26"/>
      <c r="AC3" s="70"/>
      <c r="AD3" s="7"/>
      <c r="AE3" s="6"/>
      <c r="AF3" s="71"/>
      <c r="AG3" s="9"/>
      <c r="AH3" s="10"/>
      <c r="AL3" s="11"/>
      <c r="AM3" s="12"/>
    </row>
    <row r="4" s="1" customFormat="1" spans="3:39">
      <c r="C4" s="16"/>
      <c r="D4" s="16"/>
      <c r="E4" s="17" t="s">
        <v>4</v>
      </c>
      <c r="F4" s="19">
        <f>-COUNT(P12:P194)</f>
        <v>-9</v>
      </c>
      <c r="G4" s="19"/>
      <c r="I4" s="37"/>
      <c r="J4" s="38"/>
      <c r="K4" s="3"/>
      <c r="L4" s="12"/>
      <c r="M4" s="18"/>
      <c r="N4" s="3"/>
      <c r="O4" s="3"/>
      <c r="P4" s="39"/>
      <c r="Q4" s="26"/>
      <c r="R4" s="26"/>
      <c r="S4" s="26"/>
      <c r="T4" s="26"/>
      <c r="U4" s="26"/>
      <c r="V4" s="55"/>
      <c r="W4" s="26"/>
      <c r="X4" s="26"/>
      <c r="Y4" s="26"/>
      <c r="Z4" s="26"/>
      <c r="AA4" s="26"/>
      <c r="AB4" s="26"/>
      <c r="AC4" s="70"/>
      <c r="AD4" s="7"/>
      <c r="AE4" s="6"/>
      <c r="AF4" s="71"/>
      <c r="AG4" s="9"/>
      <c r="AH4" s="10"/>
      <c r="AL4" s="11"/>
      <c r="AM4" s="12"/>
    </row>
    <row r="5" s="1" customFormat="1" spans="3:39">
      <c r="C5" s="16"/>
      <c r="D5" s="16"/>
      <c r="E5" s="17" t="s">
        <v>5</v>
      </c>
      <c r="F5" s="19">
        <v>87</v>
      </c>
      <c r="G5" s="19"/>
      <c r="I5" s="37"/>
      <c r="J5" s="38"/>
      <c r="K5" s="3"/>
      <c r="L5" s="12"/>
      <c r="M5" s="18"/>
      <c r="N5" s="3"/>
      <c r="O5" s="3"/>
      <c r="P5" s="39"/>
      <c r="Q5" s="26"/>
      <c r="R5" s="26"/>
      <c r="S5" s="26"/>
      <c r="T5" s="26"/>
      <c r="U5" s="26"/>
      <c r="V5" s="55"/>
      <c r="W5" s="26"/>
      <c r="X5" s="26"/>
      <c r="Y5" s="26"/>
      <c r="Z5" s="26"/>
      <c r="AA5" s="26"/>
      <c r="AB5" s="26"/>
      <c r="AC5" s="70"/>
      <c r="AD5" s="7"/>
      <c r="AE5" s="6"/>
      <c r="AF5" s="71"/>
      <c r="AG5" s="9"/>
      <c r="AH5" s="10"/>
      <c r="AL5" s="11"/>
      <c r="AM5" s="12"/>
    </row>
    <row r="6" s="1" customFormat="1" spans="3:39">
      <c r="C6" s="16"/>
      <c r="D6" s="16"/>
      <c r="E6" s="17" t="s">
        <v>6</v>
      </c>
      <c r="F6" s="19">
        <f>COUNT(B12:B824)</f>
        <v>87</v>
      </c>
      <c r="G6" s="19"/>
      <c r="I6" s="12"/>
      <c r="J6" s="18"/>
      <c r="K6" s="3"/>
      <c r="L6" s="3"/>
      <c r="M6" s="3"/>
      <c r="N6" s="3"/>
      <c r="O6" s="3"/>
      <c r="P6" s="39"/>
      <c r="Q6" s="26"/>
      <c r="R6" s="26"/>
      <c r="S6" s="26"/>
      <c r="T6" s="26"/>
      <c r="U6" s="26"/>
      <c r="V6" s="55"/>
      <c r="W6" s="26"/>
      <c r="X6" s="26"/>
      <c r="Y6" s="26"/>
      <c r="Z6" s="26"/>
      <c r="AA6" s="26"/>
      <c r="AB6" s="26"/>
      <c r="AC6" s="70"/>
      <c r="AD6" s="7"/>
      <c r="AE6" s="6"/>
      <c r="AF6" s="71"/>
      <c r="AG6" s="9"/>
      <c r="AH6" s="10"/>
      <c r="AL6" s="11"/>
      <c r="AM6" s="12"/>
    </row>
    <row r="7" s="1" customFormat="1" spans="3:39">
      <c r="C7" s="16"/>
      <c r="D7" s="16"/>
      <c r="E7" s="17" t="s">
        <v>7</v>
      </c>
      <c r="F7" s="18">
        <f>F6-F5</f>
        <v>0</v>
      </c>
      <c r="G7" s="18"/>
      <c r="I7" s="12"/>
      <c r="J7" s="18"/>
      <c r="K7" s="3"/>
      <c r="L7" s="3"/>
      <c r="M7" s="3"/>
      <c r="N7" s="3"/>
      <c r="O7" s="3"/>
      <c r="P7" s="41"/>
      <c r="Q7" s="12"/>
      <c r="R7" s="12"/>
      <c r="S7" s="12"/>
      <c r="T7" s="12"/>
      <c r="U7" s="12"/>
      <c r="V7" s="56"/>
      <c r="W7" s="12"/>
      <c r="X7" s="12"/>
      <c r="Y7" s="12"/>
      <c r="Z7" s="12"/>
      <c r="AA7" s="12"/>
      <c r="AB7" s="12"/>
      <c r="AC7" s="7"/>
      <c r="AD7" s="7"/>
      <c r="AE7" s="6"/>
      <c r="AF7" s="72"/>
      <c r="AG7" s="9"/>
      <c r="AH7" s="10"/>
      <c r="AL7" s="11"/>
      <c r="AM7" s="12"/>
    </row>
    <row r="8" s="1" customFormat="1" spans="3:39">
      <c r="C8" s="16"/>
      <c r="D8" s="16"/>
      <c r="E8" s="17" t="s">
        <v>8</v>
      </c>
      <c r="F8" s="20">
        <v>0</v>
      </c>
      <c r="G8" s="20"/>
      <c r="I8" s="12"/>
      <c r="J8" s="18"/>
      <c r="K8" s="18"/>
      <c r="L8" s="18"/>
      <c r="M8" s="18"/>
      <c r="N8" s="18"/>
      <c r="O8" s="18"/>
      <c r="P8" s="41"/>
      <c r="Q8" s="12"/>
      <c r="R8" s="12"/>
      <c r="S8" s="12"/>
      <c r="T8" s="12"/>
      <c r="U8" s="12"/>
      <c r="V8" s="56"/>
      <c r="W8" s="12"/>
      <c r="X8" s="12"/>
      <c r="Y8" s="12"/>
      <c r="Z8" s="12"/>
      <c r="AA8" s="12"/>
      <c r="AB8" s="12"/>
      <c r="AC8" s="7"/>
      <c r="AD8" s="7"/>
      <c r="AE8" s="6"/>
      <c r="AF8" s="72"/>
      <c r="AG8" s="9"/>
      <c r="AH8" s="10"/>
      <c r="AL8" s="11"/>
      <c r="AM8" s="12"/>
    </row>
    <row r="9" s="1" customFormat="1" spans="3:39">
      <c r="C9" s="16"/>
      <c r="D9" s="16"/>
      <c r="E9" s="109" t="s">
        <v>9</v>
      </c>
      <c r="F9" s="22">
        <f>COUNTIF(AL12:AL994,"ada di data resign tapi masih aktif")</f>
        <v>0</v>
      </c>
      <c r="G9" s="22"/>
      <c r="I9" s="12"/>
      <c r="J9" s="18"/>
      <c r="K9" s="18"/>
      <c r="L9" s="18"/>
      <c r="M9" s="18"/>
      <c r="N9" s="18"/>
      <c r="O9" s="18"/>
      <c r="P9" s="41"/>
      <c r="Q9" s="12"/>
      <c r="R9" s="12"/>
      <c r="S9" s="12"/>
      <c r="T9" s="12"/>
      <c r="U9" s="12"/>
      <c r="V9" s="56"/>
      <c r="W9" s="12"/>
      <c r="X9" s="12"/>
      <c r="Y9" s="12"/>
      <c r="Z9" s="12"/>
      <c r="AA9" s="12"/>
      <c r="AB9" s="12"/>
      <c r="AC9" s="7"/>
      <c r="AD9" s="7"/>
      <c r="AE9" s="6"/>
      <c r="AF9" s="72"/>
      <c r="AG9" s="9"/>
      <c r="AH9" s="10"/>
      <c r="AL9" s="11"/>
      <c r="AM9" s="12"/>
    </row>
    <row r="10" s="1" customFormat="1" spans="3:39">
      <c r="C10" s="16"/>
      <c r="D10" s="16"/>
      <c r="E10" s="2"/>
      <c r="F10" s="23"/>
      <c r="G10" s="23"/>
      <c r="I10" s="18"/>
      <c r="J10" s="18"/>
      <c r="K10" s="18"/>
      <c r="L10" s="18"/>
      <c r="M10" s="18"/>
      <c r="N10" s="18"/>
      <c r="O10" s="18"/>
      <c r="P10" s="41"/>
      <c r="Q10" s="12"/>
      <c r="R10" s="12"/>
      <c r="S10" s="12"/>
      <c r="T10" s="12"/>
      <c r="U10" s="12"/>
      <c r="V10" s="56"/>
      <c r="W10" s="12"/>
      <c r="X10" s="12"/>
      <c r="Y10" s="12"/>
      <c r="Z10" s="12"/>
      <c r="AA10" s="12"/>
      <c r="AB10" s="12"/>
      <c r="AC10" s="7"/>
      <c r="AD10" s="7"/>
      <c r="AE10" s="6"/>
      <c r="AF10" s="72"/>
      <c r="AG10" s="9"/>
      <c r="AH10" s="10"/>
      <c r="AL10" s="11"/>
      <c r="AM10" s="12"/>
    </row>
    <row r="11" s="1" customFormat="1" spans="1:256">
      <c r="A11" s="24" t="s">
        <v>10</v>
      </c>
      <c r="B11" s="24"/>
      <c r="C11" s="25" t="s">
        <v>11</v>
      </c>
      <c r="D11" s="25" t="s">
        <v>12</v>
      </c>
      <c r="E11" s="24" t="s">
        <v>13</v>
      </c>
      <c r="F11" s="24" t="s">
        <v>14</v>
      </c>
      <c r="G11" s="24"/>
      <c r="H11" s="26"/>
      <c r="I11" s="24" t="s">
        <v>15</v>
      </c>
      <c r="J11" s="24" t="s">
        <v>12</v>
      </c>
      <c r="K11" s="24" t="s">
        <v>13</v>
      </c>
      <c r="L11" s="24" t="s">
        <v>14</v>
      </c>
      <c r="M11" s="24" t="s">
        <v>16</v>
      </c>
      <c r="N11" s="24" t="s">
        <v>17</v>
      </c>
      <c r="O11" s="24"/>
      <c r="P11" s="39"/>
      <c r="Q11" s="24" t="s">
        <v>18</v>
      </c>
      <c r="R11" s="24" t="s">
        <v>12</v>
      </c>
      <c r="S11" s="24" t="s">
        <v>13</v>
      </c>
      <c r="T11" s="24" t="s">
        <v>19</v>
      </c>
      <c r="U11" s="24" t="s">
        <v>14</v>
      </c>
      <c r="V11" s="57" t="s">
        <v>20</v>
      </c>
      <c r="W11" s="58" t="s">
        <v>21</v>
      </c>
      <c r="X11" s="58" t="s">
        <v>22</v>
      </c>
      <c r="Y11" s="58" t="s">
        <v>23</v>
      </c>
      <c r="Z11" s="58" t="s">
        <v>24</v>
      </c>
      <c r="AA11" s="58" t="s">
        <v>25</v>
      </c>
      <c r="AB11" s="24"/>
      <c r="AC11" s="73" t="s">
        <v>26</v>
      </c>
      <c r="AD11" s="74"/>
      <c r="AE11" s="73" t="s">
        <v>27</v>
      </c>
      <c r="AF11" s="75"/>
      <c r="AG11" s="75"/>
      <c r="AH11" s="82"/>
      <c r="AI11" s="24"/>
      <c r="AJ11" s="24"/>
      <c r="AK11" s="24" t="s">
        <v>28</v>
      </c>
      <c r="AL11" s="83"/>
      <c r="AM11" s="84"/>
      <c r="AN11" s="24" t="s">
        <v>29</v>
      </c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  <c r="CK11" s="24"/>
      <c r="CL11" s="24"/>
      <c r="CM11" s="24"/>
      <c r="CN11" s="24"/>
      <c r="CO11" s="24"/>
      <c r="CP11" s="24"/>
      <c r="CQ11" s="24"/>
      <c r="CR11" s="24"/>
      <c r="CS11" s="24"/>
      <c r="CT11" s="24"/>
      <c r="CU11" s="24"/>
      <c r="CV11" s="24"/>
      <c r="CW11" s="24"/>
      <c r="CX11" s="24"/>
      <c r="CY11" s="24"/>
      <c r="CZ11" s="24"/>
      <c r="DA11" s="24"/>
      <c r="DB11" s="24"/>
      <c r="DC11" s="24"/>
      <c r="DD11" s="24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  <c r="DT11" s="24"/>
      <c r="DU11" s="24"/>
      <c r="DV11" s="24"/>
      <c r="DW11" s="24"/>
      <c r="DX11" s="24"/>
      <c r="DY11" s="24"/>
      <c r="DZ11" s="24"/>
      <c r="EA11" s="24"/>
      <c r="EB11" s="24"/>
      <c r="EC11" s="24"/>
      <c r="ED11" s="24"/>
      <c r="EE11" s="24"/>
      <c r="EF11" s="24"/>
      <c r="EG11" s="24"/>
      <c r="EH11" s="24"/>
      <c r="EI11" s="24"/>
      <c r="EJ11" s="24"/>
      <c r="EK11" s="24"/>
      <c r="EL11" s="24"/>
      <c r="EM11" s="24"/>
      <c r="EN11" s="24"/>
      <c r="EO11" s="24"/>
      <c r="EP11" s="24"/>
      <c r="EQ11" s="24"/>
      <c r="ER11" s="24"/>
      <c r="ES11" s="24"/>
      <c r="ET11" s="24"/>
      <c r="EU11" s="24"/>
      <c r="EV11" s="24"/>
      <c r="EW11" s="24"/>
      <c r="EX11" s="24"/>
      <c r="EY11" s="24"/>
      <c r="EZ11" s="24"/>
      <c r="FA11" s="24"/>
      <c r="FB11" s="24"/>
      <c r="FC11" s="24"/>
      <c r="FD11" s="24"/>
      <c r="FE11" s="24"/>
      <c r="FF11" s="24"/>
      <c r="FG11" s="24"/>
      <c r="FH11" s="24"/>
      <c r="FI11" s="24"/>
      <c r="FJ11" s="24"/>
      <c r="FK11" s="24"/>
      <c r="FL11" s="24"/>
      <c r="FM11" s="24"/>
      <c r="FN11" s="24"/>
      <c r="FO11" s="24"/>
      <c r="FP11" s="24"/>
      <c r="FQ11" s="24"/>
      <c r="FR11" s="24"/>
      <c r="FS11" s="24"/>
      <c r="FT11" s="24"/>
      <c r="FU11" s="24"/>
      <c r="FV11" s="24"/>
      <c r="FW11" s="24"/>
      <c r="FX11" s="24"/>
      <c r="FY11" s="24"/>
      <c r="FZ11" s="24"/>
      <c r="GA11" s="24"/>
      <c r="GB11" s="24"/>
      <c r="GC11" s="24"/>
      <c r="GD11" s="24"/>
      <c r="GE11" s="24"/>
      <c r="GF11" s="24"/>
      <c r="GG11" s="24"/>
      <c r="GH11" s="24"/>
      <c r="GI11" s="24"/>
      <c r="GJ11" s="24"/>
      <c r="GK11" s="24"/>
      <c r="GL11" s="24"/>
      <c r="GM11" s="24"/>
      <c r="GN11" s="24"/>
      <c r="GO11" s="24"/>
      <c r="GP11" s="24"/>
      <c r="GQ11" s="24"/>
      <c r="GR11" s="24"/>
      <c r="GS11" s="24"/>
      <c r="GT11" s="24"/>
      <c r="GU11" s="24"/>
      <c r="GV11" s="24"/>
      <c r="GW11" s="24"/>
      <c r="GX11" s="24"/>
      <c r="GY11" s="24"/>
      <c r="GZ11" s="24"/>
      <c r="HA11" s="24"/>
      <c r="HB11" s="24"/>
      <c r="HC11" s="24"/>
      <c r="HD11" s="24"/>
      <c r="HE11" s="24"/>
      <c r="HF11" s="24"/>
      <c r="HG11" s="24"/>
      <c r="HH11" s="24"/>
      <c r="HI11" s="24"/>
      <c r="HJ11" s="24"/>
      <c r="HK11" s="24"/>
      <c r="HL11" s="24"/>
      <c r="HM11" s="24"/>
      <c r="HN11" s="24"/>
      <c r="HO11" s="24"/>
      <c r="HP11" s="24"/>
      <c r="HQ11" s="24"/>
      <c r="HR11" s="24"/>
      <c r="HS11" s="24"/>
      <c r="HT11" s="24"/>
      <c r="HU11" s="24"/>
      <c r="HV11" s="24"/>
      <c r="HW11" s="24"/>
      <c r="HX11" s="24"/>
      <c r="HY11" s="24"/>
      <c r="HZ11" s="24"/>
      <c r="IA11" s="24"/>
      <c r="IB11" s="24"/>
      <c r="IC11" s="24"/>
      <c r="ID11" s="24"/>
      <c r="IE11" s="24"/>
      <c r="IF11" s="24"/>
      <c r="IG11" s="24"/>
      <c r="IH11" s="24"/>
      <c r="II11" s="24"/>
      <c r="IJ11" s="24"/>
      <c r="IK11" s="24"/>
      <c r="IL11" s="24"/>
      <c r="IM11" s="24"/>
      <c r="IN11" s="24"/>
      <c r="IO11" s="24"/>
      <c r="IP11" s="24"/>
      <c r="IQ11" s="24"/>
      <c r="IR11" s="24"/>
      <c r="IS11" s="24"/>
      <c r="IT11" s="24"/>
      <c r="IU11" s="24"/>
      <c r="IV11" s="24"/>
    </row>
    <row r="12" s="1" customFormat="1" spans="1:42">
      <c r="A12" s="1">
        <v>20230004</v>
      </c>
      <c r="B12" s="1">
        <v>1</v>
      </c>
      <c r="C12" s="110" t="s">
        <v>30</v>
      </c>
      <c r="D12" s="28">
        <v>34629</v>
      </c>
      <c r="E12" s="29">
        <v>45278</v>
      </c>
      <c r="F12" s="30">
        <v>18000000</v>
      </c>
      <c r="G12" s="30"/>
      <c r="H12" s="31"/>
      <c r="I12" s="27"/>
      <c r="J12" s="42"/>
      <c r="K12" s="9"/>
      <c r="L12" s="43"/>
      <c r="M12" s="44"/>
      <c r="N12" s="45"/>
      <c r="O12" s="46"/>
      <c r="P12" s="1">
        <v>1</v>
      </c>
      <c r="Q12" s="111" t="s">
        <v>31</v>
      </c>
      <c r="R12" s="60">
        <v>37484</v>
      </c>
      <c r="S12" s="61">
        <v>45544</v>
      </c>
      <c r="T12" s="9">
        <v>45834</v>
      </c>
      <c r="U12" s="62">
        <v>10000000</v>
      </c>
      <c r="V12" s="1" t="s">
        <v>32</v>
      </c>
      <c r="W12" s="62">
        <v>9666301</v>
      </c>
      <c r="X12" s="62"/>
      <c r="Y12" s="62"/>
      <c r="Z12" s="62"/>
      <c r="AA12" s="34">
        <v>45848</v>
      </c>
      <c r="AB12" s="62"/>
      <c r="AC12" s="76" t="e">
        <f t="shared" ref="AC12:AC47" si="0">VLOOKUP(C12,$I$12:$I$1000,1,0)</f>
        <v>#N/A</v>
      </c>
      <c r="AD12" s="77" t="str">
        <f t="shared" ref="AD12:AD47" si="1">IF(NOT(ISNA(AC12)),"","Baru ada di 2025")</f>
        <v>Baru ada di 2025</v>
      </c>
      <c r="AE12" s="78" t="e">
        <f t="shared" ref="AE12:AE42" si="2">VLOOKUP(I12,$C$12:$C$1000,1,0)</f>
        <v>#N/A</v>
      </c>
      <c r="AF12" s="79">
        <f t="shared" ref="AF12:AF42" si="3">IF(ISNA(AE12),I12,"")</f>
        <v>0</v>
      </c>
      <c r="AG12" s="10"/>
      <c r="AH12" s="79" t="e">
        <f t="shared" ref="AH12:AH42" si="4">IF(AF12="","",VLOOKUP(AF12,$Q$12:$Q$194,1,0))</f>
        <v>#N/A</v>
      </c>
      <c r="AI12" s="10" t="e">
        <f t="shared" ref="AI12:AI42" si="5">IF(AH12&lt;&gt;"","resign di 2025","")</f>
        <v>#N/A</v>
      </c>
      <c r="AK12" s="1" t="e">
        <f>VLOOKUP(C12,$Q$12:$Q$994,1,0)</f>
        <v>#N/A</v>
      </c>
      <c r="AL12" s="11" t="e">
        <f>IF(AK12&lt;&gt;"","ada di data resign tapi masih aktif","")</f>
        <v>#N/A</v>
      </c>
      <c r="AM12" s="12"/>
      <c r="AN12" s="1" t="e">
        <f t="shared" ref="AN12:AN15" si="6">VLOOKUP(Q12,$I$12:$I$1000,1,0)</f>
        <v>#N/A</v>
      </c>
      <c r="AP12" s="112" t="str">
        <f t="shared" ref="AP12:AP15" si="7">IF(ISNA(AN12),Q12,"")</f>
        <v>Maureen Priscilla</v>
      </c>
    </row>
    <row r="13" s="1" customFormat="1" spans="1:42">
      <c r="A13" s="1">
        <v>20240005</v>
      </c>
      <c r="B13" s="31">
        <f t="shared" ref="B13:B76" si="8">B12+1</f>
        <v>2</v>
      </c>
      <c r="C13" s="110" t="s">
        <v>33</v>
      </c>
      <c r="D13" s="28">
        <v>36314</v>
      </c>
      <c r="E13" s="29">
        <v>45352</v>
      </c>
      <c r="F13" s="30">
        <v>7500000</v>
      </c>
      <c r="G13" s="30"/>
      <c r="H13" s="31"/>
      <c r="I13" s="27"/>
      <c r="J13" s="42"/>
      <c r="K13" s="9"/>
      <c r="L13" s="43"/>
      <c r="M13" s="44"/>
      <c r="N13" s="45"/>
      <c r="O13" s="46"/>
      <c r="P13" s="31">
        <f t="shared" ref="P13:P20" si="9">P12+1</f>
        <v>2</v>
      </c>
      <c r="Q13" s="111" t="s">
        <v>34</v>
      </c>
      <c r="R13" s="60">
        <v>28241</v>
      </c>
      <c r="S13" s="61">
        <v>45671</v>
      </c>
      <c r="T13" s="34">
        <v>45838</v>
      </c>
      <c r="U13" s="62">
        <v>12000000</v>
      </c>
      <c r="V13" s="1" t="s">
        <v>32</v>
      </c>
      <c r="W13" s="62">
        <v>16836445</v>
      </c>
      <c r="X13" s="62"/>
      <c r="Y13" s="62"/>
      <c r="Z13" s="62"/>
      <c r="AA13" s="61">
        <v>45848</v>
      </c>
      <c r="AB13" s="62"/>
      <c r="AC13" s="76" t="e">
        <f t="shared" si="0"/>
        <v>#N/A</v>
      </c>
      <c r="AD13" s="77" t="str">
        <f t="shared" si="1"/>
        <v>Baru ada di 2025</v>
      </c>
      <c r="AE13" s="78" t="e">
        <f t="shared" si="2"/>
        <v>#N/A</v>
      </c>
      <c r="AF13" s="79">
        <f t="shared" si="3"/>
        <v>0</v>
      </c>
      <c r="AG13" s="10"/>
      <c r="AH13" s="79" t="e">
        <f t="shared" si="4"/>
        <v>#N/A</v>
      </c>
      <c r="AI13" s="10" t="e">
        <f t="shared" si="5"/>
        <v>#N/A</v>
      </c>
      <c r="AL13" s="11"/>
      <c r="AM13" s="12"/>
      <c r="AN13" s="1" t="e">
        <f t="shared" si="6"/>
        <v>#N/A</v>
      </c>
      <c r="AP13" s="112" t="str">
        <f t="shared" si="7"/>
        <v>Judith Theresia Muliadi</v>
      </c>
    </row>
    <row r="14" s="1" customFormat="1" spans="1:42">
      <c r="A14" s="1" t="s">
        <v>35</v>
      </c>
      <c r="B14" s="31">
        <f t="shared" si="8"/>
        <v>3</v>
      </c>
      <c r="C14" s="110" t="s">
        <v>36</v>
      </c>
      <c r="D14" s="28">
        <v>36433</v>
      </c>
      <c r="E14" s="29">
        <v>45404</v>
      </c>
      <c r="F14" s="30">
        <v>7300000</v>
      </c>
      <c r="G14" s="30"/>
      <c r="H14" s="31"/>
      <c r="I14" s="27"/>
      <c r="J14" s="42"/>
      <c r="K14" s="9"/>
      <c r="L14" s="43"/>
      <c r="M14" s="44"/>
      <c r="N14" s="45"/>
      <c r="O14" s="46"/>
      <c r="P14" s="31">
        <f t="shared" si="9"/>
        <v>3</v>
      </c>
      <c r="Q14" s="111" t="s">
        <v>37</v>
      </c>
      <c r="R14" s="60">
        <v>37076</v>
      </c>
      <c r="S14" s="63">
        <v>45365</v>
      </c>
      <c r="T14" s="34">
        <v>45884</v>
      </c>
      <c r="U14" s="62">
        <v>7500000</v>
      </c>
      <c r="V14" s="1" t="s">
        <v>32</v>
      </c>
      <c r="W14" s="62">
        <v>8839286.14285714</v>
      </c>
      <c r="X14" s="62"/>
      <c r="Y14" s="62"/>
      <c r="Z14" s="62"/>
      <c r="AA14" s="63">
        <v>45910</v>
      </c>
      <c r="AB14" s="62"/>
      <c r="AC14" s="76" t="e">
        <f t="shared" si="0"/>
        <v>#N/A</v>
      </c>
      <c r="AD14" s="77" t="str">
        <f t="shared" si="1"/>
        <v>Baru ada di 2025</v>
      </c>
      <c r="AE14" s="78" t="e">
        <f t="shared" si="2"/>
        <v>#N/A</v>
      </c>
      <c r="AF14" s="79">
        <f t="shared" si="3"/>
        <v>0</v>
      </c>
      <c r="AG14" s="10"/>
      <c r="AH14" s="79" t="e">
        <f t="shared" si="4"/>
        <v>#N/A</v>
      </c>
      <c r="AI14" s="10" t="e">
        <f t="shared" si="5"/>
        <v>#N/A</v>
      </c>
      <c r="AL14" s="11"/>
      <c r="AM14" s="12"/>
      <c r="AN14" s="1" t="e">
        <f t="shared" si="6"/>
        <v>#N/A</v>
      </c>
      <c r="AP14" s="112" t="str">
        <f t="shared" si="7"/>
        <v>Alifionita Anjarsari </v>
      </c>
    </row>
    <row r="15" s="1" customFormat="1" spans="1:42">
      <c r="A15" s="1" t="s">
        <v>38</v>
      </c>
      <c r="B15" s="31">
        <f t="shared" si="8"/>
        <v>4</v>
      </c>
      <c r="C15" s="110" t="s">
        <v>39</v>
      </c>
      <c r="D15" s="28">
        <v>36237</v>
      </c>
      <c r="E15" s="29">
        <v>45413</v>
      </c>
      <c r="F15" s="30">
        <v>7300000</v>
      </c>
      <c r="G15" s="30"/>
      <c r="H15" s="31"/>
      <c r="I15" s="27"/>
      <c r="J15" s="42"/>
      <c r="K15" s="9"/>
      <c r="L15" s="43"/>
      <c r="M15" s="44"/>
      <c r="N15" s="45"/>
      <c r="O15" s="46"/>
      <c r="P15" s="31">
        <f t="shared" si="9"/>
        <v>4</v>
      </c>
      <c r="Q15" s="59" t="s">
        <v>40</v>
      </c>
      <c r="R15" s="60">
        <v>37247</v>
      </c>
      <c r="S15" s="61">
        <v>45399</v>
      </c>
      <c r="T15" s="34">
        <v>45948</v>
      </c>
      <c r="U15" s="62">
        <v>11750000</v>
      </c>
      <c r="V15" s="1" t="s">
        <v>32</v>
      </c>
      <c r="W15" s="64">
        <v>11990060</v>
      </c>
      <c r="X15" s="64"/>
      <c r="Y15" s="64"/>
      <c r="Z15" s="64"/>
      <c r="AA15" s="61">
        <v>45971</v>
      </c>
      <c r="AB15" s="64"/>
      <c r="AC15" s="76" t="e">
        <f t="shared" si="0"/>
        <v>#N/A</v>
      </c>
      <c r="AD15" s="77" t="str">
        <f t="shared" si="1"/>
        <v>Baru ada di 2025</v>
      </c>
      <c r="AE15" s="78" t="e">
        <f t="shared" si="2"/>
        <v>#N/A</v>
      </c>
      <c r="AF15" s="79">
        <f t="shared" si="3"/>
        <v>0</v>
      </c>
      <c r="AG15" s="10"/>
      <c r="AH15" s="79" t="e">
        <f t="shared" si="4"/>
        <v>#N/A</v>
      </c>
      <c r="AI15" s="10" t="e">
        <f t="shared" si="5"/>
        <v>#N/A</v>
      </c>
      <c r="AL15" s="11"/>
      <c r="AM15" s="12"/>
      <c r="AN15" s="1" t="e">
        <f t="shared" si="6"/>
        <v>#N/A</v>
      </c>
      <c r="AP15" s="1" t="str">
        <f t="shared" si="7"/>
        <v>Pamela Wijaya </v>
      </c>
    </row>
    <row r="16" s="1" customFormat="1" spans="1:39">
      <c r="A16" s="1" t="s">
        <v>41</v>
      </c>
      <c r="B16" s="31">
        <f t="shared" si="8"/>
        <v>5</v>
      </c>
      <c r="C16" s="110" t="s">
        <v>42</v>
      </c>
      <c r="D16" s="28">
        <v>35515</v>
      </c>
      <c r="E16" s="29">
        <v>45397</v>
      </c>
      <c r="F16" s="30">
        <v>9000000</v>
      </c>
      <c r="G16" s="30"/>
      <c r="H16" s="31"/>
      <c r="I16" s="27"/>
      <c r="J16" s="42"/>
      <c r="K16" s="9"/>
      <c r="L16" s="43"/>
      <c r="M16" s="44"/>
      <c r="N16" s="45"/>
      <c r="O16" s="46"/>
      <c r="P16" s="31">
        <f t="shared" si="9"/>
        <v>5</v>
      </c>
      <c r="Q16" s="59" t="s">
        <v>43</v>
      </c>
      <c r="R16" s="60">
        <v>36955</v>
      </c>
      <c r="S16" s="61">
        <v>45870</v>
      </c>
      <c r="T16" s="34">
        <v>45961</v>
      </c>
      <c r="U16" s="62">
        <v>5069708</v>
      </c>
      <c r="V16" s="1" t="s">
        <v>32</v>
      </c>
      <c r="W16" s="62">
        <v>5885154.68</v>
      </c>
      <c r="X16" s="62"/>
      <c r="Y16" s="62"/>
      <c r="Z16" s="62"/>
      <c r="AA16" s="61">
        <v>45971</v>
      </c>
      <c r="AB16" s="62"/>
      <c r="AC16" s="76" t="e">
        <f t="shared" si="0"/>
        <v>#N/A</v>
      </c>
      <c r="AD16" s="77" t="str">
        <f t="shared" si="1"/>
        <v>Baru ada di 2025</v>
      </c>
      <c r="AE16" s="78" t="e">
        <f t="shared" si="2"/>
        <v>#N/A</v>
      </c>
      <c r="AF16" s="79">
        <f t="shared" si="3"/>
        <v>0</v>
      </c>
      <c r="AG16" s="10"/>
      <c r="AH16" s="79" t="e">
        <f t="shared" si="4"/>
        <v>#N/A</v>
      </c>
      <c r="AI16" s="10" t="e">
        <f t="shared" si="5"/>
        <v>#N/A</v>
      </c>
      <c r="AL16" s="11"/>
      <c r="AM16" s="12"/>
    </row>
    <row r="17" s="1" customFormat="1" spans="1:39">
      <c r="A17" s="1" t="s">
        <v>44</v>
      </c>
      <c r="B17" s="31">
        <f t="shared" si="8"/>
        <v>6</v>
      </c>
      <c r="C17" s="1" t="s">
        <v>45</v>
      </c>
      <c r="D17" s="28">
        <v>33307</v>
      </c>
      <c r="E17" s="29">
        <v>45400</v>
      </c>
      <c r="F17" s="30">
        <v>5110289</v>
      </c>
      <c r="G17" s="30"/>
      <c r="H17" s="31"/>
      <c r="I17" s="1"/>
      <c r="J17" s="42"/>
      <c r="K17" s="9"/>
      <c r="L17" s="43"/>
      <c r="M17" s="44"/>
      <c r="N17" s="45"/>
      <c r="O17" s="46"/>
      <c r="P17" s="31">
        <f t="shared" si="9"/>
        <v>6</v>
      </c>
      <c r="Q17" s="10" t="s">
        <v>46</v>
      </c>
      <c r="R17" s="60">
        <v>36663</v>
      </c>
      <c r="S17" s="34">
        <v>45691</v>
      </c>
      <c r="T17" s="34">
        <v>45981</v>
      </c>
      <c r="U17" s="62">
        <v>11800000</v>
      </c>
      <c r="V17" s="1" t="s">
        <v>32</v>
      </c>
      <c r="W17" s="62">
        <v>7368940</v>
      </c>
      <c r="X17" s="62"/>
      <c r="Y17" s="62"/>
      <c r="Z17" s="62"/>
      <c r="AA17" s="34">
        <v>46001</v>
      </c>
      <c r="AB17" s="62"/>
      <c r="AC17" s="76" t="e">
        <f t="shared" si="0"/>
        <v>#N/A</v>
      </c>
      <c r="AD17" s="77" t="str">
        <f t="shared" si="1"/>
        <v>Baru ada di 2025</v>
      </c>
      <c r="AE17" s="78" t="e">
        <f t="shared" si="2"/>
        <v>#N/A</v>
      </c>
      <c r="AF17" s="79">
        <f t="shared" si="3"/>
        <v>0</v>
      </c>
      <c r="AG17" s="10"/>
      <c r="AH17" s="79" t="e">
        <f t="shared" si="4"/>
        <v>#N/A</v>
      </c>
      <c r="AI17" s="10" t="e">
        <f t="shared" si="5"/>
        <v>#N/A</v>
      </c>
      <c r="AL17" s="11"/>
      <c r="AM17" s="12"/>
    </row>
    <row r="18" s="1" customFormat="1" spans="1:39">
      <c r="A18" s="1" t="s">
        <v>47</v>
      </c>
      <c r="B18" s="31">
        <f t="shared" si="8"/>
        <v>7</v>
      </c>
      <c r="C18" s="1" t="s">
        <v>48</v>
      </c>
      <c r="D18" s="28">
        <v>32578</v>
      </c>
      <c r="E18" s="29">
        <v>45411</v>
      </c>
      <c r="F18" s="30">
        <v>5500000</v>
      </c>
      <c r="G18" s="30"/>
      <c r="H18" s="31"/>
      <c r="I18" s="1"/>
      <c r="J18" s="42"/>
      <c r="K18" s="9"/>
      <c r="L18" s="43"/>
      <c r="M18" s="47"/>
      <c r="N18" s="48"/>
      <c r="O18" s="49"/>
      <c r="P18" s="31">
        <f t="shared" si="9"/>
        <v>7</v>
      </c>
      <c r="Q18" s="10" t="s">
        <v>49</v>
      </c>
      <c r="R18" s="60">
        <v>37417</v>
      </c>
      <c r="S18" s="34">
        <v>45728</v>
      </c>
      <c r="T18" s="34">
        <v>45982</v>
      </c>
      <c r="U18" s="62">
        <v>6500000</v>
      </c>
      <c r="V18" s="1" t="s">
        <v>32</v>
      </c>
      <c r="W18" s="35">
        <v>5227935.89285714</v>
      </c>
      <c r="X18" s="35"/>
      <c r="Y18" s="35"/>
      <c r="Z18" s="35"/>
      <c r="AA18" s="34">
        <v>46001</v>
      </c>
      <c r="AB18" s="35"/>
      <c r="AC18" s="76" t="e">
        <f t="shared" si="0"/>
        <v>#N/A</v>
      </c>
      <c r="AD18" s="77" t="str">
        <f t="shared" si="1"/>
        <v>Baru ada di 2025</v>
      </c>
      <c r="AE18" s="78" t="e">
        <f t="shared" si="2"/>
        <v>#N/A</v>
      </c>
      <c r="AF18" s="79">
        <f t="shared" si="3"/>
        <v>0</v>
      </c>
      <c r="AG18" s="10"/>
      <c r="AH18" s="79" t="e">
        <f t="shared" si="4"/>
        <v>#N/A</v>
      </c>
      <c r="AI18" s="10" t="e">
        <f t="shared" si="5"/>
        <v>#N/A</v>
      </c>
      <c r="AJ18" s="85"/>
      <c r="AL18" s="11"/>
      <c r="AM18" s="12"/>
    </row>
    <row r="19" s="1" customFormat="1" spans="1:39">
      <c r="A19" s="1">
        <v>2024001</v>
      </c>
      <c r="B19" s="31">
        <f t="shared" si="8"/>
        <v>8</v>
      </c>
      <c r="C19" s="1" t="s">
        <v>50</v>
      </c>
      <c r="D19" s="28">
        <v>35865</v>
      </c>
      <c r="E19" s="29">
        <v>45257</v>
      </c>
      <c r="F19" s="30">
        <v>19500000</v>
      </c>
      <c r="G19" s="30"/>
      <c r="H19" s="31"/>
      <c r="I19" s="1"/>
      <c r="J19" s="42"/>
      <c r="K19" s="9"/>
      <c r="L19" s="43"/>
      <c r="M19" s="44"/>
      <c r="N19" s="45"/>
      <c r="O19" s="46"/>
      <c r="P19" s="31">
        <f t="shared" si="9"/>
        <v>8</v>
      </c>
      <c r="Q19" s="10" t="s">
        <v>51</v>
      </c>
      <c r="R19" s="60">
        <v>35791</v>
      </c>
      <c r="S19" s="34">
        <v>45870</v>
      </c>
      <c r="T19" s="34">
        <v>45996</v>
      </c>
      <c r="U19" s="62">
        <v>5069708</v>
      </c>
      <c r="V19" s="1" t="s">
        <v>32</v>
      </c>
      <c r="W19" s="35">
        <v>1609042.51333333</v>
      </c>
      <c r="X19" s="35"/>
      <c r="Y19" s="35"/>
      <c r="Z19" s="35"/>
      <c r="AA19" s="80">
        <v>46023</v>
      </c>
      <c r="AB19" s="35"/>
      <c r="AC19" s="76" t="e">
        <f t="shared" si="0"/>
        <v>#N/A</v>
      </c>
      <c r="AD19" s="77" t="str">
        <f t="shared" si="1"/>
        <v>Baru ada di 2025</v>
      </c>
      <c r="AE19" s="78" t="e">
        <f t="shared" si="2"/>
        <v>#N/A</v>
      </c>
      <c r="AF19" s="79">
        <f t="shared" si="3"/>
        <v>0</v>
      </c>
      <c r="AG19" s="10"/>
      <c r="AH19" s="79" t="e">
        <f t="shared" si="4"/>
        <v>#N/A</v>
      </c>
      <c r="AI19" s="10" t="e">
        <f t="shared" si="5"/>
        <v>#N/A</v>
      </c>
      <c r="AJ19" s="85"/>
      <c r="AL19" s="11"/>
      <c r="AM19" s="12"/>
    </row>
    <row r="20" s="1" customFormat="1" spans="1:39">
      <c r="A20" s="1">
        <v>20240038</v>
      </c>
      <c r="B20" s="31">
        <f t="shared" si="8"/>
        <v>9</v>
      </c>
      <c r="C20" s="1" t="s">
        <v>52</v>
      </c>
      <c r="D20" s="28">
        <v>33573</v>
      </c>
      <c r="E20" s="29">
        <v>45586</v>
      </c>
      <c r="F20" s="30">
        <v>5069708</v>
      </c>
      <c r="G20" s="30"/>
      <c r="H20" s="31"/>
      <c r="I20" s="1"/>
      <c r="J20" s="42"/>
      <c r="K20" s="9"/>
      <c r="L20" s="43"/>
      <c r="M20" s="44"/>
      <c r="N20" s="45"/>
      <c r="O20" s="46"/>
      <c r="P20" s="31">
        <f t="shared" si="9"/>
        <v>9</v>
      </c>
      <c r="Q20" s="10" t="s">
        <v>53</v>
      </c>
      <c r="R20" s="60">
        <v>33193</v>
      </c>
      <c r="S20" s="34">
        <v>45254</v>
      </c>
      <c r="T20" s="34">
        <v>46001</v>
      </c>
      <c r="U20" s="62">
        <v>7900000</v>
      </c>
      <c r="V20" s="1" t="s">
        <v>32</v>
      </c>
      <c r="W20" s="35">
        <v>2984523.80952381</v>
      </c>
      <c r="X20" s="35"/>
      <c r="Y20" s="35"/>
      <c r="Z20" s="35"/>
      <c r="AA20" s="80">
        <v>46023</v>
      </c>
      <c r="AB20" s="35"/>
      <c r="AC20" s="76" t="e">
        <f t="shared" si="0"/>
        <v>#N/A</v>
      </c>
      <c r="AD20" s="77" t="str">
        <f t="shared" si="1"/>
        <v>Baru ada di 2025</v>
      </c>
      <c r="AE20" s="78" t="e">
        <f t="shared" si="2"/>
        <v>#N/A</v>
      </c>
      <c r="AF20" s="79">
        <f t="shared" si="3"/>
        <v>0</v>
      </c>
      <c r="AG20" s="10"/>
      <c r="AH20" s="79" t="e">
        <f t="shared" si="4"/>
        <v>#N/A</v>
      </c>
      <c r="AI20" s="10" t="e">
        <f t="shared" si="5"/>
        <v>#N/A</v>
      </c>
      <c r="AJ20" s="85"/>
      <c r="AL20" s="11"/>
      <c r="AM20" s="12"/>
    </row>
    <row r="21" s="1" customFormat="1" spans="1:39">
      <c r="A21" s="1">
        <v>20250006</v>
      </c>
      <c r="B21" s="31">
        <f t="shared" si="8"/>
        <v>10</v>
      </c>
      <c r="C21" s="1" t="s">
        <v>54</v>
      </c>
      <c r="D21" s="28">
        <v>38698</v>
      </c>
      <c r="E21" s="29">
        <v>45670</v>
      </c>
      <c r="F21" s="30">
        <v>5069708</v>
      </c>
      <c r="G21" s="30"/>
      <c r="H21" s="31"/>
      <c r="I21" s="1"/>
      <c r="J21" s="42"/>
      <c r="K21" s="9"/>
      <c r="L21" s="43"/>
      <c r="M21" s="44"/>
      <c r="N21" s="45"/>
      <c r="O21" s="46"/>
      <c r="P21" s="31"/>
      <c r="Q21" s="10"/>
      <c r="R21" s="60"/>
      <c r="S21" s="34"/>
      <c r="T21" s="34"/>
      <c r="U21" s="62"/>
      <c r="V21" s="34"/>
      <c r="W21" s="35"/>
      <c r="X21" s="35"/>
      <c r="Y21" s="35"/>
      <c r="Z21" s="35"/>
      <c r="AA21" s="80"/>
      <c r="AB21" s="35"/>
      <c r="AC21" s="76" t="e">
        <f t="shared" si="0"/>
        <v>#N/A</v>
      </c>
      <c r="AD21" s="77" t="str">
        <f t="shared" si="1"/>
        <v>Baru ada di 2025</v>
      </c>
      <c r="AE21" s="78" t="e">
        <f t="shared" si="2"/>
        <v>#N/A</v>
      </c>
      <c r="AF21" s="79">
        <f t="shared" si="3"/>
        <v>0</v>
      </c>
      <c r="AG21" s="10"/>
      <c r="AH21" s="79" t="e">
        <f t="shared" si="4"/>
        <v>#N/A</v>
      </c>
      <c r="AI21" s="10" t="e">
        <f t="shared" si="5"/>
        <v>#N/A</v>
      </c>
      <c r="AJ21" s="85"/>
      <c r="AL21" s="11"/>
      <c r="AM21" s="12"/>
    </row>
    <row r="22" s="1" customFormat="1" spans="1:256">
      <c r="A22" s="1">
        <v>20240020</v>
      </c>
      <c r="B22" s="31">
        <f t="shared" si="8"/>
        <v>11</v>
      </c>
      <c r="C22" s="1" t="s">
        <v>55</v>
      </c>
      <c r="D22" s="28">
        <v>35138</v>
      </c>
      <c r="E22" s="29">
        <v>45414</v>
      </c>
      <c r="F22" s="30">
        <v>7500000</v>
      </c>
      <c r="G22" s="30"/>
      <c r="H22" s="31"/>
      <c r="I22" s="1"/>
      <c r="J22" s="42"/>
      <c r="K22" s="9"/>
      <c r="L22" s="43"/>
      <c r="M22" s="44"/>
      <c r="N22" s="45"/>
      <c r="O22" s="46"/>
      <c r="P22" s="31"/>
      <c r="Q22" s="10"/>
      <c r="R22" s="60"/>
      <c r="S22" s="34"/>
      <c r="T22" s="34"/>
      <c r="U22" s="62"/>
      <c r="V22" s="34"/>
      <c r="W22" s="35"/>
      <c r="X22" s="35"/>
      <c r="Y22" s="35"/>
      <c r="Z22" s="35"/>
      <c r="AA22" s="80"/>
      <c r="AB22" s="35"/>
      <c r="AC22" s="76" t="e">
        <f t="shared" si="0"/>
        <v>#N/A</v>
      </c>
      <c r="AD22" s="77" t="str">
        <f t="shared" si="1"/>
        <v>Baru ada di 2025</v>
      </c>
      <c r="AE22" s="78" t="e">
        <f t="shared" si="2"/>
        <v>#N/A</v>
      </c>
      <c r="AF22" s="79">
        <f t="shared" si="3"/>
        <v>0</v>
      </c>
      <c r="AG22" s="10"/>
      <c r="AH22" s="79" t="e">
        <f t="shared" si="4"/>
        <v>#N/A</v>
      </c>
      <c r="AI22" s="10" t="e">
        <f t="shared" si="5"/>
        <v>#N/A</v>
      </c>
      <c r="AJ22" s="85"/>
      <c r="AL22" s="11"/>
      <c r="AM22" s="12"/>
      <c r="AO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24"/>
      <c r="CO22" s="24"/>
      <c r="CP22" s="24"/>
      <c r="CQ22" s="24"/>
      <c r="CR22" s="24"/>
      <c r="CS22" s="24"/>
      <c r="CT22" s="24"/>
      <c r="CU22" s="24"/>
      <c r="CV22" s="24"/>
      <c r="CW22" s="24"/>
      <c r="CX22" s="24"/>
      <c r="CY22" s="24"/>
      <c r="CZ22" s="24"/>
      <c r="DA22" s="24"/>
      <c r="DB22" s="24"/>
      <c r="DC22" s="24"/>
      <c r="DD22" s="24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  <c r="DT22" s="24"/>
      <c r="DU22" s="24"/>
      <c r="DV22" s="24"/>
      <c r="DW22" s="24"/>
      <c r="DX22" s="24"/>
      <c r="DY22" s="24"/>
      <c r="DZ22" s="24"/>
      <c r="EA22" s="24"/>
      <c r="EB22" s="24"/>
      <c r="EC22" s="24"/>
      <c r="ED22" s="24"/>
      <c r="EE22" s="24"/>
      <c r="EF22" s="24"/>
      <c r="EG22" s="24"/>
      <c r="EH22" s="24"/>
      <c r="EI22" s="24"/>
      <c r="EJ22" s="24"/>
      <c r="EK22" s="24"/>
      <c r="EL22" s="24"/>
      <c r="EM22" s="24"/>
      <c r="EN22" s="24"/>
      <c r="EO22" s="24"/>
      <c r="EP22" s="24"/>
      <c r="EQ22" s="24"/>
      <c r="ER22" s="24"/>
      <c r="ES22" s="24"/>
      <c r="ET22" s="24"/>
      <c r="EU22" s="24"/>
      <c r="EV22" s="24"/>
      <c r="EW22" s="24"/>
      <c r="EX22" s="24"/>
      <c r="EY22" s="24"/>
      <c r="EZ22" s="24"/>
      <c r="FA22" s="24"/>
      <c r="FB22" s="24"/>
      <c r="FC22" s="24"/>
      <c r="FD22" s="24"/>
      <c r="FE22" s="24"/>
      <c r="FF22" s="24"/>
      <c r="FG22" s="24"/>
      <c r="FH22" s="24"/>
      <c r="FI22" s="24"/>
      <c r="FJ22" s="24"/>
      <c r="FK22" s="24"/>
      <c r="FL22" s="24"/>
      <c r="FM22" s="24"/>
      <c r="FN22" s="24"/>
      <c r="FO22" s="24"/>
      <c r="FP22" s="24"/>
      <c r="FQ22" s="24"/>
      <c r="FR22" s="24"/>
      <c r="FS22" s="24"/>
      <c r="FT22" s="24"/>
      <c r="FU22" s="24"/>
      <c r="FV22" s="24"/>
      <c r="FW22" s="24"/>
      <c r="FX22" s="24"/>
      <c r="FY22" s="24"/>
      <c r="FZ22" s="24"/>
      <c r="GA22" s="24"/>
      <c r="GB22" s="24"/>
      <c r="GC22" s="24"/>
      <c r="GD22" s="24"/>
      <c r="GE22" s="24"/>
      <c r="GF22" s="24"/>
      <c r="GG22" s="24"/>
      <c r="GH22" s="24"/>
      <c r="GI22" s="24"/>
      <c r="GJ22" s="24"/>
      <c r="GK22" s="24"/>
      <c r="GL22" s="24"/>
      <c r="GM22" s="24"/>
      <c r="GN22" s="24"/>
      <c r="GO22" s="24"/>
      <c r="GP22" s="24"/>
      <c r="GQ22" s="24"/>
      <c r="GR22" s="24"/>
      <c r="GS22" s="24"/>
      <c r="GT22" s="24"/>
      <c r="GU22" s="24"/>
      <c r="GV22" s="24"/>
      <c r="GW22" s="24"/>
      <c r="GX22" s="24"/>
      <c r="GY22" s="24"/>
      <c r="GZ22" s="24"/>
      <c r="HA22" s="24"/>
      <c r="HB22" s="24"/>
      <c r="HC22" s="24"/>
      <c r="HD22" s="24"/>
      <c r="HE22" s="24"/>
      <c r="HF22" s="24"/>
      <c r="HG22" s="24"/>
      <c r="HH22" s="24"/>
      <c r="HI22" s="24"/>
      <c r="HJ22" s="24"/>
      <c r="HK22" s="24"/>
      <c r="HL22" s="24"/>
      <c r="HM22" s="24"/>
      <c r="HN22" s="24"/>
      <c r="HO22" s="24"/>
      <c r="HP22" s="24"/>
      <c r="HQ22" s="24"/>
      <c r="HR22" s="24"/>
      <c r="HS22" s="24"/>
      <c r="HT22" s="24"/>
      <c r="HU22" s="24"/>
      <c r="HV22" s="24"/>
      <c r="HW22" s="24"/>
      <c r="HX22" s="24"/>
      <c r="HY22" s="24"/>
      <c r="HZ22" s="24"/>
      <c r="IA22" s="24"/>
      <c r="IB22" s="24"/>
      <c r="IC22" s="24"/>
      <c r="ID22" s="24"/>
      <c r="IE22" s="24"/>
      <c r="IF22" s="24"/>
      <c r="IG22" s="24"/>
      <c r="IH22" s="24"/>
      <c r="II22" s="24"/>
      <c r="IJ22" s="24"/>
      <c r="IK22" s="24"/>
      <c r="IL22" s="24"/>
      <c r="IM22" s="24"/>
      <c r="IN22" s="24"/>
      <c r="IO22" s="24"/>
      <c r="IP22" s="24"/>
      <c r="IQ22" s="24"/>
      <c r="IR22" s="24"/>
      <c r="IS22" s="24"/>
      <c r="IT22" s="24"/>
      <c r="IU22" s="24"/>
      <c r="IV22" s="24"/>
    </row>
    <row r="23" s="1" customFormat="1" spans="1:39">
      <c r="A23" s="1">
        <v>20240022</v>
      </c>
      <c r="B23" s="31">
        <f t="shared" si="8"/>
        <v>12</v>
      </c>
      <c r="C23" s="1" t="s">
        <v>56</v>
      </c>
      <c r="D23" s="28">
        <v>29459</v>
      </c>
      <c r="E23" s="29">
        <v>45446</v>
      </c>
      <c r="F23" s="30">
        <v>14000000</v>
      </c>
      <c r="G23" s="30"/>
      <c r="H23" s="31"/>
      <c r="I23" s="1"/>
      <c r="J23" s="42"/>
      <c r="K23" s="9"/>
      <c r="L23" s="43"/>
      <c r="M23" s="44"/>
      <c r="N23" s="45"/>
      <c r="O23" s="46"/>
      <c r="P23" s="31"/>
      <c r="Q23" s="10"/>
      <c r="R23" s="60"/>
      <c r="S23" s="34"/>
      <c r="T23" s="34"/>
      <c r="U23" s="62"/>
      <c r="V23" s="34"/>
      <c r="W23" s="35"/>
      <c r="X23" s="35"/>
      <c r="Y23" s="35"/>
      <c r="Z23" s="35"/>
      <c r="AA23" s="80"/>
      <c r="AB23" s="35"/>
      <c r="AC23" s="76" t="e">
        <f t="shared" si="0"/>
        <v>#N/A</v>
      </c>
      <c r="AD23" s="77" t="str">
        <f t="shared" si="1"/>
        <v>Baru ada di 2025</v>
      </c>
      <c r="AE23" s="78" t="e">
        <f t="shared" si="2"/>
        <v>#N/A</v>
      </c>
      <c r="AF23" s="79">
        <f t="shared" si="3"/>
        <v>0</v>
      </c>
      <c r="AG23" s="10"/>
      <c r="AH23" s="79" t="e">
        <f t="shared" si="4"/>
        <v>#N/A</v>
      </c>
      <c r="AI23" s="10" t="e">
        <f t="shared" si="5"/>
        <v>#N/A</v>
      </c>
      <c r="AJ23" s="85"/>
      <c r="AL23" s="11"/>
      <c r="AM23" s="12"/>
    </row>
    <row r="24" s="1" customFormat="1" spans="1:39">
      <c r="A24" s="1">
        <v>20240023</v>
      </c>
      <c r="B24" s="31">
        <f t="shared" si="8"/>
        <v>13</v>
      </c>
      <c r="C24" s="1" t="s">
        <v>57</v>
      </c>
      <c r="D24" s="28">
        <v>34037</v>
      </c>
      <c r="E24" s="29">
        <v>45474</v>
      </c>
      <c r="F24" s="30">
        <v>12000000</v>
      </c>
      <c r="G24" s="30"/>
      <c r="H24" s="31"/>
      <c r="I24" s="1"/>
      <c r="J24" s="42"/>
      <c r="K24" s="9"/>
      <c r="L24" s="43"/>
      <c r="M24" s="44"/>
      <c r="N24" s="45"/>
      <c r="O24" s="46"/>
      <c r="P24" s="31"/>
      <c r="Q24" s="10"/>
      <c r="R24" s="60"/>
      <c r="S24" s="34"/>
      <c r="T24" s="34"/>
      <c r="U24" s="62"/>
      <c r="V24" s="34"/>
      <c r="W24" s="35"/>
      <c r="X24" s="35"/>
      <c r="Y24" s="35"/>
      <c r="Z24" s="35"/>
      <c r="AA24" s="80"/>
      <c r="AB24" s="35"/>
      <c r="AC24" s="76" t="e">
        <f t="shared" si="0"/>
        <v>#N/A</v>
      </c>
      <c r="AD24" s="77" t="str">
        <f t="shared" si="1"/>
        <v>Baru ada di 2025</v>
      </c>
      <c r="AE24" s="78" t="e">
        <f t="shared" si="2"/>
        <v>#N/A</v>
      </c>
      <c r="AF24" s="79">
        <f t="shared" si="3"/>
        <v>0</v>
      </c>
      <c r="AG24" s="10"/>
      <c r="AH24" s="79" t="e">
        <f t="shared" si="4"/>
        <v>#N/A</v>
      </c>
      <c r="AI24" s="10" t="e">
        <f t="shared" si="5"/>
        <v>#N/A</v>
      </c>
      <c r="AJ24" s="85"/>
      <c r="AL24" s="11"/>
      <c r="AM24" s="12"/>
    </row>
    <row r="25" s="1" customFormat="1" spans="1:39">
      <c r="A25" s="1">
        <v>20240025</v>
      </c>
      <c r="B25" s="31">
        <f t="shared" si="8"/>
        <v>14</v>
      </c>
      <c r="C25" s="1" t="s">
        <v>58</v>
      </c>
      <c r="D25" s="28">
        <v>36424</v>
      </c>
      <c r="E25" s="29">
        <v>45505</v>
      </c>
      <c r="F25" s="30">
        <v>11000000</v>
      </c>
      <c r="G25" s="30"/>
      <c r="H25" s="31"/>
      <c r="I25" s="1"/>
      <c r="J25" s="42"/>
      <c r="K25" s="9"/>
      <c r="L25" s="43"/>
      <c r="M25" s="44"/>
      <c r="N25" s="45"/>
      <c r="O25" s="46"/>
      <c r="P25" s="31"/>
      <c r="Q25" s="10"/>
      <c r="R25" s="60"/>
      <c r="S25" s="34"/>
      <c r="T25" s="34"/>
      <c r="U25" s="62"/>
      <c r="V25" s="34"/>
      <c r="W25" s="35"/>
      <c r="X25" s="35"/>
      <c r="Y25" s="35"/>
      <c r="Z25" s="35"/>
      <c r="AA25" s="80"/>
      <c r="AB25" s="35"/>
      <c r="AC25" s="76" t="e">
        <f t="shared" si="0"/>
        <v>#N/A</v>
      </c>
      <c r="AD25" s="77" t="str">
        <f t="shared" si="1"/>
        <v>Baru ada di 2025</v>
      </c>
      <c r="AE25" s="78" t="e">
        <f t="shared" si="2"/>
        <v>#N/A</v>
      </c>
      <c r="AF25" s="79">
        <f t="shared" si="3"/>
        <v>0</v>
      </c>
      <c r="AG25" s="10"/>
      <c r="AH25" s="79" t="e">
        <f t="shared" si="4"/>
        <v>#N/A</v>
      </c>
      <c r="AI25" s="10" t="e">
        <f t="shared" si="5"/>
        <v>#N/A</v>
      </c>
      <c r="AJ25" s="85"/>
      <c r="AL25" s="11"/>
      <c r="AM25" s="12"/>
    </row>
    <row r="26" s="1" customFormat="1" spans="1:39">
      <c r="A26" s="1">
        <v>20240029</v>
      </c>
      <c r="B26" s="31">
        <f t="shared" si="8"/>
        <v>15</v>
      </c>
      <c r="C26" s="1" t="s">
        <v>59</v>
      </c>
      <c r="D26" s="28">
        <v>36461</v>
      </c>
      <c r="E26" s="29">
        <v>45513</v>
      </c>
      <c r="F26" s="30">
        <v>5500000</v>
      </c>
      <c r="G26" s="30"/>
      <c r="H26" s="31"/>
      <c r="I26" s="1"/>
      <c r="J26" s="42"/>
      <c r="K26" s="9"/>
      <c r="L26" s="43"/>
      <c r="M26" s="44"/>
      <c r="N26" s="45"/>
      <c r="O26" s="46"/>
      <c r="P26" s="31"/>
      <c r="Q26" s="10"/>
      <c r="R26" s="60"/>
      <c r="S26" s="34"/>
      <c r="T26" s="34"/>
      <c r="U26" s="62"/>
      <c r="V26" s="34"/>
      <c r="W26" s="35"/>
      <c r="X26" s="35"/>
      <c r="Y26" s="35"/>
      <c r="Z26" s="35"/>
      <c r="AA26" s="80"/>
      <c r="AB26" s="35"/>
      <c r="AC26" s="76" t="e">
        <f t="shared" si="0"/>
        <v>#N/A</v>
      </c>
      <c r="AD26" s="77" t="str">
        <f t="shared" si="1"/>
        <v>Baru ada di 2025</v>
      </c>
      <c r="AE26" s="78" t="e">
        <f t="shared" si="2"/>
        <v>#N/A</v>
      </c>
      <c r="AF26" s="79">
        <f t="shared" si="3"/>
        <v>0</v>
      </c>
      <c r="AG26" s="10"/>
      <c r="AH26" s="79" t="e">
        <f t="shared" si="4"/>
        <v>#N/A</v>
      </c>
      <c r="AI26" s="10" t="e">
        <f t="shared" si="5"/>
        <v>#N/A</v>
      </c>
      <c r="AL26" s="11"/>
      <c r="AM26" s="12"/>
    </row>
    <row r="27" s="1" customFormat="1" spans="1:39">
      <c r="A27" s="1">
        <v>20240030</v>
      </c>
      <c r="B27" s="31">
        <f t="shared" si="8"/>
        <v>16</v>
      </c>
      <c r="C27" s="1" t="s">
        <v>60</v>
      </c>
      <c r="D27" s="28">
        <v>35462</v>
      </c>
      <c r="E27" s="29">
        <v>45530</v>
      </c>
      <c r="F27" s="30">
        <v>11500000</v>
      </c>
      <c r="G27" s="30"/>
      <c r="H27" s="31"/>
      <c r="I27" s="1"/>
      <c r="J27" s="42"/>
      <c r="K27" s="9"/>
      <c r="L27" s="43"/>
      <c r="M27" s="44"/>
      <c r="N27" s="45"/>
      <c r="O27" s="46"/>
      <c r="P27" s="31"/>
      <c r="Q27" s="65"/>
      <c r="R27" s="60"/>
      <c r="S27" s="34"/>
      <c r="T27" s="34"/>
      <c r="U27" s="62"/>
      <c r="V27" s="34"/>
      <c r="W27" s="35"/>
      <c r="X27" s="35"/>
      <c r="Y27" s="35"/>
      <c r="Z27" s="35"/>
      <c r="AA27" s="80"/>
      <c r="AB27" s="35"/>
      <c r="AC27" s="76" t="e">
        <f t="shared" si="0"/>
        <v>#N/A</v>
      </c>
      <c r="AD27" s="77" t="str">
        <f t="shared" si="1"/>
        <v>Baru ada di 2025</v>
      </c>
      <c r="AE27" s="78" t="e">
        <f t="shared" si="2"/>
        <v>#N/A</v>
      </c>
      <c r="AF27" s="79">
        <f t="shared" si="3"/>
        <v>0</v>
      </c>
      <c r="AG27" s="10"/>
      <c r="AH27" s="79" t="e">
        <f t="shared" si="4"/>
        <v>#N/A</v>
      </c>
      <c r="AI27" s="10" t="e">
        <f t="shared" si="5"/>
        <v>#N/A</v>
      </c>
      <c r="AL27" s="11"/>
      <c r="AM27" s="12"/>
    </row>
    <row r="28" s="1" customFormat="1" spans="1:39">
      <c r="A28" s="1">
        <v>20240033</v>
      </c>
      <c r="B28" s="31">
        <f t="shared" si="8"/>
        <v>17</v>
      </c>
      <c r="C28" s="1" t="s">
        <v>61</v>
      </c>
      <c r="D28" s="28">
        <v>34304</v>
      </c>
      <c r="E28" s="29">
        <v>45540</v>
      </c>
      <c r="F28" s="30">
        <v>8000000</v>
      </c>
      <c r="G28" s="30"/>
      <c r="H28" s="31"/>
      <c r="I28" s="1"/>
      <c r="J28" s="42"/>
      <c r="K28" s="9"/>
      <c r="L28" s="43"/>
      <c r="M28" s="44"/>
      <c r="N28" s="45"/>
      <c r="O28" s="46"/>
      <c r="P28" s="31"/>
      <c r="Q28" s="66"/>
      <c r="R28" s="60"/>
      <c r="S28" s="34"/>
      <c r="T28" s="34"/>
      <c r="U28" s="62"/>
      <c r="V28" s="34"/>
      <c r="W28" s="35"/>
      <c r="X28" s="35"/>
      <c r="Y28" s="35"/>
      <c r="Z28" s="35"/>
      <c r="AA28" s="80"/>
      <c r="AB28" s="35"/>
      <c r="AC28" s="76" t="e">
        <f t="shared" si="0"/>
        <v>#N/A</v>
      </c>
      <c r="AD28" s="77" t="str">
        <f t="shared" si="1"/>
        <v>Baru ada di 2025</v>
      </c>
      <c r="AE28" s="78" t="e">
        <f t="shared" si="2"/>
        <v>#N/A</v>
      </c>
      <c r="AF28" s="79">
        <f t="shared" si="3"/>
        <v>0</v>
      </c>
      <c r="AG28" s="10"/>
      <c r="AH28" s="79" t="e">
        <f t="shared" si="4"/>
        <v>#N/A</v>
      </c>
      <c r="AI28" s="10" t="e">
        <f t="shared" si="5"/>
        <v>#N/A</v>
      </c>
      <c r="AL28" s="11"/>
      <c r="AM28" s="12"/>
    </row>
    <row r="29" s="1" customFormat="1" spans="1:39">
      <c r="A29" s="1">
        <v>20240035</v>
      </c>
      <c r="B29" s="31">
        <f t="shared" si="8"/>
        <v>18</v>
      </c>
      <c r="C29" s="1" t="s">
        <v>62</v>
      </c>
      <c r="D29" s="28">
        <v>36882</v>
      </c>
      <c r="E29" s="29">
        <v>45586</v>
      </c>
      <c r="F29" s="30">
        <v>5069708</v>
      </c>
      <c r="G29" s="30"/>
      <c r="H29" s="31"/>
      <c r="I29" s="1"/>
      <c r="J29" s="42"/>
      <c r="K29" s="9"/>
      <c r="L29" s="43"/>
      <c r="M29" s="44"/>
      <c r="N29" s="45"/>
      <c r="O29" s="46"/>
      <c r="P29" s="31"/>
      <c r="Q29" s="66"/>
      <c r="R29" s="34"/>
      <c r="S29" s="34"/>
      <c r="T29" s="34"/>
      <c r="U29" s="35"/>
      <c r="V29" s="34"/>
      <c r="W29" s="35"/>
      <c r="X29" s="35"/>
      <c r="Y29" s="35"/>
      <c r="Z29" s="35"/>
      <c r="AA29" s="80"/>
      <c r="AB29" s="35"/>
      <c r="AC29" s="76" t="e">
        <f t="shared" si="0"/>
        <v>#N/A</v>
      </c>
      <c r="AD29" s="77" t="str">
        <f t="shared" si="1"/>
        <v>Baru ada di 2025</v>
      </c>
      <c r="AE29" s="78" t="e">
        <f t="shared" si="2"/>
        <v>#N/A</v>
      </c>
      <c r="AF29" s="79">
        <f t="shared" si="3"/>
        <v>0</v>
      </c>
      <c r="AG29" s="10"/>
      <c r="AH29" s="79" t="e">
        <f t="shared" si="4"/>
        <v>#N/A</v>
      </c>
      <c r="AI29" s="10" t="e">
        <f t="shared" si="5"/>
        <v>#N/A</v>
      </c>
      <c r="AL29" s="11"/>
      <c r="AM29" s="12"/>
    </row>
    <row r="30" s="1" customFormat="1" spans="1:39">
      <c r="A30" s="1">
        <v>20240036</v>
      </c>
      <c r="B30" s="31">
        <f t="shared" si="8"/>
        <v>19</v>
      </c>
      <c r="C30" s="1" t="s">
        <v>63</v>
      </c>
      <c r="D30" s="28">
        <v>36933</v>
      </c>
      <c r="E30" s="29">
        <v>45586</v>
      </c>
      <c r="F30" s="30">
        <v>5069708</v>
      </c>
      <c r="G30" s="30"/>
      <c r="H30" s="31"/>
      <c r="I30" s="1"/>
      <c r="J30" s="42"/>
      <c r="K30" s="9"/>
      <c r="L30" s="43"/>
      <c r="M30" s="44"/>
      <c r="N30" s="45"/>
      <c r="O30" s="46"/>
      <c r="P30" s="50"/>
      <c r="Q30" s="66"/>
      <c r="R30" s="34"/>
      <c r="S30" s="34"/>
      <c r="T30" s="34"/>
      <c r="U30" s="35"/>
      <c r="V30" s="67"/>
      <c r="W30" s="35"/>
      <c r="X30" s="35"/>
      <c r="Y30" s="35"/>
      <c r="Z30" s="35"/>
      <c r="AA30" s="80"/>
      <c r="AB30" s="35"/>
      <c r="AC30" s="76" t="e">
        <f t="shared" si="0"/>
        <v>#N/A</v>
      </c>
      <c r="AD30" s="77" t="str">
        <f t="shared" si="1"/>
        <v>Baru ada di 2025</v>
      </c>
      <c r="AE30" s="78" t="e">
        <f t="shared" si="2"/>
        <v>#N/A</v>
      </c>
      <c r="AF30" s="79">
        <f t="shared" si="3"/>
        <v>0</v>
      </c>
      <c r="AG30" s="10"/>
      <c r="AH30" s="79" t="e">
        <f t="shared" si="4"/>
        <v>#N/A</v>
      </c>
      <c r="AI30" s="10" t="e">
        <f t="shared" si="5"/>
        <v>#N/A</v>
      </c>
      <c r="AL30" s="11"/>
      <c r="AM30" s="12"/>
    </row>
    <row r="31" s="1" customFormat="1" spans="1:39">
      <c r="A31" s="1">
        <v>20240037</v>
      </c>
      <c r="B31" s="31">
        <f t="shared" si="8"/>
        <v>20</v>
      </c>
      <c r="C31" s="1" t="s">
        <v>64</v>
      </c>
      <c r="D31" s="28">
        <v>32411</v>
      </c>
      <c r="E31" s="29">
        <v>45586</v>
      </c>
      <c r="F31" s="30">
        <v>6600000</v>
      </c>
      <c r="G31" s="30"/>
      <c r="H31" s="31"/>
      <c r="I31" s="1"/>
      <c r="J31" s="42"/>
      <c r="K31" s="9"/>
      <c r="L31" s="43"/>
      <c r="M31" s="44"/>
      <c r="N31" s="45"/>
      <c r="O31" s="46"/>
      <c r="P31" s="50"/>
      <c r="Q31" s="66"/>
      <c r="R31" s="34"/>
      <c r="S31" s="34"/>
      <c r="T31" s="34"/>
      <c r="U31" s="35"/>
      <c r="V31" s="67"/>
      <c r="W31" s="35"/>
      <c r="X31" s="35"/>
      <c r="Y31" s="35"/>
      <c r="Z31" s="35"/>
      <c r="AA31" s="80"/>
      <c r="AB31" s="35"/>
      <c r="AC31" s="76" t="e">
        <f t="shared" si="0"/>
        <v>#N/A</v>
      </c>
      <c r="AD31" s="77" t="str">
        <f t="shared" si="1"/>
        <v>Baru ada di 2025</v>
      </c>
      <c r="AE31" s="78" t="e">
        <f t="shared" si="2"/>
        <v>#N/A</v>
      </c>
      <c r="AF31" s="79">
        <f t="shared" si="3"/>
        <v>0</v>
      </c>
      <c r="AG31" s="10"/>
      <c r="AH31" s="79" t="e">
        <f t="shared" si="4"/>
        <v>#N/A</v>
      </c>
      <c r="AI31" s="10" t="e">
        <f t="shared" si="5"/>
        <v>#N/A</v>
      </c>
      <c r="AL31" s="11"/>
      <c r="AM31" s="12"/>
    </row>
    <row r="32" s="1" customFormat="1" spans="1:39">
      <c r="A32" s="1">
        <v>20240039</v>
      </c>
      <c r="B32" s="31">
        <f t="shared" si="8"/>
        <v>21</v>
      </c>
      <c r="C32" s="1" t="s">
        <v>65</v>
      </c>
      <c r="D32" s="28">
        <v>37289</v>
      </c>
      <c r="E32" s="29">
        <v>45586</v>
      </c>
      <c r="F32" s="30">
        <v>5069708</v>
      </c>
      <c r="G32" s="30"/>
      <c r="H32" s="31"/>
      <c r="I32" s="1"/>
      <c r="J32" s="42"/>
      <c r="K32" s="9"/>
      <c r="L32" s="43"/>
      <c r="M32" s="44"/>
      <c r="N32" s="45"/>
      <c r="O32" s="46"/>
      <c r="P32" s="50"/>
      <c r="Q32" s="66"/>
      <c r="R32" s="65"/>
      <c r="S32" s="34"/>
      <c r="T32" s="34"/>
      <c r="U32" s="35"/>
      <c r="V32" s="67"/>
      <c r="W32" s="35"/>
      <c r="X32" s="35"/>
      <c r="Y32" s="35"/>
      <c r="Z32" s="35"/>
      <c r="AA32" s="80"/>
      <c r="AB32" s="35"/>
      <c r="AC32" s="76" t="e">
        <f t="shared" si="0"/>
        <v>#N/A</v>
      </c>
      <c r="AD32" s="77" t="str">
        <f t="shared" si="1"/>
        <v>Baru ada di 2025</v>
      </c>
      <c r="AE32" s="78" t="e">
        <f t="shared" si="2"/>
        <v>#N/A</v>
      </c>
      <c r="AF32" s="79">
        <f t="shared" si="3"/>
        <v>0</v>
      </c>
      <c r="AG32" s="10"/>
      <c r="AH32" s="79" t="e">
        <f t="shared" si="4"/>
        <v>#N/A</v>
      </c>
      <c r="AI32" s="10" t="e">
        <f t="shared" si="5"/>
        <v>#N/A</v>
      </c>
      <c r="AL32" s="11"/>
      <c r="AM32" s="12"/>
    </row>
    <row r="33" s="1" customFormat="1" spans="1:39">
      <c r="A33" s="1">
        <v>20240040</v>
      </c>
      <c r="B33" s="31">
        <f t="shared" si="8"/>
        <v>22</v>
      </c>
      <c r="C33" s="1" t="s">
        <v>66</v>
      </c>
      <c r="D33" s="28">
        <v>36796</v>
      </c>
      <c r="E33" s="29">
        <v>45586</v>
      </c>
      <c r="F33" s="30">
        <v>5069708</v>
      </c>
      <c r="G33" s="30"/>
      <c r="H33" s="31"/>
      <c r="I33" s="1"/>
      <c r="J33" s="42"/>
      <c r="K33" s="9"/>
      <c r="L33" s="43"/>
      <c r="M33" s="44"/>
      <c r="N33" s="45"/>
      <c r="O33" s="46"/>
      <c r="P33" s="50"/>
      <c r="Q33" s="66"/>
      <c r="R33" s="66"/>
      <c r="S33" s="34"/>
      <c r="T33" s="34"/>
      <c r="U33" s="35"/>
      <c r="V33" s="67"/>
      <c r="W33" s="35"/>
      <c r="X33" s="35"/>
      <c r="Y33" s="35"/>
      <c r="Z33" s="35"/>
      <c r="AA33" s="80"/>
      <c r="AB33" s="35"/>
      <c r="AC33" s="76" t="e">
        <f t="shared" si="0"/>
        <v>#N/A</v>
      </c>
      <c r="AD33" s="77" t="str">
        <f t="shared" si="1"/>
        <v>Baru ada di 2025</v>
      </c>
      <c r="AE33" s="78" t="e">
        <f t="shared" si="2"/>
        <v>#N/A</v>
      </c>
      <c r="AF33" s="79">
        <f t="shared" si="3"/>
        <v>0</v>
      </c>
      <c r="AG33" s="10"/>
      <c r="AH33" s="79" t="e">
        <f t="shared" si="4"/>
        <v>#N/A</v>
      </c>
      <c r="AI33" s="10" t="e">
        <f t="shared" si="5"/>
        <v>#N/A</v>
      </c>
      <c r="AL33" s="11"/>
      <c r="AM33" s="12"/>
    </row>
    <row r="34" s="1" customFormat="1" spans="1:39">
      <c r="A34" s="1">
        <v>20240043</v>
      </c>
      <c r="B34" s="31">
        <f t="shared" si="8"/>
        <v>23</v>
      </c>
      <c r="C34" s="1" t="s">
        <v>67</v>
      </c>
      <c r="D34" s="28">
        <v>36388</v>
      </c>
      <c r="E34" s="29">
        <v>45593</v>
      </c>
      <c r="F34" s="30">
        <v>15000000</v>
      </c>
      <c r="G34" s="30"/>
      <c r="H34" s="31"/>
      <c r="I34" s="1"/>
      <c r="J34" s="42"/>
      <c r="K34" s="9"/>
      <c r="L34" s="43"/>
      <c r="M34" s="44"/>
      <c r="N34" s="45"/>
      <c r="O34" s="46"/>
      <c r="P34" s="50"/>
      <c r="Q34" s="66"/>
      <c r="R34" s="66"/>
      <c r="S34" s="34"/>
      <c r="T34" s="34"/>
      <c r="U34" s="35"/>
      <c r="V34" s="67"/>
      <c r="W34" s="35"/>
      <c r="X34" s="35"/>
      <c r="Y34" s="35"/>
      <c r="Z34" s="35"/>
      <c r="AA34" s="80"/>
      <c r="AB34" s="35"/>
      <c r="AC34" s="76" t="e">
        <f t="shared" si="0"/>
        <v>#N/A</v>
      </c>
      <c r="AD34" s="77" t="str">
        <f t="shared" si="1"/>
        <v>Baru ada di 2025</v>
      </c>
      <c r="AE34" s="78" t="e">
        <f t="shared" si="2"/>
        <v>#N/A</v>
      </c>
      <c r="AF34" s="79">
        <f t="shared" si="3"/>
        <v>0</v>
      </c>
      <c r="AG34" s="10"/>
      <c r="AH34" s="79" t="e">
        <f t="shared" si="4"/>
        <v>#N/A</v>
      </c>
      <c r="AI34" s="10" t="e">
        <f t="shared" si="5"/>
        <v>#N/A</v>
      </c>
      <c r="AL34" s="11"/>
      <c r="AM34" s="12"/>
    </row>
    <row r="35" s="1" customFormat="1" spans="1:39">
      <c r="A35" s="1">
        <v>20240044</v>
      </c>
      <c r="B35" s="31">
        <f t="shared" si="8"/>
        <v>24</v>
      </c>
      <c r="C35" s="1" t="s">
        <v>68</v>
      </c>
      <c r="D35" s="28">
        <v>36546</v>
      </c>
      <c r="E35" s="29">
        <v>45597</v>
      </c>
      <c r="F35" s="30">
        <v>8000000</v>
      </c>
      <c r="G35" s="30"/>
      <c r="H35" s="31"/>
      <c r="I35" s="1"/>
      <c r="J35" s="42"/>
      <c r="K35" s="9"/>
      <c r="L35" s="43"/>
      <c r="M35" s="44"/>
      <c r="N35" s="45"/>
      <c r="O35" s="46"/>
      <c r="P35" s="50"/>
      <c r="Q35" s="16"/>
      <c r="R35" s="66"/>
      <c r="S35" s="34"/>
      <c r="T35" s="34"/>
      <c r="U35" s="35"/>
      <c r="V35" s="67"/>
      <c r="W35" s="35"/>
      <c r="X35" s="35"/>
      <c r="Y35" s="35"/>
      <c r="Z35" s="35"/>
      <c r="AA35" s="35"/>
      <c r="AB35" s="35"/>
      <c r="AC35" s="76" t="e">
        <f t="shared" si="0"/>
        <v>#N/A</v>
      </c>
      <c r="AD35" s="77" t="str">
        <f t="shared" si="1"/>
        <v>Baru ada di 2025</v>
      </c>
      <c r="AE35" s="78" t="e">
        <f t="shared" si="2"/>
        <v>#N/A</v>
      </c>
      <c r="AF35" s="79">
        <f t="shared" si="3"/>
        <v>0</v>
      </c>
      <c r="AG35" s="10"/>
      <c r="AH35" s="79" t="e">
        <f t="shared" si="4"/>
        <v>#N/A</v>
      </c>
      <c r="AI35" s="10" t="e">
        <f t="shared" si="5"/>
        <v>#N/A</v>
      </c>
      <c r="AL35" s="11"/>
      <c r="AM35" s="12"/>
    </row>
    <row r="36" s="1" customFormat="1" spans="1:39">
      <c r="A36" s="1">
        <v>20240046</v>
      </c>
      <c r="B36" s="31">
        <f t="shared" si="8"/>
        <v>25</v>
      </c>
      <c r="C36" s="1" t="s">
        <v>69</v>
      </c>
      <c r="D36" s="28">
        <v>37088</v>
      </c>
      <c r="E36" s="29">
        <v>45610</v>
      </c>
      <c r="F36" s="30">
        <v>5069708</v>
      </c>
      <c r="G36" s="30"/>
      <c r="H36" s="31"/>
      <c r="I36" s="1"/>
      <c r="J36" s="42"/>
      <c r="K36" s="9"/>
      <c r="L36" s="43"/>
      <c r="M36" s="44"/>
      <c r="N36" s="45"/>
      <c r="O36" s="46"/>
      <c r="P36" s="50"/>
      <c r="Q36" s="16"/>
      <c r="R36" s="66"/>
      <c r="S36" s="34"/>
      <c r="T36" s="34"/>
      <c r="U36" s="35"/>
      <c r="V36" s="67"/>
      <c r="W36" s="35"/>
      <c r="X36" s="35"/>
      <c r="Y36" s="35"/>
      <c r="Z36" s="35"/>
      <c r="AA36" s="35"/>
      <c r="AB36" s="35"/>
      <c r="AC36" s="76" t="e">
        <f t="shared" si="0"/>
        <v>#N/A</v>
      </c>
      <c r="AD36" s="77" t="str">
        <f t="shared" si="1"/>
        <v>Baru ada di 2025</v>
      </c>
      <c r="AE36" s="78" t="e">
        <f t="shared" si="2"/>
        <v>#N/A</v>
      </c>
      <c r="AF36" s="79">
        <f t="shared" si="3"/>
        <v>0</v>
      </c>
      <c r="AG36" s="10"/>
      <c r="AH36" s="79" t="e">
        <f t="shared" si="4"/>
        <v>#N/A</v>
      </c>
      <c r="AI36" s="10" t="e">
        <f t="shared" si="5"/>
        <v>#N/A</v>
      </c>
      <c r="AL36" s="11"/>
      <c r="AM36" s="12"/>
    </row>
    <row r="37" s="1" customFormat="1" spans="1:39">
      <c r="A37" s="1">
        <v>20240048</v>
      </c>
      <c r="B37" s="31">
        <f t="shared" si="8"/>
        <v>26</v>
      </c>
      <c r="C37" s="1" t="s">
        <v>70</v>
      </c>
      <c r="D37" s="28">
        <v>35563</v>
      </c>
      <c r="E37" s="29">
        <v>45614</v>
      </c>
      <c r="F37" s="30">
        <v>5600000</v>
      </c>
      <c r="G37" s="30"/>
      <c r="H37" s="31"/>
      <c r="I37" s="1"/>
      <c r="J37" s="42"/>
      <c r="K37" s="9"/>
      <c r="L37" s="43"/>
      <c r="M37" s="44"/>
      <c r="N37" s="45"/>
      <c r="O37" s="46"/>
      <c r="P37" s="50"/>
      <c r="Q37" s="16"/>
      <c r="R37" s="66"/>
      <c r="S37" s="34"/>
      <c r="T37" s="34"/>
      <c r="U37" s="35"/>
      <c r="V37" s="67"/>
      <c r="W37" s="35"/>
      <c r="X37" s="35"/>
      <c r="Y37" s="35"/>
      <c r="Z37" s="35"/>
      <c r="AA37" s="35"/>
      <c r="AB37" s="35"/>
      <c r="AC37" s="76" t="e">
        <f t="shared" si="0"/>
        <v>#N/A</v>
      </c>
      <c r="AD37" s="77" t="str">
        <f t="shared" si="1"/>
        <v>Baru ada di 2025</v>
      </c>
      <c r="AE37" s="78" t="e">
        <f t="shared" si="2"/>
        <v>#N/A</v>
      </c>
      <c r="AF37" s="79">
        <f t="shared" si="3"/>
        <v>0</v>
      </c>
      <c r="AG37" s="10"/>
      <c r="AH37" s="79" t="e">
        <f t="shared" si="4"/>
        <v>#N/A</v>
      </c>
      <c r="AI37" s="10" t="e">
        <f t="shared" si="5"/>
        <v>#N/A</v>
      </c>
      <c r="AL37" s="11"/>
      <c r="AM37" s="12"/>
    </row>
    <row r="38" s="1" customFormat="1" spans="1:39">
      <c r="A38" s="1">
        <v>20240049</v>
      </c>
      <c r="B38" s="31">
        <f t="shared" si="8"/>
        <v>27</v>
      </c>
      <c r="C38" s="1" t="s">
        <v>71</v>
      </c>
      <c r="D38" s="28">
        <v>34725</v>
      </c>
      <c r="E38" s="29">
        <v>45616</v>
      </c>
      <c r="F38" s="30">
        <v>8000000</v>
      </c>
      <c r="G38" s="30"/>
      <c r="H38" s="31"/>
      <c r="I38" s="1"/>
      <c r="J38" s="42"/>
      <c r="K38" s="9"/>
      <c r="L38" s="43"/>
      <c r="M38" s="44"/>
      <c r="N38" s="45"/>
      <c r="O38" s="46"/>
      <c r="P38" s="50"/>
      <c r="Q38" s="16"/>
      <c r="R38" s="66"/>
      <c r="S38" s="34"/>
      <c r="T38" s="34"/>
      <c r="U38" s="35"/>
      <c r="V38" s="67"/>
      <c r="W38" s="35"/>
      <c r="X38" s="35"/>
      <c r="Y38" s="35"/>
      <c r="Z38" s="35"/>
      <c r="AA38" s="35"/>
      <c r="AB38" s="35"/>
      <c r="AC38" s="76" t="e">
        <f t="shared" si="0"/>
        <v>#N/A</v>
      </c>
      <c r="AD38" s="77" t="str">
        <f t="shared" si="1"/>
        <v>Baru ada di 2025</v>
      </c>
      <c r="AE38" s="78" t="e">
        <f t="shared" si="2"/>
        <v>#N/A</v>
      </c>
      <c r="AF38" s="79">
        <f t="shared" si="3"/>
        <v>0</v>
      </c>
      <c r="AG38" s="10"/>
      <c r="AH38" s="79" t="e">
        <f t="shared" si="4"/>
        <v>#N/A</v>
      </c>
      <c r="AI38" s="10" t="e">
        <f t="shared" si="5"/>
        <v>#N/A</v>
      </c>
      <c r="AL38" s="11"/>
      <c r="AM38" s="12"/>
    </row>
    <row r="39" s="1" customFormat="1" spans="1:39">
      <c r="A39" s="1">
        <v>20240050</v>
      </c>
      <c r="B39" s="31">
        <f t="shared" si="8"/>
        <v>28</v>
      </c>
      <c r="C39" s="1" t="s">
        <v>72</v>
      </c>
      <c r="D39" s="28">
        <v>34941</v>
      </c>
      <c r="E39" s="29">
        <v>45628</v>
      </c>
      <c r="F39" s="30">
        <v>7500000</v>
      </c>
      <c r="G39" s="30"/>
      <c r="H39" s="31"/>
      <c r="I39" s="1"/>
      <c r="J39" s="42"/>
      <c r="K39" s="9"/>
      <c r="L39" s="43"/>
      <c r="M39" s="44"/>
      <c r="N39" s="45"/>
      <c r="O39" s="46"/>
      <c r="P39" s="50"/>
      <c r="Q39" s="16"/>
      <c r="R39" s="66"/>
      <c r="S39" s="34"/>
      <c r="T39" s="34"/>
      <c r="U39" s="35"/>
      <c r="V39" s="67"/>
      <c r="W39" s="35"/>
      <c r="X39" s="35"/>
      <c r="Y39" s="35"/>
      <c r="Z39" s="35"/>
      <c r="AA39" s="35"/>
      <c r="AB39" s="35"/>
      <c r="AC39" s="76" t="e">
        <f t="shared" si="0"/>
        <v>#N/A</v>
      </c>
      <c r="AD39" s="77" t="str">
        <f t="shared" si="1"/>
        <v>Baru ada di 2025</v>
      </c>
      <c r="AE39" s="78" t="e">
        <f t="shared" si="2"/>
        <v>#N/A</v>
      </c>
      <c r="AF39" s="79">
        <f t="shared" si="3"/>
        <v>0</v>
      </c>
      <c r="AG39" s="10"/>
      <c r="AH39" s="79" t="e">
        <f t="shared" si="4"/>
        <v>#N/A</v>
      </c>
      <c r="AI39" s="10" t="e">
        <f t="shared" si="5"/>
        <v>#N/A</v>
      </c>
      <c r="AL39" s="11"/>
      <c r="AM39" s="12"/>
    </row>
    <row r="40" s="1" customFormat="1" spans="1:39">
      <c r="A40" s="1">
        <v>20240051</v>
      </c>
      <c r="B40" s="31">
        <f t="shared" si="8"/>
        <v>29</v>
      </c>
      <c r="C40" s="1" t="s">
        <v>73</v>
      </c>
      <c r="D40" s="28">
        <v>35663</v>
      </c>
      <c r="E40" s="29">
        <v>45628</v>
      </c>
      <c r="F40" s="30">
        <v>5069708</v>
      </c>
      <c r="G40" s="30"/>
      <c r="H40" s="31"/>
      <c r="I40" s="1"/>
      <c r="J40" s="42"/>
      <c r="K40" s="9"/>
      <c r="L40" s="43"/>
      <c r="M40" s="47"/>
      <c r="N40" s="48"/>
      <c r="O40" s="49"/>
      <c r="P40" s="50"/>
      <c r="Q40" s="16"/>
      <c r="R40" s="66"/>
      <c r="S40" s="34"/>
      <c r="T40" s="34"/>
      <c r="U40" s="35"/>
      <c r="V40" s="67"/>
      <c r="W40" s="35"/>
      <c r="X40" s="35"/>
      <c r="Y40" s="35"/>
      <c r="Z40" s="35"/>
      <c r="AA40" s="35"/>
      <c r="AB40" s="35"/>
      <c r="AC40" s="76" t="e">
        <f t="shared" si="0"/>
        <v>#N/A</v>
      </c>
      <c r="AD40" s="77" t="str">
        <f t="shared" si="1"/>
        <v>Baru ada di 2025</v>
      </c>
      <c r="AE40" s="78" t="e">
        <f t="shared" si="2"/>
        <v>#N/A</v>
      </c>
      <c r="AF40" s="79">
        <f t="shared" si="3"/>
        <v>0</v>
      </c>
      <c r="AG40" s="10"/>
      <c r="AH40" s="79" t="e">
        <f t="shared" si="4"/>
        <v>#N/A</v>
      </c>
      <c r="AI40" s="10" t="e">
        <f t="shared" si="5"/>
        <v>#N/A</v>
      </c>
      <c r="AL40" s="11"/>
      <c r="AM40" s="12"/>
    </row>
    <row r="41" s="1" customFormat="1" spans="1:39">
      <c r="A41" s="1">
        <v>20240053</v>
      </c>
      <c r="B41" s="31">
        <f t="shared" si="8"/>
        <v>30</v>
      </c>
      <c r="C41" s="1" t="s">
        <v>74</v>
      </c>
      <c r="D41" s="28">
        <v>38644</v>
      </c>
      <c r="E41" s="29">
        <v>45631</v>
      </c>
      <c r="F41" s="30">
        <v>5069708</v>
      </c>
      <c r="G41" s="30"/>
      <c r="H41" s="31"/>
      <c r="I41" s="1"/>
      <c r="J41" s="42"/>
      <c r="K41" s="9"/>
      <c r="L41" s="43"/>
      <c r="M41" s="47"/>
      <c r="N41" s="48"/>
      <c r="O41" s="49"/>
      <c r="P41" s="50"/>
      <c r="Q41" s="16"/>
      <c r="R41" s="66"/>
      <c r="S41" s="34"/>
      <c r="T41" s="34"/>
      <c r="U41" s="35"/>
      <c r="V41" s="67"/>
      <c r="W41" s="35"/>
      <c r="X41" s="35"/>
      <c r="Y41" s="35"/>
      <c r="Z41" s="35"/>
      <c r="AA41" s="35"/>
      <c r="AB41" s="35"/>
      <c r="AC41" s="76" t="e">
        <f t="shared" si="0"/>
        <v>#N/A</v>
      </c>
      <c r="AD41" s="77" t="str">
        <f t="shared" si="1"/>
        <v>Baru ada di 2025</v>
      </c>
      <c r="AE41" s="78" t="e">
        <f t="shared" si="2"/>
        <v>#N/A</v>
      </c>
      <c r="AF41" s="79">
        <f t="shared" si="3"/>
        <v>0</v>
      </c>
      <c r="AG41" s="10"/>
      <c r="AH41" s="79" t="e">
        <f t="shared" si="4"/>
        <v>#N/A</v>
      </c>
      <c r="AI41" s="10" t="e">
        <f t="shared" si="5"/>
        <v>#N/A</v>
      </c>
      <c r="AL41" s="11"/>
      <c r="AM41" s="12"/>
    </row>
    <row r="42" s="1" customFormat="1" spans="1:39">
      <c r="A42" s="1">
        <v>20240054</v>
      </c>
      <c r="B42" s="31">
        <f t="shared" si="8"/>
        <v>31</v>
      </c>
      <c r="C42" s="1" t="s">
        <v>75</v>
      </c>
      <c r="D42" s="28">
        <v>37209</v>
      </c>
      <c r="E42" s="29">
        <v>45637</v>
      </c>
      <c r="F42" s="30">
        <v>5069708</v>
      </c>
      <c r="G42" s="30"/>
      <c r="H42" s="31"/>
      <c r="I42" s="1"/>
      <c r="J42" s="42"/>
      <c r="K42" s="9"/>
      <c r="L42" s="43"/>
      <c r="M42" s="44"/>
      <c r="N42" s="45"/>
      <c r="O42" s="46"/>
      <c r="P42" s="50"/>
      <c r="Q42" s="16"/>
      <c r="R42" s="66"/>
      <c r="S42" s="34"/>
      <c r="T42" s="34"/>
      <c r="U42" s="35"/>
      <c r="V42" s="67"/>
      <c r="W42" s="35"/>
      <c r="X42" s="35"/>
      <c r="Y42" s="35"/>
      <c r="Z42" s="35"/>
      <c r="AA42" s="35"/>
      <c r="AB42" s="35"/>
      <c r="AC42" s="76" t="e">
        <f t="shared" si="0"/>
        <v>#N/A</v>
      </c>
      <c r="AD42" s="77" t="str">
        <f t="shared" si="1"/>
        <v>Baru ada di 2025</v>
      </c>
      <c r="AE42" s="78" t="e">
        <f t="shared" si="2"/>
        <v>#N/A</v>
      </c>
      <c r="AF42" s="79">
        <f t="shared" si="3"/>
        <v>0</v>
      </c>
      <c r="AG42" s="10"/>
      <c r="AH42" s="79" t="e">
        <f t="shared" si="4"/>
        <v>#N/A</v>
      </c>
      <c r="AI42" s="10" t="e">
        <f t="shared" si="5"/>
        <v>#N/A</v>
      </c>
      <c r="AL42" s="11"/>
      <c r="AM42" s="12"/>
    </row>
    <row r="43" s="1" customFormat="1" spans="1:39">
      <c r="A43" s="1">
        <v>20240055</v>
      </c>
      <c r="B43" s="31">
        <f t="shared" si="8"/>
        <v>32</v>
      </c>
      <c r="C43" s="1" t="s">
        <v>76</v>
      </c>
      <c r="D43" s="28">
        <v>36557</v>
      </c>
      <c r="E43" s="29">
        <v>45639</v>
      </c>
      <c r="F43" s="30">
        <v>7500000</v>
      </c>
      <c r="G43" s="30"/>
      <c r="H43" s="31"/>
      <c r="I43" s="1"/>
      <c r="J43" s="42"/>
      <c r="K43" s="9"/>
      <c r="L43" s="43"/>
      <c r="M43" s="44"/>
      <c r="N43" s="45"/>
      <c r="O43" s="46"/>
      <c r="P43" s="50"/>
      <c r="Q43" s="16"/>
      <c r="R43" s="66"/>
      <c r="S43" s="34"/>
      <c r="T43" s="34"/>
      <c r="U43" s="35"/>
      <c r="V43" s="67"/>
      <c r="W43" s="35"/>
      <c r="X43" s="35"/>
      <c r="Y43" s="35"/>
      <c r="Z43" s="35"/>
      <c r="AA43" s="35"/>
      <c r="AB43" s="35"/>
      <c r="AC43" s="76" t="e">
        <f t="shared" si="0"/>
        <v>#N/A</v>
      </c>
      <c r="AD43" s="77" t="str">
        <f t="shared" si="1"/>
        <v>Baru ada di 2025</v>
      </c>
      <c r="AE43" s="78"/>
      <c r="AF43" s="78"/>
      <c r="AG43" s="10"/>
      <c r="AH43" s="79"/>
      <c r="AI43" s="10"/>
      <c r="AL43" s="11"/>
      <c r="AM43" s="12"/>
    </row>
    <row r="44" s="1" customFormat="1" spans="1:39">
      <c r="A44" s="1">
        <v>20240056</v>
      </c>
      <c r="B44" s="31">
        <f t="shared" si="8"/>
        <v>33</v>
      </c>
      <c r="C44" s="1" t="s">
        <v>77</v>
      </c>
      <c r="D44" s="28">
        <v>37518</v>
      </c>
      <c r="E44" s="29">
        <v>45643</v>
      </c>
      <c r="F44" s="30">
        <v>5069708</v>
      </c>
      <c r="G44" s="30"/>
      <c r="H44" s="31"/>
      <c r="I44" s="1"/>
      <c r="J44" s="42"/>
      <c r="K44" s="9"/>
      <c r="L44" s="43"/>
      <c r="M44" s="44"/>
      <c r="N44" s="45"/>
      <c r="O44" s="46"/>
      <c r="P44" s="50"/>
      <c r="Q44" s="16"/>
      <c r="R44" s="66"/>
      <c r="S44" s="34"/>
      <c r="T44" s="34"/>
      <c r="U44" s="35"/>
      <c r="V44" s="67"/>
      <c r="W44" s="35"/>
      <c r="X44" s="35"/>
      <c r="Y44" s="35"/>
      <c r="Z44" s="35"/>
      <c r="AA44" s="35"/>
      <c r="AB44" s="35"/>
      <c r="AC44" s="76" t="e">
        <f t="shared" si="0"/>
        <v>#N/A</v>
      </c>
      <c r="AD44" s="77" t="str">
        <f t="shared" si="1"/>
        <v>Baru ada di 2025</v>
      </c>
      <c r="AE44" s="78"/>
      <c r="AF44" s="78"/>
      <c r="AG44" s="10"/>
      <c r="AH44" s="79"/>
      <c r="AI44" s="10"/>
      <c r="AL44" s="11"/>
      <c r="AM44" s="12"/>
    </row>
    <row r="45" s="1" customFormat="1" spans="1:39">
      <c r="A45" s="1">
        <v>20250001</v>
      </c>
      <c r="B45" s="31">
        <f t="shared" si="8"/>
        <v>34</v>
      </c>
      <c r="C45" s="1" t="s">
        <v>78</v>
      </c>
      <c r="D45" s="28">
        <v>33784</v>
      </c>
      <c r="E45" s="29">
        <v>45659</v>
      </c>
      <c r="F45" s="30">
        <v>8000000</v>
      </c>
      <c r="G45" s="30"/>
      <c r="H45" s="31"/>
      <c r="I45" s="9"/>
      <c r="J45" s="42"/>
      <c r="K45" s="9"/>
      <c r="L45" s="43"/>
      <c r="M45" s="44"/>
      <c r="N45" s="45"/>
      <c r="O45" s="46"/>
      <c r="P45" s="50"/>
      <c r="R45" s="66"/>
      <c r="S45" s="34"/>
      <c r="T45" s="34"/>
      <c r="U45" s="35"/>
      <c r="V45" s="67"/>
      <c r="W45" s="35"/>
      <c r="X45" s="35"/>
      <c r="Y45" s="35"/>
      <c r="Z45" s="35"/>
      <c r="AA45" s="35"/>
      <c r="AB45" s="35"/>
      <c r="AC45" s="76" t="e">
        <f t="shared" si="0"/>
        <v>#N/A</v>
      </c>
      <c r="AD45" s="77" t="str">
        <f t="shared" si="1"/>
        <v>Baru ada di 2025</v>
      </c>
      <c r="AE45" s="78"/>
      <c r="AF45" s="78"/>
      <c r="AG45" s="10"/>
      <c r="AH45" s="79"/>
      <c r="AI45" s="10"/>
      <c r="AL45" s="11"/>
      <c r="AM45" s="12"/>
    </row>
    <row r="46" s="1" customFormat="1" spans="1:39">
      <c r="A46" s="1">
        <v>20250002</v>
      </c>
      <c r="B46" s="31">
        <f t="shared" si="8"/>
        <v>35</v>
      </c>
      <c r="C46" s="1" t="s">
        <v>79</v>
      </c>
      <c r="D46" s="28">
        <v>37628</v>
      </c>
      <c r="E46" s="29">
        <v>45659</v>
      </c>
      <c r="F46" s="30">
        <v>5069708</v>
      </c>
      <c r="G46" s="30"/>
      <c r="H46" s="31"/>
      <c r="I46" s="9"/>
      <c r="J46" s="42"/>
      <c r="K46" s="9"/>
      <c r="L46" s="43"/>
      <c r="M46" s="51"/>
      <c r="N46" s="52"/>
      <c r="O46" s="53"/>
      <c r="P46" s="50"/>
      <c r="Q46" s="68"/>
      <c r="R46" s="66"/>
      <c r="S46" s="34"/>
      <c r="T46" s="34"/>
      <c r="U46" s="35"/>
      <c r="V46" s="67"/>
      <c r="W46" s="35"/>
      <c r="X46" s="35"/>
      <c r="Y46" s="35"/>
      <c r="Z46" s="35"/>
      <c r="AA46" s="35"/>
      <c r="AB46" s="35"/>
      <c r="AC46" s="76" t="e">
        <f t="shared" si="0"/>
        <v>#N/A</v>
      </c>
      <c r="AD46" s="77" t="str">
        <f t="shared" si="1"/>
        <v>Baru ada di 2025</v>
      </c>
      <c r="AE46" s="78"/>
      <c r="AF46" s="78"/>
      <c r="AG46" s="10"/>
      <c r="AH46" s="79"/>
      <c r="AI46" s="10"/>
      <c r="AL46" s="11"/>
      <c r="AM46" s="12"/>
    </row>
    <row r="47" s="1" customFormat="1" spans="1:39">
      <c r="A47" s="1">
        <v>20250003</v>
      </c>
      <c r="B47" s="31">
        <f t="shared" si="8"/>
        <v>36</v>
      </c>
      <c r="C47" s="1" t="s">
        <v>80</v>
      </c>
      <c r="D47" s="28">
        <v>37702</v>
      </c>
      <c r="E47" s="29">
        <v>45664</v>
      </c>
      <c r="F47" s="30">
        <v>5600000</v>
      </c>
      <c r="G47" s="30"/>
      <c r="H47" s="31"/>
      <c r="I47" s="9"/>
      <c r="J47" s="42"/>
      <c r="K47" s="9"/>
      <c r="L47" s="43"/>
      <c r="M47" s="51"/>
      <c r="N47" s="52"/>
      <c r="O47" s="53"/>
      <c r="P47" s="50"/>
      <c r="Q47" s="68"/>
      <c r="R47" s="66"/>
      <c r="S47" s="34"/>
      <c r="T47" s="34"/>
      <c r="U47" s="35"/>
      <c r="V47" s="69"/>
      <c r="W47" s="35"/>
      <c r="X47" s="35"/>
      <c r="Y47" s="35"/>
      <c r="Z47" s="35"/>
      <c r="AA47" s="35"/>
      <c r="AB47" s="35"/>
      <c r="AC47" s="76" t="e">
        <f t="shared" si="0"/>
        <v>#N/A</v>
      </c>
      <c r="AD47" s="77" t="str">
        <f t="shared" si="1"/>
        <v>Baru ada di 2025</v>
      </c>
      <c r="AE47" s="78"/>
      <c r="AF47" s="78"/>
      <c r="AG47" s="10"/>
      <c r="AH47" s="79"/>
      <c r="AI47" s="10"/>
      <c r="AL47" s="11"/>
      <c r="AM47" s="12"/>
    </row>
    <row r="48" s="1" customFormat="1" spans="1:39">
      <c r="A48" s="1">
        <v>20250004</v>
      </c>
      <c r="B48" s="31">
        <f t="shared" si="8"/>
        <v>37</v>
      </c>
      <c r="C48" s="1" t="s">
        <v>81</v>
      </c>
      <c r="D48" s="32">
        <v>35994</v>
      </c>
      <c r="E48" s="33">
        <v>45670</v>
      </c>
      <c r="F48" s="30">
        <v>5069708</v>
      </c>
      <c r="G48" s="30"/>
      <c r="H48" s="31"/>
      <c r="I48" s="9"/>
      <c r="J48" s="42"/>
      <c r="K48" s="9"/>
      <c r="L48" s="43"/>
      <c r="M48" s="51"/>
      <c r="N48" s="52"/>
      <c r="O48" s="53"/>
      <c r="P48" s="50"/>
      <c r="Q48" s="68"/>
      <c r="R48" s="66"/>
      <c r="S48" s="34"/>
      <c r="T48" s="34"/>
      <c r="U48" s="35"/>
      <c r="V48" s="67"/>
      <c r="W48" s="35"/>
      <c r="X48" s="35"/>
      <c r="Y48" s="35"/>
      <c r="Z48" s="35"/>
      <c r="AA48" s="35"/>
      <c r="AB48" s="35"/>
      <c r="AC48" s="76"/>
      <c r="AD48" s="77"/>
      <c r="AE48" s="78"/>
      <c r="AF48" s="78"/>
      <c r="AG48" s="10"/>
      <c r="AH48" s="79"/>
      <c r="AI48" s="10"/>
      <c r="AL48" s="11"/>
      <c r="AM48" s="12"/>
    </row>
    <row r="49" s="1" customFormat="1" spans="1:39">
      <c r="A49" s="1">
        <v>20250005</v>
      </c>
      <c r="B49" s="31">
        <f t="shared" si="8"/>
        <v>38</v>
      </c>
      <c r="C49" s="1" t="s">
        <v>82</v>
      </c>
      <c r="D49" s="34">
        <v>36202</v>
      </c>
      <c r="E49" s="34">
        <v>45670</v>
      </c>
      <c r="F49" s="30">
        <v>5069708</v>
      </c>
      <c r="G49" s="30"/>
      <c r="H49" s="31"/>
      <c r="I49" s="9"/>
      <c r="J49" s="9"/>
      <c r="K49" s="9"/>
      <c r="L49" s="43"/>
      <c r="M49" s="51"/>
      <c r="N49" s="52"/>
      <c r="O49" s="53"/>
      <c r="P49" s="50"/>
      <c r="Q49" s="68"/>
      <c r="R49" s="66"/>
      <c r="S49" s="34"/>
      <c r="T49" s="34"/>
      <c r="U49" s="35"/>
      <c r="V49" s="67"/>
      <c r="W49" s="35"/>
      <c r="X49" s="35"/>
      <c r="Y49" s="35"/>
      <c r="Z49" s="35"/>
      <c r="AA49" s="35"/>
      <c r="AB49" s="35"/>
      <c r="AC49" s="76"/>
      <c r="AD49" s="77"/>
      <c r="AE49" s="79"/>
      <c r="AF49" s="79"/>
      <c r="AG49" s="10"/>
      <c r="AH49" s="79"/>
      <c r="AI49" s="10"/>
      <c r="AL49" s="11"/>
      <c r="AM49" s="12"/>
    </row>
    <row r="50" s="1" customFormat="1" spans="1:39">
      <c r="A50" s="1">
        <v>20250007</v>
      </c>
      <c r="B50" s="31">
        <f t="shared" si="8"/>
        <v>39</v>
      </c>
      <c r="C50" s="1" t="s">
        <v>83</v>
      </c>
      <c r="D50" s="34">
        <v>38296</v>
      </c>
      <c r="E50" s="34">
        <v>45670</v>
      </c>
      <c r="F50" s="35">
        <v>5069708</v>
      </c>
      <c r="G50" s="35"/>
      <c r="H50" s="31"/>
      <c r="I50" s="9"/>
      <c r="J50" s="9"/>
      <c r="K50" s="9"/>
      <c r="L50" s="54"/>
      <c r="M50" s="51"/>
      <c r="N50" s="52"/>
      <c r="O50" s="53"/>
      <c r="P50" s="50"/>
      <c r="Q50" s="68"/>
      <c r="R50" s="34"/>
      <c r="S50" s="34"/>
      <c r="T50" s="34"/>
      <c r="U50" s="35"/>
      <c r="V50" s="67"/>
      <c r="W50" s="35"/>
      <c r="X50" s="35"/>
      <c r="Y50" s="35"/>
      <c r="Z50" s="35"/>
      <c r="AA50" s="35"/>
      <c r="AB50" s="35"/>
      <c r="AC50" s="81"/>
      <c r="AD50" s="77"/>
      <c r="AE50" s="79"/>
      <c r="AF50" s="79"/>
      <c r="AG50" s="10"/>
      <c r="AH50" s="79"/>
      <c r="AI50" s="10"/>
      <c r="AL50" s="11"/>
      <c r="AM50" s="12"/>
    </row>
    <row r="51" s="1" customFormat="1" spans="1:39">
      <c r="A51" s="1">
        <v>20250008</v>
      </c>
      <c r="B51" s="31">
        <f t="shared" si="8"/>
        <v>40</v>
      </c>
      <c r="C51" s="1" t="s">
        <v>84</v>
      </c>
      <c r="D51" s="34">
        <v>37408</v>
      </c>
      <c r="E51" s="34">
        <v>45670</v>
      </c>
      <c r="F51" s="30">
        <v>5069708</v>
      </c>
      <c r="G51" s="30"/>
      <c r="H51" s="31"/>
      <c r="I51" s="1"/>
      <c r="J51" s="9"/>
      <c r="K51" s="9"/>
      <c r="L51" s="43"/>
      <c r="M51" s="51"/>
      <c r="N51" s="52"/>
      <c r="O51" s="53"/>
      <c r="P51" s="50"/>
      <c r="Q51" s="68"/>
      <c r="R51" s="34"/>
      <c r="S51" s="34"/>
      <c r="T51" s="34"/>
      <c r="U51" s="35"/>
      <c r="V51" s="67"/>
      <c r="W51" s="35"/>
      <c r="X51" s="35"/>
      <c r="Y51" s="35"/>
      <c r="Z51" s="35"/>
      <c r="AA51" s="35"/>
      <c r="AB51" s="35"/>
      <c r="AC51" s="81"/>
      <c r="AD51" s="77"/>
      <c r="AE51" s="79"/>
      <c r="AF51" s="79"/>
      <c r="AG51" s="10"/>
      <c r="AH51" s="79"/>
      <c r="AI51" s="10"/>
      <c r="AL51" s="11"/>
      <c r="AM51" s="12"/>
    </row>
    <row r="52" s="1" customFormat="1" spans="1:39">
      <c r="A52" s="1">
        <v>20250009</v>
      </c>
      <c r="B52" s="31">
        <f t="shared" si="8"/>
        <v>41</v>
      </c>
      <c r="C52" s="1" t="s">
        <v>85</v>
      </c>
      <c r="D52" s="34">
        <v>35831</v>
      </c>
      <c r="E52" s="34">
        <v>45670</v>
      </c>
      <c r="F52" s="30">
        <v>8000000</v>
      </c>
      <c r="G52" s="30"/>
      <c r="H52" s="31"/>
      <c r="I52" s="9"/>
      <c r="J52" s="9"/>
      <c r="K52" s="9"/>
      <c r="L52" s="43"/>
      <c r="M52" s="51"/>
      <c r="N52" s="52"/>
      <c r="O52" s="53"/>
      <c r="P52" s="50"/>
      <c r="Q52" s="68"/>
      <c r="R52" s="34"/>
      <c r="S52" s="34"/>
      <c r="T52" s="34"/>
      <c r="U52" s="35"/>
      <c r="V52" s="69"/>
      <c r="W52" s="35"/>
      <c r="X52" s="35"/>
      <c r="Y52" s="35"/>
      <c r="Z52" s="35"/>
      <c r="AA52" s="35"/>
      <c r="AB52" s="35"/>
      <c r="AC52" s="81"/>
      <c r="AD52" s="77"/>
      <c r="AE52" s="79"/>
      <c r="AF52" s="79"/>
      <c r="AG52" s="10"/>
      <c r="AH52" s="79"/>
      <c r="AI52" s="10"/>
      <c r="AL52" s="11"/>
      <c r="AM52" s="12"/>
    </row>
    <row r="53" s="1" customFormat="1" spans="1:39">
      <c r="A53" s="1">
        <v>20250012</v>
      </c>
      <c r="B53" s="31">
        <f t="shared" si="8"/>
        <v>42</v>
      </c>
      <c r="C53" s="1" t="s">
        <v>86</v>
      </c>
      <c r="D53" s="34">
        <v>33173</v>
      </c>
      <c r="E53" s="34">
        <v>45698</v>
      </c>
      <c r="F53" s="30">
        <v>10000000</v>
      </c>
      <c r="G53" s="30"/>
      <c r="H53" s="31"/>
      <c r="I53" s="9"/>
      <c r="J53" s="9"/>
      <c r="K53" s="9"/>
      <c r="L53" s="43"/>
      <c r="M53" s="51"/>
      <c r="N53" s="52"/>
      <c r="O53" s="53"/>
      <c r="P53" s="50"/>
      <c r="R53" s="34"/>
      <c r="S53" s="34"/>
      <c r="T53" s="34"/>
      <c r="U53" s="35"/>
      <c r="V53" s="67"/>
      <c r="W53" s="35"/>
      <c r="X53" s="35"/>
      <c r="Y53" s="35"/>
      <c r="Z53" s="35"/>
      <c r="AA53" s="35"/>
      <c r="AB53" s="35"/>
      <c r="AC53" s="81"/>
      <c r="AD53" s="77"/>
      <c r="AE53" s="79"/>
      <c r="AF53" s="79"/>
      <c r="AG53" s="10"/>
      <c r="AH53" s="79"/>
      <c r="AI53" s="10"/>
      <c r="AL53" s="11"/>
      <c r="AM53" s="12"/>
    </row>
    <row r="54" s="1" customFormat="1" spans="1:39">
      <c r="A54" s="1">
        <v>20250013</v>
      </c>
      <c r="B54" s="31">
        <f t="shared" si="8"/>
        <v>43</v>
      </c>
      <c r="C54" s="1" t="s">
        <v>87</v>
      </c>
      <c r="D54" s="34">
        <v>37650</v>
      </c>
      <c r="E54" s="34">
        <v>45705</v>
      </c>
      <c r="F54" s="30">
        <v>10000000</v>
      </c>
      <c r="G54" s="30"/>
      <c r="H54" s="31"/>
      <c r="I54" s="9"/>
      <c r="J54" s="9"/>
      <c r="K54" s="9"/>
      <c r="L54" s="43"/>
      <c r="M54" s="51"/>
      <c r="N54" s="52"/>
      <c r="O54" s="53"/>
      <c r="P54" s="50"/>
      <c r="R54" s="34"/>
      <c r="S54" s="34"/>
      <c r="T54" s="34"/>
      <c r="U54" s="35"/>
      <c r="V54" s="69"/>
      <c r="W54" s="35"/>
      <c r="X54" s="35"/>
      <c r="Y54" s="35"/>
      <c r="Z54" s="35"/>
      <c r="AA54" s="35"/>
      <c r="AB54" s="35"/>
      <c r="AC54" s="81"/>
      <c r="AD54" s="77"/>
      <c r="AE54" s="79"/>
      <c r="AF54" s="79"/>
      <c r="AG54" s="10"/>
      <c r="AH54" s="79"/>
      <c r="AI54" s="10"/>
      <c r="AL54" s="11"/>
      <c r="AM54" s="12"/>
    </row>
    <row r="55" s="1" customFormat="1" spans="1:39">
      <c r="A55" s="1">
        <v>20250014</v>
      </c>
      <c r="B55" s="31">
        <f t="shared" si="8"/>
        <v>44</v>
      </c>
      <c r="C55" s="1" t="s">
        <v>88</v>
      </c>
      <c r="D55" s="34">
        <v>37682</v>
      </c>
      <c r="E55" s="34">
        <v>45709</v>
      </c>
      <c r="F55" s="30">
        <v>5069708</v>
      </c>
      <c r="G55" s="30"/>
      <c r="H55" s="31"/>
      <c r="I55" s="9"/>
      <c r="J55" s="9"/>
      <c r="K55" s="9"/>
      <c r="L55" s="43"/>
      <c r="M55" s="51"/>
      <c r="N55" s="52"/>
      <c r="O55" s="53"/>
      <c r="P55" s="50"/>
      <c r="R55" s="34"/>
      <c r="S55" s="34"/>
      <c r="T55" s="34"/>
      <c r="U55" s="35"/>
      <c r="V55" s="69"/>
      <c r="W55" s="35"/>
      <c r="X55" s="35"/>
      <c r="Y55" s="35"/>
      <c r="Z55" s="35"/>
      <c r="AA55" s="35"/>
      <c r="AB55" s="35"/>
      <c r="AC55" s="81"/>
      <c r="AD55" s="77"/>
      <c r="AE55" s="79"/>
      <c r="AF55" s="79"/>
      <c r="AG55" s="10"/>
      <c r="AH55" s="79"/>
      <c r="AI55" s="10"/>
      <c r="AL55" s="11"/>
      <c r="AM55" s="12"/>
    </row>
    <row r="56" s="1" customFormat="1" spans="1:39">
      <c r="A56" s="1">
        <v>20250015</v>
      </c>
      <c r="B56" s="31">
        <f t="shared" si="8"/>
        <v>45</v>
      </c>
      <c r="C56" s="1" t="s">
        <v>89</v>
      </c>
      <c r="D56" s="36">
        <v>37674</v>
      </c>
      <c r="E56" s="34">
        <v>45709</v>
      </c>
      <c r="F56" s="30">
        <v>5069708</v>
      </c>
      <c r="G56" s="30"/>
      <c r="H56" s="31"/>
      <c r="I56" s="9"/>
      <c r="J56" s="9"/>
      <c r="K56" s="9"/>
      <c r="L56" s="43"/>
      <c r="M56" s="51"/>
      <c r="N56" s="52"/>
      <c r="O56" s="53"/>
      <c r="P56" s="50"/>
      <c r="Q56" s="65"/>
      <c r="R56" s="34"/>
      <c r="S56" s="34"/>
      <c r="T56" s="34"/>
      <c r="U56" s="35"/>
      <c r="V56" s="69"/>
      <c r="W56" s="35"/>
      <c r="X56" s="35"/>
      <c r="Y56" s="35"/>
      <c r="Z56" s="35"/>
      <c r="AA56" s="35"/>
      <c r="AB56" s="35"/>
      <c r="AC56" s="81"/>
      <c r="AD56" s="77"/>
      <c r="AE56" s="79"/>
      <c r="AF56" s="79"/>
      <c r="AG56" s="10"/>
      <c r="AH56" s="79"/>
      <c r="AI56" s="10"/>
      <c r="AL56" s="11"/>
      <c r="AM56" s="12"/>
    </row>
    <row r="57" s="1" customFormat="1" spans="1:39">
      <c r="A57" s="1">
        <v>20250017</v>
      </c>
      <c r="B57" s="31">
        <f t="shared" si="8"/>
        <v>46</v>
      </c>
      <c r="C57" s="1" t="s">
        <v>90</v>
      </c>
      <c r="D57" s="36">
        <v>38661</v>
      </c>
      <c r="E57" s="34">
        <v>45712</v>
      </c>
      <c r="F57" s="30">
        <v>5069708</v>
      </c>
      <c r="G57" s="30"/>
      <c r="H57" s="31"/>
      <c r="I57" s="9"/>
      <c r="J57" s="9"/>
      <c r="K57" s="9"/>
      <c r="L57" s="43"/>
      <c r="M57" s="51"/>
      <c r="N57" s="52"/>
      <c r="O57" s="53"/>
      <c r="P57" s="50"/>
      <c r="Q57" s="66"/>
      <c r="R57" s="34"/>
      <c r="S57" s="34"/>
      <c r="T57" s="34"/>
      <c r="U57" s="35"/>
      <c r="V57" s="69"/>
      <c r="W57" s="35"/>
      <c r="X57" s="35"/>
      <c r="Y57" s="35"/>
      <c r="Z57" s="35"/>
      <c r="AA57" s="35"/>
      <c r="AB57" s="35"/>
      <c r="AC57" s="81"/>
      <c r="AD57" s="77"/>
      <c r="AE57" s="79"/>
      <c r="AF57" s="79"/>
      <c r="AG57" s="10"/>
      <c r="AH57" s="79"/>
      <c r="AI57" s="10"/>
      <c r="AL57" s="11"/>
      <c r="AM57" s="12"/>
    </row>
    <row r="58" s="1" customFormat="1" spans="1:39">
      <c r="A58" s="1">
        <v>20250018</v>
      </c>
      <c r="B58" s="31">
        <f t="shared" si="8"/>
        <v>47</v>
      </c>
      <c r="C58" s="1" t="s">
        <v>91</v>
      </c>
      <c r="D58" s="36">
        <v>37808</v>
      </c>
      <c r="E58" s="34">
        <v>45713</v>
      </c>
      <c r="F58" s="30">
        <v>5069708</v>
      </c>
      <c r="G58" s="30"/>
      <c r="H58" s="31"/>
      <c r="I58" s="9"/>
      <c r="J58" s="9"/>
      <c r="K58" s="9"/>
      <c r="L58" s="43"/>
      <c r="M58" s="51"/>
      <c r="N58" s="52"/>
      <c r="O58" s="53"/>
      <c r="P58" s="50"/>
      <c r="Q58" s="66"/>
      <c r="R58" s="34"/>
      <c r="S58" s="34"/>
      <c r="T58" s="34"/>
      <c r="U58" s="35"/>
      <c r="V58" s="67"/>
      <c r="W58" s="35"/>
      <c r="X58" s="35"/>
      <c r="Y58" s="35"/>
      <c r="Z58" s="35"/>
      <c r="AA58" s="35"/>
      <c r="AB58" s="35"/>
      <c r="AC58" s="81"/>
      <c r="AD58" s="77"/>
      <c r="AE58" s="79"/>
      <c r="AF58" s="79"/>
      <c r="AG58" s="10"/>
      <c r="AH58" s="79"/>
      <c r="AI58" s="10"/>
      <c r="AL58" s="11"/>
      <c r="AM58" s="12"/>
    </row>
    <row r="59" s="1" customFormat="1" spans="1:39">
      <c r="A59" s="1">
        <v>20250020</v>
      </c>
      <c r="B59" s="31">
        <f t="shared" si="8"/>
        <v>48</v>
      </c>
      <c r="C59" s="1" t="s">
        <v>92</v>
      </c>
      <c r="D59" s="36">
        <v>37446</v>
      </c>
      <c r="E59" s="34">
        <v>45719</v>
      </c>
      <c r="F59" s="30">
        <v>5200000</v>
      </c>
      <c r="G59" s="30"/>
      <c r="H59" s="31"/>
      <c r="I59" s="9"/>
      <c r="J59" s="9"/>
      <c r="K59" s="9"/>
      <c r="L59" s="43"/>
      <c r="M59" s="51"/>
      <c r="N59" s="52"/>
      <c r="O59" s="53"/>
      <c r="P59" s="50"/>
      <c r="Q59" s="66"/>
      <c r="R59" s="34"/>
      <c r="S59" s="34"/>
      <c r="T59" s="34"/>
      <c r="U59" s="35"/>
      <c r="V59" s="67"/>
      <c r="W59" s="35"/>
      <c r="X59" s="35"/>
      <c r="Y59" s="35"/>
      <c r="Z59" s="35"/>
      <c r="AA59" s="35"/>
      <c r="AC59" s="81"/>
      <c r="AD59" s="77"/>
      <c r="AE59" s="79"/>
      <c r="AF59" s="79"/>
      <c r="AG59" s="10"/>
      <c r="AH59" s="79"/>
      <c r="AI59" s="10"/>
      <c r="AL59" s="11"/>
      <c r="AM59" s="12"/>
    </row>
    <row r="60" s="1" customFormat="1" spans="1:39">
      <c r="A60" s="1">
        <v>20250021</v>
      </c>
      <c r="B60" s="31">
        <f t="shared" si="8"/>
        <v>49</v>
      </c>
      <c r="C60" s="1" t="s">
        <v>93</v>
      </c>
      <c r="D60" s="36">
        <v>36169</v>
      </c>
      <c r="E60" s="34">
        <v>45720</v>
      </c>
      <c r="F60" s="30">
        <v>5069708</v>
      </c>
      <c r="G60" s="30"/>
      <c r="H60" s="31"/>
      <c r="I60" s="9"/>
      <c r="J60" s="9"/>
      <c r="K60" s="9"/>
      <c r="L60" s="43"/>
      <c r="M60" s="51"/>
      <c r="N60" s="52"/>
      <c r="O60" s="53"/>
      <c r="P60" s="50"/>
      <c r="Q60" s="66"/>
      <c r="R60" s="34"/>
      <c r="S60" s="34"/>
      <c r="T60" s="34"/>
      <c r="U60" s="35"/>
      <c r="V60" s="67"/>
      <c r="W60" s="35"/>
      <c r="X60" s="35"/>
      <c r="Y60" s="35"/>
      <c r="Z60" s="35"/>
      <c r="AA60" s="35"/>
      <c r="AC60" s="81"/>
      <c r="AD60" s="77"/>
      <c r="AE60" s="79"/>
      <c r="AF60" s="79"/>
      <c r="AG60" s="10"/>
      <c r="AH60" s="79"/>
      <c r="AI60" s="10"/>
      <c r="AL60" s="11"/>
      <c r="AM60" s="12"/>
    </row>
    <row r="61" s="1" customFormat="1" spans="1:39">
      <c r="A61" s="1">
        <v>20250022</v>
      </c>
      <c r="B61" s="31">
        <f t="shared" si="8"/>
        <v>50</v>
      </c>
      <c r="C61" s="1" t="s">
        <v>94</v>
      </c>
      <c r="D61" s="36">
        <v>35498</v>
      </c>
      <c r="E61" s="34">
        <v>45720</v>
      </c>
      <c r="F61" s="30">
        <v>5069708</v>
      </c>
      <c r="G61" s="30"/>
      <c r="H61" s="31"/>
      <c r="I61" s="9"/>
      <c r="J61" s="9"/>
      <c r="K61" s="9"/>
      <c r="L61" s="43"/>
      <c r="M61" s="51"/>
      <c r="N61" s="52"/>
      <c r="O61" s="53"/>
      <c r="P61" s="50"/>
      <c r="Q61" s="66"/>
      <c r="R61" s="34"/>
      <c r="S61" s="34"/>
      <c r="T61" s="34"/>
      <c r="U61" s="35"/>
      <c r="V61" s="69"/>
      <c r="W61" s="35"/>
      <c r="X61" s="35"/>
      <c r="Y61" s="35"/>
      <c r="Z61" s="35"/>
      <c r="AA61" s="35"/>
      <c r="AC61" s="81"/>
      <c r="AD61" s="77"/>
      <c r="AE61" s="79"/>
      <c r="AF61" s="79"/>
      <c r="AG61" s="10"/>
      <c r="AH61" s="79"/>
      <c r="AI61" s="10"/>
      <c r="AL61" s="11"/>
      <c r="AM61" s="12"/>
    </row>
    <row r="62" s="1" customFormat="1" spans="1:39">
      <c r="A62" s="1">
        <v>20250023</v>
      </c>
      <c r="B62" s="31">
        <f t="shared" si="8"/>
        <v>51</v>
      </c>
      <c r="C62" s="1" t="s">
        <v>95</v>
      </c>
      <c r="D62" s="36">
        <v>38349</v>
      </c>
      <c r="E62" s="34">
        <v>45720</v>
      </c>
      <c r="F62" s="30">
        <v>5069708</v>
      </c>
      <c r="G62" s="30"/>
      <c r="H62" s="31"/>
      <c r="I62" s="9"/>
      <c r="J62" s="9"/>
      <c r="K62" s="9"/>
      <c r="L62" s="43"/>
      <c r="M62" s="51"/>
      <c r="N62" s="52"/>
      <c r="O62" s="53"/>
      <c r="P62" s="50"/>
      <c r="Q62" s="66"/>
      <c r="R62" s="34"/>
      <c r="S62" s="34"/>
      <c r="T62" s="34"/>
      <c r="U62" s="35"/>
      <c r="V62" s="67"/>
      <c r="W62" s="35"/>
      <c r="X62" s="35"/>
      <c r="Y62" s="35"/>
      <c r="Z62" s="35"/>
      <c r="AA62" s="35"/>
      <c r="AC62" s="81"/>
      <c r="AD62" s="77"/>
      <c r="AE62" s="79"/>
      <c r="AF62" s="79"/>
      <c r="AG62" s="10"/>
      <c r="AH62" s="79"/>
      <c r="AI62" s="10"/>
      <c r="AL62" s="11"/>
      <c r="AM62" s="12"/>
    </row>
    <row r="63" s="1" customFormat="1" spans="1:39">
      <c r="A63" s="1">
        <v>20250024</v>
      </c>
      <c r="B63" s="31">
        <f t="shared" si="8"/>
        <v>52</v>
      </c>
      <c r="C63" s="1" t="s">
        <v>96</v>
      </c>
      <c r="D63" s="36">
        <v>37790</v>
      </c>
      <c r="E63" s="34">
        <v>45720</v>
      </c>
      <c r="F63" s="30">
        <v>5069708</v>
      </c>
      <c r="G63" s="30"/>
      <c r="H63" s="31"/>
      <c r="I63" s="9"/>
      <c r="J63" s="9"/>
      <c r="K63" s="9"/>
      <c r="L63" s="43"/>
      <c r="M63" s="51"/>
      <c r="N63" s="52"/>
      <c r="O63" s="53"/>
      <c r="P63" s="50"/>
      <c r="Q63" s="66"/>
      <c r="R63" s="34"/>
      <c r="S63" s="34"/>
      <c r="T63" s="34"/>
      <c r="U63" s="35"/>
      <c r="V63" s="69"/>
      <c r="W63" s="35"/>
      <c r="X63" s="35"/>
      <c r="Y63" s="35"/>
      <c r="Z63" s="35"/>
      <c r="AA63" s="35"/>
      <c r="AC63" s="81"/>
      <c r="AD63" s="77"/>
      <c r="AE63" s="79"/>
      <c r="AF63" s="79"/>
      <c r="AG63" s="10"/>
      <c r="AH63" s="79"/>
      <c r="AI63" s="10"/>
      <c r="AL63" s="11"/>
      <c r="AM63" s="12"/>
    </row>
    <row r="64" s="1" customFormat="1" spans="1:39">
      <c r="A64" s="1">
        <v>20250025</v>
      </c>
      <c r="B64" s="31">
        <f t="shared" si="8"/>
        <v>53</v>
      </c>
      <c r="C64" s="1" t="s">
        <v>97</v>
      </c>
      <c r="D64" s="36">
        <v>38581</v>
      </c>
      <c r="E64" s="34">
        <v>45720</v>
      </c>
      <c r="F64" s="30">
        <v>5069708</v>
      </c>
      <c r="G64" s="30"/>
      <c r="H64" s="31"/>
      <c r="I64" s="9"/>
      <c r="J64" s="9"/>
      <c r="K64" s="9"/>
      <c r="L64" s="43"/>
      <c r="M64" s="51"/>
      <c r="N64" s="52"/>
      <c r="O64" s="53"/>
      <c r="P64" s="50"/>
      <c r="Q64" s="66"/>
      <c r="R64" s="34"/>
      <c r="S64" s="34"/>
      <c r="T64" s="34"/>
      <c r="U64" s="35"/>
      <c r="V64" s="67"/>
      <c r="W64" s="35"/>
      <c r="X64" s="35"/>
      <c r="Y64" s="35"/>
      <c r="Z64" s="35"/>
      <c r="AA64" s="35"/>
      <c r="AC64" s="81"/>
      <c r="AD64" s="77"/>
      <c r="AE64" s="79"/>
      <c r="AF64" s="79"/>
      <c r="AG64" s="10"/>
      <c r="AH64" s="79"/>
      <c r="AI64" s="10"/>
      <c r="AL64" s="11"/>
      <c r="AM64" s="12"/>
    </row>
    <row r="65" s="1" customFormat="1" spans="1:39">
      <c r="A65" s="1">
        <v>20250027</v>
      </c>
      <c r="B65" s="31">
        <f t="shared" si="8"/>
        <v>54</v>
      </c>
      <c r="C65" s="1" t="s">
        <v>98</v>
      </c>
      <c r="D65" s="36">
        <v>34652</v>
      </c>
      <c r="E65" s="34">
        <v>45734</v>
      </c>
      <c r="F65" s="30">
        <v>8000000</v>
      </c>
      <c r="G65" s="30"/>
      <c r="H65" s="31"/>
      <c r="I65" s="9"/>
      <c r="J65" s="9"/>
      <c r="K65" s="9"/>
      <c r="L65" s="43"/>
      <c r="M65" s="51"/>
      <c r="N65" s="52"/>
      <c r="O65" s="53"/>
      <c r="P65" s="50"/>
      <c r="Q65" s="66"/>
      <c r="R65" s="34"/>
      <c r="S65" s="34"/>
      <c r="T65" s="34"/>
      <c r="U65" s="35"/>
      <c r="V65" s="69"/>
      <c r="W65" s="35"/>
      <c r="X65" s="35"/>
      <c r="Y65" s="35"/>
      <c r="Z65" s="35"/>
      <c r="AA65" s="35"/>
      <c r="AC65" s="81"/>
      <c r="AD65" s="77"/>
      <c r="AE65" s="79"/>
      <c r="AF65" s="79"/>
      <c r="AG65" s="10"/>
      <c r="AH65" s="79"/>
      <c r="AI65" s="10"/>
      <c r="AL65" s="11"/>
      <c r="AM65" s="12"/>
    </row>
    <row r="66" s="1" customFormat="1" spans="1:39">
      <c r="A66" s="1">
        <v>20250032</v>
      </c>
      <c r="B66" s="31">
        <f t="shared" si="8"/>
        <v>55</v>
      </c>
      <c r="C66" s="1" t="s">
        <v>99</v>
      </c>
      <c r="D66" s="36">
        <v>34677</v>
      </c>
      <c r="E66" s="34">
        <v>45761</v>
      </c>
      <c r="F66" s="30">
        <v>7500000</v>
      </c>
      <c r="G66" s="30"/>
      <c r="H66" s="31"/>
      <c r="I66" s="9"/>
      <c r="J66" s="9"/>
      <c r="K66" s="9"/>
      <c r="L66" s="43"/>
      <c r="M66" s="51"/>
      <c r="N66" s="52"/>
      <c r="O66" s="53"/>
      <c r="P66" s="50"/>
      <c r="Q66" s="66"/>
      <c r="R66" s="34"/>
      <c r="S66" s="34"/>
      <c r="T66" s="34"/>
      <c r="U66" s="35"/>
      <c r="V66" s="67"/>
      <c r="W66" s="35"/>
      <c r="X66" s="35"/>
      <c r="Y66" s="35"/>
      <c r="Z66" s="35"/>
      <c r="AA66" s="35"/>
      <c r="AC66" s="81"/>
      <c r="AD66" s="77"/>
      <c r="AE66" s="79"/>
      <c r="AF66" s="79"/>
      <c r="AG66" s="10"/>
      <c r="AH66" s="79"/>
      <c r="AI66" s="10"/>
      <c r="AL66" s="11"/>
      <c r="AM66" s="12"/>
    </row>
    <row r="67" s="1" customFormat="1" spans="1:39">
      <c r="A67" s="1">
        <v>20250033</v>
      </c>
      <c r="B67" s="31">
        <f t="shared" si="8"/>
        <v>56</v>
      </c>
      <c r="C67" s="1" t="s">
        <v>100</v>
      </c>
      <c r="D67" s="36">
        <v>34103</v>
      </c>
      <c r="E67" s="34">
        <v>45764</v>
      </c>
      <c r="F67" s="30">
        <v>11000000</v>
      </c>
      <c r="G67" s="30"/>
      <c r="H67" s="31"/>
      <c r="I67" s="9"/>
      <c r="J67" s="9"/>
      <c r="K67" s="9"/>
      <c r="L67" s="43"/>
      <c r="M67" s="51"/>
      <c r="N67" s="52"/>
      <c r="O67" s="53"/>
      <c r="P67" s="50"/>
      <c r="Q67" s="66"/>
      <c r="R67" s="34"/>
      <c r="S67" s="34"/>
      <c r="T67" s="34"/>
      <c r="U67" s="35"/>
      <c r="V67" s="67"/>
      <c r="W67" s="35"/>
      <c r="X67" s="35"/>
      <c r="Y67" s="35"/>
      <c r="Z67" s="35"/>
      <c r="AA67" s="35"/>
      <c r="AC67" s="81"/>
      <c r="AD67" s="77"/>
      <c r="AE67" s="79"/>
      <c r="AF67" s="79"/>
      <c r="AG67" s="10"/>
      <c r="AH67" s="79"/>
      <c r="AI67" s="10"/>
      <c r="AL67" s="11"/>
      <c r="AM67" s="12"/>
    </row>
    <row r="68" s="1" customFormat="1" spans="1:39">
      <c r="A68" s="1">
        <v>20250034</v>
      </c>
      <c r="B68" s="31">
        <f t="shared" si="8"/>
        <v>57</v>
      </c>
      <c r="C68" s="1" t="s">
        <v>101</v>
      </c>
      <c r="D68" s="36">
        <v>37643</v>
      </c>
      <c r="E68" s="34">
        <v>45776</v>
      </c>
      <c r="F68" s="30">
        <v>5069708</v>
      </c>
      <c r="G68" s="30"/>
      <c r="H68" s="31"/>
      <c r="I68" s="9"/>
      <c r="J68" s="9"/>
      <c r="K68" s="9"/>
      <c r="L68" s="43"/>
      <c r="M68" s="51"/>
      <c r="N68" s="52"/>
      <c r="O68" s="53"/>
      <c r="P68" s="50"/>
      <c r="Q68" s="66"/>
      <c r="R68" s="34"/>
      <c r="S68" s="34"/>
      <c r="T68" s="34"/>
      <c r="U68" s="35"/>
      <c r="V68" s="69"/>
      <c r="W68" s="35"/>
      <c r="X68" s="35"/>
      <c r="Y68" s="35"/>
      <c r="Z68" s="35"/>
      <c r="AA68" s="35"/>
      <c r="AC68" s="81"/>
      <c r="AD68" s="77"/>
      <c r="AE68" s="79"/>
      <c r="AF68" s="79"/>
      <c r="AG68" s="10"/>
      <c r="AH68" s="79"/>
      <c r="AI68" s="10"/>
      <c r="AL68" s="11"/>
      <c r="AM68" s="12"/>
    </row>
    <row r="69" s="1" customFormat="1" spans="1:39">
      <c r="A69" s="1">
        <v>20250035</v>
      </c>
      <c r="B69" s="31">
        <f t="shared" si="8"/>
        <v>58</v>
      </c>
      <c r="C69" s="1" t="s">
        <v>102</v>
      </c>
      <c r="D69" s="36">
        <v>36657</v>
      </c>
      <c r="E69" s="34">
        <v>45782</v>
      </c>
      <c r="F69" s="30">
        <v>5069708</v>
      </c>
      <c r="G69" s="30"/>
      <c r="H69" s="31"/>
      <c r="I69" s="9"/>
      <c r="J69" s="42"/>
      <c r="K69" s="9"/>
      <c r="L69" s="43"/>
      <c r="M69" s="51"/>
      <c r="N69" s="52"/>
      <c r="O69" s="53"/>
      <c r="P69" s="50"/>
      <c r="Q69" s="66"/>
      <c r="R69" s="34"/>
      <c r="S69" s="34"/>
      <c r="T69" s="34"/>
      <c r="U69" s="35"/>
      <c r="V69" s="69"/>
      <c r="W69" s="35"/>
      <c r="X69" s="35"/>
      <c r="Y69" s="35"/>
      <c r="Z69" s="35"/>
      <c r="AA69" s="35"/>
      <c r="AC69" s="81"/>
      <c r="AD69" s="77"/>
      <c r="AE69" s="79"/>
      <c r="AF69" s="79"/>
      <c r="AG69" s="10"/>
      <c r="AH69" s="79"/>
      <c r="AI69" s="10"/>
      <c r="AL69" s="11"/>
      <c r="AM69" s="12"/>
    </row>
    <row r="70" s="1" customFormat="1" spans="1:39">
      <c r="A70" s="1">
        <v>20250036</v>
      </c>
      <c r="B70" s="31">
        <f t="shared" si="8"/>
        <v>59</v>
      </c>
      <c r="C70" s="27" t="s">
        <v>103</v>
      </c>
      <c r="D70" s="36">
        <v>36629</v>
      </c>
      <c r="E70" s="61">
        <v>45796</v>
      </c>
      <c r="F70" s="30">
        <v>5069708</v>
      </c>
      <c r="G70" s="30"/>
      <c r="H70" s="31"/>
      <c r="I70" s="87"/>
      <c r="J70" s="42"/>
      <c r="K70" s="42"/>
      <c r="L70" s="43"/>
      <c r="M70" s="51"/>
      <c r="N70" s="52"/>
      <c r="O70" s="53"/>
      <c r="P70" s="50"/>
      <c r="Q70" s="66"/>
      <c r="R70" s="34"/>
      <c r="S70" s="34"/>
      <c r="T70" s="34"/>
      <c r="U70" s="35"/>
      <c r="V70" s="69"/>
      <c r="W70" s="35"/>
      <c r="X70" s="35"/>
      <c r="Y70" s="35"/>
      <c r="Z70" s="35"/>
      <c r="AA70" s="35"/>
      <c r="AC70" s="81"/>
      <c r="AD70" s="77"/>
      <c r="AE70" s="79"/>
      <c r="AF70" s="79"/>
      <c r="AG70" s="10"/>
      <c r="AH70" s="79"/>
      <c r="AI70" s="10"/>
      <c r="AL70" s="11"/>
      <c r="AM70" s="12"/>
    </row>
    <row r="71" s="1" customFormat="1" spans="1:39">
      <c r="A71" s="1">
        <v>20250040</v>
      </c>
      <c r="B71" s="31">
        <f t="shared" si="8"/>
        <v>60</v>
      </c>
      <c r="C71" s="27" t="s">
        <v>104</v>
      </c>
      <c r="D71" s="36">
        <v>37467</v>
      </c>
      <c r="E71" s="61">
        <v>45797</v>
      </c>
      <c r="F71" s="30">
        <v>5200000</v>
      </c>
      <c r="G71" s="30"/>
      <c r="H71" s="31"/>
      <c r="I71" s="87"/>
      <c r="J71" s="42"/>
      <c r="K71" s="42"/>
      <c r="L71" s="43"/>
      <c r="M71" s="51"/>
      <c r="N71" s="52"/>
      <c r="O71" s="53"/>
      <c r="P71" s="50"/>
      <c r="Q71" s="66"/>
      <c r="R71" s="34"/>
      <c r="S71" s="34"/>
      <c r="T71" s="34"/>
      <c r="U71" s="35"/>
      <c r="V71" s="67"/>
      <c r="W71" s="35"/>
      <c r="X71" s="35"/>
      <c r="Y71" s="35"/>
      <c r="Z71" s="35"/>
      <c r="AA71" s="35"/>
      <c r="AC71" s="81"/>
      <c r="AD71" s="77"/>
      <c r="AE71" s="79"/>
      <c r="AF71" s="79"/>
      <c r="AG71" s="10"/>
      <c r="AH71" s="79"/>
      <c r="AI71" s="10"/>
      <c r="AL71" s="11"/>
      <c r="AM71" s="12"/>
    </row>
    <row r="72" s="1" customFormat="1" spans="1:39">
      <c r="A72" s="1">
        <v>20250041</v>
      </c>
      <c r="B72" s="31">
        <f t="shared" si="8"/>
        <v>61</v>
      </c>
      <c r="C72" s="27" t="s">
        <v>105</v>
      </c>
      <c r="D72" s="36">
        <v>38929</v>
      </c>
      <c r="E72" s="61">
        <v>45797</v>
      </c>
      <c r="F72" s="30">
        <v>5200000</v>
      </c>
      <c r="G72" s="30"/>
      <c r="H72" s="31"/>
      <c r="I72" s="87"/>
      <c r="J72" s="42"/>
      <c r="K72" s="42"/>
      <c r="L72" s="43"/>
      <c r="M72" s="51"/>
      <c r="N72" s="52"/>
      <c r="O72" s="53"/>
      <c r="P72" s="50"/>
      <c r="Q72" s="66"/>
      <c r="R72" s="34"/>
      <c r="S72" s="34"/>
      <c r="T72" s="34"/>
      <c r="U72" s="35"/>
      <c r="V72" s="69"/>
      <c r="W72" s="35"/>
      <c r="X72" s="35"/>
      <c r="Y72" s="35"/>
      <c r="Z72" s="35"/>
      <c r="AA72" s="35"/>
      <c r="AC72" s="81"/>
      <c r="AD72" s="77"/>
      <c r="AE72" s="79"/>
      <c r="AF72" s="79"/>
      <c r="AG72" s="10"/>
      <c r="AH72" s="79"/>
      <c r="AI72" s="10"/>
      <c r="AL72" s="11"/>
      <c r="AM72" s="12"/>
    </row>
    <row r="73" s="1" customFormat="1" spans="1:39">
      <c r="A73" s="1">
        <v>20250042</v>
      </c>
      <c r="B73" s="31">
        <f t="shared" si="8"/>
        <v>62</v>
      </c>
      <c r="C73" s="27" t="s">
        <v>106</v>
      </c>
      <c r="D73" s="61">
        <v>36914</v>
      </c>
      <c r="E73" s="61">
        <v>45805</v>
      </c>
      <c r="F73" s="30">
        <v>5069708</v>
      </c>
      <c r="G73" s="30"/>
      <c r="H73" s="31"/>
      <c r="I73" s="87"/>
      <c r="J73" s="42"/>
      <c r="K73" s="42"/>
      <c r="L73" s="43"/>
      <c r="M73" s="51"/>
      <c r="N73" s="52"/>
      <c r="O73" s="53"/>
      <c r="P73" s="50"/>
      <c r="Q73" s="66"/>
      <c r="R73" s="34"/>
      <c r="S73" s="34"/>
      <c r="T73" s="34"/>
      <c r="U73" s="35"/>
      <c r="V73" s="69"/>
      <c r="W73" s="35"/>
      <c r="X73" s="35"/>
      <c r="Y73" s="35"/>
      <c r="Z73" s="35"/>
      <c r="AA73" s="35"/>
      <c r="AC73" s="81"/>
      <c r="AD73" s="77"/>
      <c r="AE73" s="79"/>
      <c r="AF73" s="79"/>
      <c r="AG73" s="10"/>
      <c r="AH73" s="79"/>
      <c r="AI73" s="10"/>
      <c r="AL73" s="11"/>
      <c r="AM73" s="12"/>
    </row>
    <row r="74" s="1" customFormat="1" spans="1:39">
      <c r="A74" s="1">
        <v>20250044</v>
      </c>
      <c r="B74" s="31">
        <f t="shared" si="8"/>
        <v>63</v>
      </c>
      <c r="C74" s="110" t="s">
        <v>107</v>
      </c>
      <c r="D74" s="61">
        <v>34007</v>
      </c>
      <c r="E74" s="61">
        <v>45828</v>
      </c>
      <c r="F74" s="30">
        <v>7000000</v>
      </c>
      <c r="G74" s="30"/>
      <c r="H74" s="31"/>
      <c r="I74" s="87"/>
      <c r="J74" s="42"/>
      <c r="K74" s="42"/>
      <c r="L74" s="43"/>
      <c r="M74" s="51"/>
      <c r="N74" s="52"/>
      <c r="O74" s="53"/>
      <c r="P74" s="50"/>
      <c r="R74" s="34"/>
      <c r="S74" s="34"/>
      <c r="T74" s="34"/>
      <c r="U74" s="35"/>
      <c r="V74" s="69"/>
      <c r="W74" s="35"/>
      <c r="X74" s="35"/>
      <c r="Y74" s="35"/>
      <c r="Z74" s="35"/>
      <c r="AA74" s="35"/>
      <c r="AC74" s="81"/>
      <c r="AD74" s="77"/>
      <c r="AE74" s="79"/>
      <c r="AF74" s="79"/>
      <c r="AG74" s="10"/>
      <c r="AH74" s="79"/>
      <c r="AI74" s="10"/>
      <c r="AL74" s="11"/>
      <c r="AM74" s="12"/>
    </row>
    <row r="75" s="1" customFormat="1" spans="1:39">
      <c r="A75" s="1">
        <v>20250046</v>
      </c>
      <c r="B75" s="31">
        <f t="shared" si="8"/>
        <v>64</v>
      </c>
      <c r="C75" s="27" t="s">
        <v>108</v>
      </c>
      <c r="D75" s="61">
        <v>37718</v>
      </c>
      <c r="E75" s="61">
        <v>45831</v>
      </c>
      <c r="F75" s="30">
        <v>5800000</v>
      </c>
      <c r="G75" s="30"/>
      <c r="H75" s="31"/>
      <c r="I75" s="87"/>
      <c r="J75" s="42"/>
      <c r="K75" s="42"/>
      <c r="L75" s="43"/>
      <c r="M75" s="51"/>
      <c r="N75" s="52"/>
      <c r="O75" s="53"/>
      <c r="P75" s="50"/>
      <c r="R75" s="34"/>
      <c r="S75" s="34"/>
      <c r="T75" s="34"/>
      <c r="U75" s="35"/>
      <c r="V75" s="69"/>
      <c r="W75" s="35"/>
      <c r="X75" s="35"/>
      <c r="Y75" s="35"/>
      <c r="Z75" s="35"/>
      <c r="AA75" s="35"/>
      <c r="AC75" s="81"/>
      <c r="AD75" s="77"/>
      <c r="AE75" s="79"/>
      <c r="AF75" s="79"/>
      <c r="AG75" s="10"/>
      <c r="AH75" s="79"/>
      <c r="AI75" s="10"/>
      <c r="AL75" s="11"/>
      <c r="AM75" s="12"/>
    </row>
    <row r="76" s="1" customFormat="1" spans="1:39">
      <c r="A76" s="1">
        <v>20250049</v>
      </c>
      <c r="B76" s="31">
        <f t="shared" si="8"/>
        <v>65</v>
      </c>
      <c r="C76" s="27" t="s">
        <v>109</v>
      </c>
      <c r="D76" s="61">
        <v>35150</v>
      </c>
      <c r="E76" s="61">
        <v>45870</v>
      </c>
      <c r="F76" s="30">
        <v>7000000</v>
      </c>
      <c r="G76" s="30"/>
      <c r="H76" s="31"/>
      <c r="I76" s="87"/>
      <c r="J76" s="42"/>
      <c r="K76" s="42"/>
      <c r="L76" s="43"/>
      <c r="M76" s="51"/>
      <c r="N76" s="52"/>
      <c r="O76" s="53"/>
      <c r="P76" s="50"/>
      <c r="R76" s="34"/>
      <c r="S76" s="34"/>
      <c r="T76" s="34"/>
      <c r="U76" s="35"/>
      <c r="V76" s="69"/>
      <c r="W76" s="35"/>
      <c r="X76" s="35"/>
      <c r="Y76" s="35"/>
      <c r="Z76" s="35"/>
      <c r="AA76" s="35"/>
      <c r="AC76" s="81"/>
      <c r="AD76" s="77"/>
      <c r="AE76" s="79"/>
      <c r="AF76" s="79"/>
      <c r="AG76" s="10"/>
      <c r="AH76" s="79"/>
      <c r="AI76" s="10"/>
      <c r="AL76" s="11"/>
      <c r="AM76" s="12"/>
    </row>
    <row r="77" s="1" customFormat="1" spans="1:39">
      <c r="A77" s="1">
        <v>20250050</v>
      </c>
      <c r="B77" s="31">
        <f t="shared" ref="B77:B98" si="10">B76+1</f>
        <v>66</v>
      </c>
      <c r="C77" s="27" t="s">
        <v>110</v>
      </c>
      <c r="D77" s="61">
        <v>32662</v>
      </c>
      <c r="E77" s="61">
        <v>45870</v>
      </c>
      <c r="F77" s="30">
        <v>5200000</v>
      </c>
      <c r="G77" s="30"/>
      <c r="H77" s="31"/>
      <c r="I77" s="87"/>
      <c r="J77" s="42"/>
      <c r="K77" s="42"/>
      <c r="L77" s="43"/>
      <c r="M77" s="51"/>
      <c r="N77" s="52"/>
      <c r="O77" s="53"/>
      <c r="P77" s="50"/>
      <c r="R77" s="34"/>
      <c r="S77" s="34"/>
      <c r="T77" s="34"/>
      <c r="U77" s="35"/>
      <c r="V77" s="69"/>
      <c r="W77" s="35"/>
      <c r="X77" s="35"/>
      <c r="Y77" s="35"/>
      <c r="Z77" s="35"/>
      <c r="AA77" s="35"/>
      <c r="AC77" s="81"/>
      <c r="AD77" s="77"/>
      <c r="AE77" s="79"/>
      <c r="AF77" s="79"/>
      <c r="AG77" s="10"/>
      <c r="AH77" s="79"/>
      <c r="AI77" s="10"/>
      <c r="AL77" s="11"/>
      <c r="AM77" s="12"/>
    </row>
    <row r="78" s="1" customFormat="1" spans="1:39">
      <c r="A78" s="1">
        <v>20250053</v>
      </c>
      <c r="B78" s="31">
        <f t="shared" si="10"/>
        <v>67</v>
      </c>
      <c r="C78" s="27" t="s">
        <v>111</v>
      </c>
      <c r="D78" s="61">
        <v>36373</v>
      </c>
      <c r="E78" s="61">
        <v>45870</v>
      </c>
      <c r="F78" s="30">
        <v>5069708</v>
      </c>
      <c r="G78" s="30"/>
      <c r="H78" s="31"/>
      <c r="I78" s="87"/>
      <c r="J78" s="42"/>
      <c r="K78" s="42"/>
      <c r="L78" s="43"/>
      <c r="M78" s="51"/>
      <c r="N78" s="52"/>
      <c r="O78" s="53"/>
      <c r="P78" s="50"/>
      <c r="R78" s="34"/>
      <c r="S78" s="34"/>
      <c r="T78" s="34"/>
      <c r="U78" s="35"/>
      <c r="V78" s="69"/>
      <c r="W78" s="35"/>
      <c r="X78" s="35"/>
      <c r="Y78" s="35"/>
      <c r="Z78" s="35"/>
      <c r="AA78" s="35"/>
      <c r="AC78" s="81"/>
      <c r="AD78" s="77"/>
      <c r="AE78" s="79"/>
      <c r="AF78" s="79"/>
      <c r="AG78" s="10"/>
      <c r="AH78" s="79"/>
      <c r="AI78" s="10"/>
      <c r="AL78" s="11"/>
      <c r="AM78" s="12"/>
    </row>
    <row r="79" s="1" customFormat="1" spans="1:39">
      <c r="A79" s="1">
        <v>20250054</v>
      </c>
      <c r="B79" s="31">
        <f t="shared" si="10"/>
        <v>68</v>
      </c>
      <c r="C79" s="27" t="s">
        <v>112</v>
      </c>
      <c r="D79" s="61">
        <v>37252</v>
      </c>
      <c r="E79" s="61">
        <v>45870</v>
      </c>
      <c r="F79" s="30">
        <v>5069708</v>
      </c>
      <c r="G79" s="30"/>
      <c r="H79" s="31"/>
      <c r="I79" s="87"/>
      <c r="J79" s="42"/>
      <c r="K79" s="42"/>
      <c r="L79" s="43"/>
      <c r="M79" s="51"/>
      <c r="N79" s="52"/>
      <c r="O79" s="53"/>
      <c r="P79" s="50"/>
      <c r="R79" s="34"/>
      <c r="S79" s="34"/>
      <c r="T79" s="34"/>
      <c r="U79" s="35"/>
      <c r="V79" s="69"/>
      <c r="W79" s="35"/>
      <c r="X79" s="35"/>
      <c r="Y79" s="35"/>
      <c r="Z79" s="35"/>
      <c r="AA79" s="35"/>
      <c r="AC79" s="81"/>
      <c r="AD79" s="77"/>
      <c r="AE79" s="79"/>
      <c r="AF79" s="79"/>
      <c r="AG79" s="10"/>
      <c r="AH79" s="79"/>
      <c r="AI79" s="10"/>
      <c r="AL79" s="11"/>
      <c r="AM79" s="12"/>
    </row>
    <row r="80" s="1" customFormat="1" spans="1:39">
      <c r="A80" s="1">
        <v>20250055</v>
      </c>
      <c r="B80" s="31">
        <f t="shared" si="10"/>
        <v>69</v>
      </c>
      <c r="C80" s="27" t="s">
        <v>113</v>
      </c>
      <c r="D80" s="61">
        <v>38922</v>
      </c>
      <c r="E80" s="61">
        <v>45870</v>
      </c>
      <c r="F80" s="30">
        <v>5069708</v>
      </c>
      <c r="G80" s="30"/>
      <c r="H80" s="31"/>
      <c r="I80" s="88"/>
      <c r="J80" s="88"/>
      <c r="K80" s="88"/>
      <c r="L80" s="89"/>
      <c r="M80" s="51"/>
      <c r="N80" s="52"/>
      <c r="O80" s="53"/>
      <c r="P80" s="50"/>
      <c r="R80" s="34"/>
      <c r="S80" s="34"/>
      <c r="T80" s="34"/>
      <c r="U80" s="35"/>
      <c r="V80" s="69"/>
      <c r="W80" s="35"/>
      <c r="X80" s="35"/>
      <c r="Y80" s="35"/>
      <c r="Z80" s="35"/>
      <c r="AA80" s="35"/>
      <c r="AC80" s="81"/>
      <c r="AD80" s="77"/>
      <c r="AE80" s="79"/>
      <c r="AF80" s="79"/>
      <c r="AG80" s="10"/>
      <c r="AH80" s="79"/>
      <c r="AI80" s="10"/>
      <c r="AL80" s="11"/>
      <c r="AM80" s="12"/>
    </row>
    <row r="81" s="1" customFormat="1" spans="1:39">
      <c r="A81" s="1">
        <v>20250056</v>
      </c>
      <c r="B81" s="31">
        <f t="shared" si="10"/>
        <v>70</v>
      </c>
      <c r="C81" s="110" t="s">
        <v>114</v>
      </c>
      <c r="D81" s="61">
        <v>35291</v>
      </c>
      <c r="E81" s="61">
        <v>45870</v>
      </c>
      <c r="F81" s="30">
        <v>5069708</v>
      </c>
      <c r="G81" s="30"/>
      <c r="H81" s="31"/>
      <c r="I81" s="88"/>
      <c r="J81" s="88"/>
      <c r="K81" s="88"/>
      <c r="L81" s="89"/>
      <c r="M81" s="51"/>
      <c r="N81" s="52"/>
      <c r="O81" s="53"/>
      <c r="P81" s="50"/>
      <c r="R81" s="34"/>
      <c r="S81" s="34"/>
      <c r="T81" s="34"/>
      <c r="U81" s="35"/>
      <c r="V81" s="69"/>
      <c r="W81" s="35"/>
      <c r="X81" s="35"/>
      <c r="Y81" s="35"/>
      <c r="Z81" s="35"/>
      <c r="AA81" s="35"/>
      <c r="AC81" s="81"/>
      <c r="AD81" s="77"/>
      <c r="AE81" s="79"/>
      <c r="AF81" s="79"/>
      <c r="AG81" s="10"/>
      <c r="AH81" s="79"/>
      <c r="AI81" s="10"/>
      <c r="AL81" s="11"/>
      <c r="AM81" s="12"/>
    </row>
    <row r="82" s="1" customFormat="1" spans="1:39">
      <c r="A82" s="1">
        <v>20250057</v>
      </c>
      <c r="B82" s="31">
        <f t="shared" si="10"/>
        <v>71</v>
      </c>
      <c r="C82" s="110" t="s">
        <v>115</v>
      </c>
      <c r="D82" s="61">
        <v>37621</v>
      </c>
      <c r="E82" s="61">
        <v>45870</v>
      </c>
      <c r="F82" s="30">
        <v>5069708</v>
      </c>
      <c r="G82" s="30"/>
      <c r="H82" s="31"/>
      <c r="I82" s="88"/>
      <c r="J82" s="88"/>
      <c r="K82" s="88"/>
      <c r="L82" s="89"/>
      <c r="M82" s="51"/>
      <c r="N82" s="52"/>
      <c r="O82" s="53"/>
      <c r="P82" s="50"/>
      <c r="R82" s="34"/>
      <c r="S82" s="34"/>
      <c r="T82" s="34"/>
      <c r="U82" s="35"/>
      <c r="V82" s="69"/>
      <c r="W82" s="35"/>
      <c r="X82" s="35"/>
      <c r="Y82" s="35"/>
      <c r="Z82" s="35"/>
      <c r="AA82" s="35"/>
      <c r="AC82" s="81"/>
      <c r="AD82" s="77"/>
      <c r="AE82" s="79"/>
      <c r="AF82" s="79"/>
      <c r="AG82" s="10"/>
      <c r="AH82" s="79"/>
      <c r="AI82" s="10"/>
      <c r="AL82" s="11"/>
      <c r="AM82" s="12"/>
    </row>
    <row r="83" s="1" customFormat="1" spans="1:39">
      <c r="A83" s="1">
        <v>20250058</v>
      </c>
      <c r="B83" s="31">
        <f t="shared" si="10"/>
        <v>72</v>
      </c>
      <c r="C83" s="27" t="s">
        <v>116</v>
      </c>
      <c r="D83" s="61">
        <v>36127</v>
      </c>
      <c r="E83" s="61">
        <v>45870</v>
      </c>
      <c r="F83" s="30">
        <v>5069708</v>
      </c>
      <c r="G83" s="30"/>
      <c r="H83" s="31"/>
      <c r="I83" s="88"/>
      <c r="J83" s="88"/>
      <c r="K83" s="88"/>
      <c r="L83" s="89"/>
      <c r="M83" s="51"/>
      <c r="N83" s="52"/>
      <c r="O83" s="53"/>
      <c r="P83" s="50"/>
      <c r="R83" s="34"/>
      <c r="S83" s="34"/>
      <c r="T83" s="34"/>
      <c r="U83" s="35"/>
      <c r="V83" s="69"/>
      <c r="W83" s="35"/>
      <c r="X83" s="35"/>
      <c r="Y83" s="35"/>
      <c r="Z83" s="35"/>
      <c r="AA83" s="35"/>
      <c r="AC83" s="81"/>
      <c r="AD83" s="77"/>
      <c r="AE83" s="79"/>
      <c r="AF83" s="79"/>
      <c r="AG83" s="10"/>
      <c r="AH83" s="79"/>
      <c r="AI83" s="10"/>
      <c r="AL83" s="11"/>
      <c r="AM83" s="12"/>
    </row>
    <row r="84" s="1" customFormat="1" spans="1:39">
      <c r="A84" s="1">
        <v>20250059</v>
      </c>
      <c r="B84" s="31">
        <f t="shared" si="10"/>
        <v>73</v>
      </c>
      <c r="C84" s="27" t="s">
        <v>117</v>
      </c>
      <c r="D84" s="61">
        <v>37067</v>
      </c>
      <c r="E84" s="61">
        <v>45870</v>
      </c>
      <c r="F84" s="30">
        <v>5069708</v>
      </c>
      <c r="G84" s="30"/>
      <c r="H84" s="31"/>
      <c r="I84" s="88"/>
      <c r="J84" s="88"/>
      <c r="K84" s="88"/>
      <c r="L84" s="89"/>
      <c r="M84" s="51"/>
      <c r="N84" s="52"/>
      <c r="O84" s="53"/>
      <c r="P84" s="50"/>
      <c r="R84" s="34"/>
      <c r="S84" s="34"/>
      <c r="T84" s="34"/>
      <c r="U84" s="35"/>
      <c r="V84" s="67"/>
      <c r="W84" s="35"/>
      <c r="X84" s="35"/>
      <c r="Y84" s="35"/>
      <c r="Z84" s="35"/>
      <c r="AA84" s="35"/>
      <c r="AC84" s="81"/>
      <c r="AD84" s="77"/>
      <c r="AE84" s="79"/>
      <c r="AF84" s="79"/>
      <c r="AG84" s="10"/>
      <c r="AH84" s="79"/>
      <c r="AI84" s="10"/>
      <c r="AL84" s="11"/>
      <c r="AM84" s="12"/>
    </row>
    <row r="85" s="1" customFormat="1" spans="1:39">
      <c r="A85" s="1">
        <v>20250060</v>
      </c>
      <c r="B85" s="31">
        <f t="shared" si="10"/>
        <v>74</v>
      </c>
      <c r="C85" s="27" t="s">
        <v>118</v>
      </c>
      <c r="D85" s="61">
        <v>34221</v>
      </c>
      <c r="E85" s="61">
        <v>45870</v>
      </c>
      <c r="F85" s="30">
        <v>5069708</v>
      </c>
      <c r="G85" s="30"/>
      <c r="H85" s="31"/>
      <c r="I85" s="88"/>
      <c r="J85" s="88"/>
      <c r="K85" s="88"/>
      <c r="L85" s="89"/>
      <c r="M85" s="51"/>
      <c r="N85" s="52"/>
      <c r="O85" s="53"/>
      <c r="P85" s="50"/>
      <c r="R85" s="34"/>
      <c r="S85" s="34"/>
      <c r="T85" s="34"/>
      <c r="U85" s="35"/>
      <c r="V85" s="67"/>
      <c r="W85" s="35"/>
      <c r="X85" s="35"/>
      <c r="Y85" s="35"/>
      <c r="Z85" s="35"/>
      <c r="AA85" s="35"/>
      <c r="AC85" s="81"/>
      <c r="AD85" s="77"/>
      <c r="AE85" s="79"/>
      <c r="AF85" s="79"/>
      <c r="AG85" s="10"/>
      <c r="AH85" s="79"/>
      <c r="AI85" s="10"/>
      <c r="AL85" s="11"/>
      <c r="AM85" s="12"/>
    </row>
    <row r="86" s="1" customFormat="1" spans="1:39">
      <c r="A86" s="1">
        <v>20250061</v>
      </c>
      <c r="B86" s="31">
        <f t="shared" si="10"/>
        <v>75</v>
      </c>
      <c r="C86" s="27" t="s">
        <v>119</v>
      </c>
      <c r="D86" s="61">
        <v>37592</v>
      </c>
      <c r="E86" s="61">
        <v>45870</v>
      </c>
      <c r="F86" s="30">
        <v>5069708</v>
      </c>
      <c r="G86" s="30"/>
      <c r="H86" s="31"/>
      <c r="I86" s="88"/>
      <c r="J86" s="88"/>
      <c r="K86" s="88"/>
      <c r="L86" s="89"/>
      <c r="M86" s="51"/>
      <c r="N86" s="52"/>
      <c r="O86" s="53"/>
      <c r="P86" s="50"/>
      <c r="R86" s="34"/>
      <c r="S86" s="34"/>
      <c r="T86" s="34"/>
      <c r="U86" s="35"/>
      <c r="V86" s="69"/>
      <c r="W86" s="35"/>
      <c r="X86" s="35"/>
      <c r="Y86" s="35"/>
      <c r="Z86" s="35"/>
      <c r="AA86" s="35"/>
      <c r="AC86" s="81"/>
      <c r="AD86" s="77"/>
      <c r="AE86" s="79"/>
      <c r="AF86" s="79"/>
      <c r="AG86" s="10"/>
      <c r="AH86" s="79"/>
      <c r="AI86" s="10"/>
      <c r="AL86" s="11"/>
      <c r="AM86" s="12"/>
    </row>
    <row r="87" s="1" customFormat="1" spans="1:39">
      <c r="A87" s="1">
        <v>20250065</v>
      </c>
      <c r="B87" s="31">
        <f t="shared" si="10"/>
        <v>76</v>
      </c>
      <c r="C87" s="27" t="s">
        <v>120</v>
      </c>
      <c r="D87" s="61">
        <v>33535</v>
      </c>
      <c r="E87" s="61">
        <v>45880</v>
      </c>
      <c r="F87" s="30">
        <v>6800000</v>
      </c>
      <c r="G87" s="30"/>
      <c r="H87" s="31"/>
      <c r="I87" s="88"/>
      <c r="J87" s="88"/>
      <c r="K87" s="88"/>
      <c r="L87" s="89"/>
      <c r="M87" s="51"/>
      <c r="N87" s="52"/>
      <c r="O87" s="53"/>
      <c r="P87" s="50"/>
      <c r="R87" s="34"/>
      <c r="S87" s="34"/>
      <c r="T87" s="34"/>
      <c r="U87" s="35"/>
      <c r="V87" s="69"/>
      <c r="W87" s="35"/>
      <c r="X87" s="35"/>
      <c r="Y87" s="35"/>
      <c r="Z87" s="35"/>
      <c r="AA87" s="35"/>
      <c r="AC87" s="81"/>
      <c r="AD87" s="77"/>
      <c r="AE87" s="79"/>
      <c r="AF87" s="79"/>
      <c r="AG87" s="10"/>
      <c r="AH87" s="79"/>
      <c r="AI87" s="10"/>
      <c r="AL87" s="11"/>
      <c r="AM87" s="12"/>
    </row>
    <row r="88" s="1" customFormat="1" spans="1:39">
      <c r="A88" s="1">
        <v>20250067</v>
      </c>
      <c r="B88" s="31">
        <f t="shared" si="10"/>
        <v>77</v>
      </c>
      <c r="C88" s="27" t="s">
        <v>121</v>
      </c>
      <c r="D88" s="61">
        <v>36535</v>
      </c>
      <c r="E88" s="61">
        <v>45916</v>
      </c>
      <c r="F88" s="30">
        <v>6500000</v>
      </c>
      <c r="G88" s="30"/>
      <c r="H88" s="31"/>
      <c r="I88" s="88"/>
      <c r="J88" s="88"/>
      <c r="K88" s="88"/>
      <c r="L88" s="89"/>
      <c r="M88" s="51"/>
      <c r="N88" s="52"/>
      <c r="O88" s="53"/>
      <c r="P88" s="50"/>
      <c r="R88" s="34"/>
      <c r="S88" s="34"/>
      <c r="T88" s="34"/>
      <c r="U88" s="35"/>
      <c r="V88" s="69"/>
      <c r="W88" s="35"/>
      <c r="X88" s="35"/>
      <c r="Y88" s="35"/>
      <c r="Z88" s="35"/>
      <c r="AA88" s="35"/>
      <c r="AC88" s="81"/>
      <c r="AD88" s="77"/>
      <c r="AE88" s="79"/>
      <c r="AF88" s="79"/>
      <c r="AG88" s="10"/>
      <c r="AH88" s="79"/>
      <c r="AI88" s="10"/>
      <c r="AL88" s="11"/>
      <c r="AM88" s="12"/>
    </row>
    <row r="89" s="1" customFormat="1" spans="1:39">
      <c r="A89" s="1">
        <v>20250068</v>
      </c>
      <c r="B89" s="31">
        <f t="shared" si="10"/>
        <v>78</v>
      </c>
      <c r="C89" s="27" t="s">
        <v>122</v>
      </c>
      <c r="D89" s="61">
        <v>37883</v>
      </c>
      <c r="E89" s="61">
        <v>45916</v>
      </c>
      <c r="F89" s="30">
        <v>6000000</v>
      </c>
      <c r="G89" s="30"/>
      <c r="H89" s="31"/>
      <c r="I89" s="88"/>
      <c r="J89" s="88"/>
      <c r="K89" s="88"/>
      <c r="L89" s="89"/>
      <c r="M89" s="51"/>
      <c r="N89" s="52"/>
      <c r="O89" s="53"/>
      <c r="P89" s="50"/>
      <c r="R89" s="34"/>
      <c r="S89" s="34"/>
      <c r="T89" s="34"/>
      <c r="U89" s="35"/>
      <c r="V89" s="69"/>
      <c r="W89" s="35"/>
      <c r="X89" s="35"/>
      <c r="Y89" s="35"/>
      <c r="Z89" s="35"/>
      <c r="AA89" s="35"/>
      <c r="AC89" s="81"/>
      <c r="AD89" s="77"/>
      <c r="AE89" s="79"/>
      <c r="AF89" s="79"/>
      <c r="AG89" s="10"/>
      <c r="AH89" s="79"/>
      <c r="AI89" s="10"/>
      <c r="AL89" s="11"/>
      <c r="AM89" s="12"/>
    </row>
    <row r="90" s="1" customFormat="1" spans="1:39">
      <c r="A90" s="1">
        <v>20250070</v>
      </c>
      <c r="B90" s="31">
        <f t="shared" si="10"/>
        <v>79</v>
      </c>
      <c r="C90" s="27" t="s">
        <v>123</v>
      </c>
      <c r="D90" s="61">
        <v>30091</v>
      </c>
      <c r="E90" s="61">
        <v>45931</v>
      </c>
      <c r="F90" s="30">
        <v>10500000</v>
      </c>
      <c r="G90" s="30"/>
      <c r="H90" s="31"/>
      <c r="I90" s="88"/>
      <c r="J90" s="88"/>
      <c r="K90" s="88"/>
      <c r="L90" s="89"/>
      <c r="M90" s="51"/>
      <c r="N90" s="52"/>
      <c r="O90" s="53"/>
      <c r="P90" s="50"/>
      <c r="R90" s="34"/>
      <c r="S90" s="34"/>
      <c r="T90" s="34"/>
      <c r="U90" s="35"/>
      <c r="V90" s="69"/>
      <c r="W90" s="35"/>
      <c r="X90" s="35"/>
      <c r="Y90" s="35"/>
      <c r="Z90" s="35"/>
      <c r="AA90" s="35"/>
      <c r="AC90" s="81"/>
      <c r="AD90" s="77"/>
      <c r="AE90" s="79"/>
      <c r="AF90" s="79"/>
      <c r="AG90" s="10"/>
      <c r="AH90" s="79"/>
      <c r="AI90" s="10"/>
      <c r="AL90" s="11"/>
      <c r="AM90" s="12"/>
    </row>
    <row r="91" s="1" customFormat="1" spans="1:39">
      <c r="A91" s="1">
        <v>20250072</v>
      </c>
      <c r="B91" s="31">
        <f t="shared" si="10"/>
        <v>80</v>
      </c>
      <c r="C91" s="27" t="s">
        <v>124</v>
      </c>
      <c r="D91" s="61">
        <v>33939</v>
      </c>
      <c r="E91" s="61">
        <v>45931</v>
      </c>
      <c r="F91" s="30">
        <v>11000000</v>
      </c>
      <c r="G91" s="30"/>
      <c r="H91" s="31"/>
      <c r="I91" s="88"/>
      <c r="J91" s="88"/>
      <c r="K91" s="88"/>
      <c r="L91" s="89"/>
      <c r="M91" s="51"/>
      <c r="N91" s="52"/>
      <c r="O91" s="53"/>
      <c r="P91" s="50"/>
      <c r="R91" s="34"/>
      <c r="S91" s="34"/>
      <c r="T91" s="34"/>
      <c r="U91" s="35"/>
      <c r="V91" s="67"/>
      <c r="W91" s="35"/>
      <c r="X91" s="35"/>
      <c r="Y91" s="35"/>
      <c r="Z91" s="35"/>
      <c r="AA91" s="35"/>
      <c r="AC91" s="81"/>
      <c r="AD91" s="77"/>
      <c r="AE91" s="79"/>
      <c r="AF91" s="79"/>
      <c r="AG91" s="10"/>
      <c r="AH91" s="79"/>
      <c r="AI91" s="10"/>
      <c r="AL91" s="11"/>
      <c r="AM91" s="12"/>
    </row>
    <row r="92" s="1" customFormat="1" spans="1:39">
      <c r="A92" s="1">
        <v>20250073</v>
      </c>
      <c r="B92" s="31">
        <f t="shared" si="10"/>
        <v>81</v>
      </c>
      <c r="C92" s="27" t="s">
        <v>125</v>
      </c>
      <c r="D92" s="61">
        <v>38103</v>
      </c>
      <c r="E92" s="61">
        <v>45943</v>
      </c>
      <c r="F92" s="30">
        <v>6000000</v>
      </c>
      <c r="G92" s="30"/>
      <c r="H92" s="31"/>
      <c r="I92" s="88"/>
      <c r="J92" s="88"/>
      <c r="K92" s="88"/>
      <c r="L92" s="89"/>
      <c r="M92" s="51"/>
      <c r="N92" s="52"/>
      <c r="O92" s="53"/>
      <c r="P92" s="50"/>
      <c r="R92" s="34"/>
      <c r="S92" s="34"/>
      <c r="T92" s="34"/>
      <c r="U92" s="35"/>
      <c r="V92" s="69"/>
      <c r="W92" s="35"/>
      <c r="X92" s="35"/>
      <c r="Y92" s="35"/>
      <c r="Z92" s="35"/>
      <c r="AA92" s="35"/>
      <c r="AC92" s="81"/>
      <c r="AD92" s="77"/>
      <c r="AE92" s="79"/>
      <c r="AF92" s="79"/>
      <c r="AG92" s="10"/>
      <c r="AH92" s="79"/>
      <c r="AI92" s="10"/>
      <c r="AL92" s="11"/>
      <c r="AM92" s="12"/>
    </row>
    <row r="93" s="1" customFormat="1" spans="1:39">
      <c r="A93" s="1">
        <v>20250075</v>
      </c>
      <c r="B93" s="31">
        <f t="shared" si="10"/>
        <v>82</v>
      </c>
      <c r="C93" s="27" t="s">
        <v>126</v>
      </c>
      <c r="D93" s="61">
        <v>36404</v>
      </c>
      <c r="E93" s="61">
        <v>45954</v>
      </c>
      <c r="F93" s="30">
        <v>7000000</v>
      </c>
      <c r="G93" s="30"/>
      <c r="H93" s="31"/>
      <c r="I93" s="88"/>
      <c r="J93" s="88"/>
      <c r="K93" s="88"/>
      <c r="L93" s="89"/>
      <c r="M93" s="51"/>
      <c r="N93" s="52"/>
      <c r="O93" s="53"/>
      <c r="P93" s="50"/>
      <c r="R93" s="34"/>
      <c r="S93" s="34"/>
      <c r="T93" s="34"/>
      <c r="U93" s="35"/>
      <c r="V93" s="69"/>
      <c r="W93" s="35"/>
      <c r="X93" s="35"/>
      <c r="Y93" s="35"/>
      <c r="Z93" s="35"/>
      <c r="AA93" s="35"/>
      <c r="AC93" s="81"/>
      <c r="AD93" s="77"/>
      <c r="AE93" s="79"/>
      <c r="AF93" s="79"/>
      <c r="AG93" s="10"/>
      <c r="AH93" s="79"/>
      <c r="AI93" s="10"/>
      <c r="AL93" s="11"/>
      <c r="AM93" s="12"/>
    </row>
    <row r="94" s="1" customFormat="1" spans="1:39">
      <c r="A94" s="1">
        <v>20250077</v>
      </c>
      <c r="B94" s="31">
        <f t="shared" si="10"/>
        <v>83</v>
      </c>
      <c r="C94" s="27" t="s">
        <v>127</v>
      </c>
      <c r="D94" s="61">
        <v>36919</v>
      </c>
      <c r="E94" s="61">
        <v>45966</v>
      </c>
      <c r="F94" s="30">
        <v>6500000</v>
      </c>
      <c r="G94" s="30"/>
      <c r="H94" s="31"/>
      <c r="I94" s="88"/>
      <c r="J94" s="88"/>
      <c r="K94" s="88"/>
      <c r="L94" s="89"/>
      <c r="M94" s="51"/>
      <c r="N94" s="52"/>
      <c r="O94" s="53"/>
      <c r="P94" s="50"/>
      <c r="R94" s="34"/>
      <c r="S94" s="34"/>
      <c r="T94" s="34"/>
      <c r="U94" s="35"/>
      <c r="V94" s="69"/>
      <c r="W94" s="35"/>
      <c r="X94" s="35"/>
      <c r="Y94" s="35"/>
      <c r="Z94" s="35"/>
      <c r="AA94" s="35"/>
      <c r="AC94" s="81"/>
      <c r="AD94" s="77"/>
      <c r="AE94" s="79"/>
      <c r="AF94" s="79"/>
      <c r="AG94" s="10"/>
      <c r="AH94" s="79"/>
      <c r="AI94" s="10"/>
      <c r="AL94" s="11"/>
      <c r="AM94" s="12"/>
    </row>
    <row r="95" s="1" customFormat="1" spans="1:39">
      <c r="A95" s="1">
        <v>20250081</v>
      </c>
      <c r="B95" s="31">
        <f t="shared" si="10"/>
        <v>84</v>
      </c>
      <c r="C95" s="27" t="s">
        <v>128</v>
      </c>
      <c r="D95" s="61">
        <v>37408</v>
      </c>
      <c r="E95" s="61">
        <v>46000</v>
      </c>
      <c r="F95" s="30">
        <v>5100000</v>
      </c>
      <c r="G95" s="30"/>
      <c r="H95" s="31"/>
      <c r="I95" s="88"/>
      <c r="J95" s="88"/>
      <c r="K95" s="88"/>
      <c r="L95" s="89"/>
      <c r="M95" s="51"/>
      <c r="N95" s="52"/>
      <c r="O95" s="53"/>
      <c r="P95" s="50"/>
      <c r="R95" s="34"/>
      <c r="S95" s="34"/>
      <c r="T95" s="34"/>
      <c r="U95" s="35"/>
      <c r="V95" s="67"/>
      <c r="W95" s="35"/>
      <c r="X95" s="35"/>
      <c r="Y95" s="35"/>
      <c r="Z95" s="35"/>
      <c r="AA95" s="35"/>
      <c r="AC95" s="81"/>
      <c r="AD95" s="77"/>
      <c r="AE95" s="79"/>
      <c r="AF95" s="79"/>
      <c r="AG95" s="10"/>
      <c r="AH95" s="79"/>
      <c r="AI95" s="10"/>
      <c r="AL95" s="11"/>
      <c r="AM95" s="12"/>
    </row>
    <row r="96" s="1" customFormat="1" spans="1:39">
      <c r="A96" s="1">
        <v>20250082</v>
      </c>
      <c r="B96" s="31">
        <f t="shared" si="10"/>
        <v>85</v>
      </c>
      <c r="C96" s="27" t="s">
        <v>129</v>
      </c>
      <c r="D96" s="61">
        <v>37074</v>
      </c>
      <c r="E96" s="61">
        <v>46000</v>
      </c>
      <c r="F96" s="30">
        <v>5500000</v>
      </c>
      <c r="G96" s="30"/>
      <c r="H96" s="31"/>
      <c r="I96" s="88"/>
      <c r="J96" s="88"/>
      <c r="K96" s="88"/>
      <c r="L96" s="89"/>
      <c r="M96" s="51"/>
      <c r="N96" s="52"/>
      <c r="O96" s="53"/>
      <c r="P96" s="50"/>
      <c r="R96" s="34"/>
      <c r="S96" s="34"/>
      <c r="T96" s="34"/>
      <c r="U96" s="35"/>
      <c r="V96" s="92"/>
      <c r="W96" s="35"/>
      <c r="X96" s="35"/>
      <c r="Y96" s="35"/>
      <c r="Z96" s="35"/>
      <c r="AA96" s="35"/>
      <c r="AC96" s="81"/>
      <c r="AD96" s="77"/>
      <c r="AE96" s="79"/>
      <c r="AF96" s="79"/>
      <c r="AG96" s="10"/>
      <c r="AH96" s="79"/>
      <c r="AI96" s="10"/>
      <c r="AL96" s="11"/>
      <c r="AM96" s="12"/>
    </row>
    <row r="97" s="1" customFormat="1" spans="1:39">
      <c r="A97" s="1">
        <v>20250085</v>
      </c>
      <c r="B97" s="31">
        <f t="shared" si="10"/>
        <v>86</v>
      </c>
      <c r="C97" s="27" t="s">
        <v>130</v>
      </c>
      <c r="D97" s="61">
        <v>36290</v>
      </c>
      <c r="E97" s="61">
        <v>46020</v>
      </c>
      <c r="F97" s="30">
        <v>8000000</v>
      </c>
      <c r="G97" s="30"/>
      <c r="H97" s="31"/>
      <c r="I97" s="88"/>
      <c r="J97" s="88"/>
      <c r="K97" s="88"/>
      <c r="L97" s="89"/>
      <c r="M97" s="51"/>
      <c r="N97" s="52"/>
      <c r="O97" s="53"/>
      <c r="P97" s="50"/>
      <c r="R97" s="34"/>
      <c r="S97" s="34"/>
      <c r="T97" s="34"/>
      <c r="U97" s="35"/>
      <c r="V97" s="92"/>
      <c r="W97" s="35"/>
      <c r="X97" s="35"/>
      <c r="Y97" s="35"/>
      <c r="Z97" s="35"/>
      <c r="AA97" s="35"/>
      <c r="AC97" s="81"/>
      <c r="AD97" s="77"/>
      <c r="AE97" s="79"/>
      <c r="AF97" s="79"/>
      <c r="AG97" s="10"/>
      <c r="AH97" s="79"/>
      <c r="AI97" s="10"/>
      <c r="AL97" s="11"/>
      <c r="AM97" s="12"/>
    </row>
    <row r="98" s="1" customFormat="1" spans="1:39">
      <c r="A98" s="1">
        <v>20250086</v>
      </c>
      <c r="B98" s="31">
        <f t="shared" si="10"/>
        <v>87</v>
      </c>
      <c r="C98" s="27" t="s">
        <v>131</v>
      </c>
      <c r="D98" s="61">
        <v>35942</v>
      </c>
      <c r="E98" s="61">
        <v>46020</v>
      </c>
      <c r="F98" s="30">
        <v>7000000</v>
      </c>
      <c r="G98" s="30"/>
      <c r="H98" s="31"/>
      <c r="I98" s="88"/>
      <c r="J98" s="88"/>
      <c r="K98" s="88"/>
      <c r="L98" s="89"/>
      <c r="M98" s="51"/>
      <c r="N98" s="52"/>
      <c r="O98" s="53"/>
      <c r="P98" s="50"/>
      <c r="R98" s="34"/>
      <c r="S98" s="34"/>
      <c r="T98" s="34"/>
      <c r="U98" s="35"/>
      <c r="V98" s="92"/>
      <c r="W98" s="35"/>
      <c r="X98" s="35"/>
      <c r="Y98" s="35"/>
      <c r="Z98" s="35"/>
      <c r="AA98" s="35"/>
      <c r="AC98" s="81"/>
      <c r="AD98" s="77"/>
      <c r="AE98" s="79"/>
      <c r="AF98" s="79"/>
      <c r="AG98" s="10"/>
      <c r="AH98" s="79"/>
      <c r="AI98" s="10"/>
      <c r="AL98" s="11"/>
      <c r="AM98" s="12"/>
    </row>
    <row r="99" s="1" customFormat="1" spans="2:39">
      <c r="B99" s="31"/>
      <c r="C99" s="27"/>
      <c r="D99" s="61"/>
      <c r="E99" s="61"/>
      <c r="F99" s="30"/>
      <c r="G99" s="30"/>
      <c r="H99" s="31"/>
      <c r="I99" s="90"/>
      <c r="J99" s="88"/>
      <c r="K99" s="88"/>
      <c r="L99" s="89"/>
      <c r="M99" s="51"/>
      <c r="N99" s="52"/>
      <c r="O99" s="53"/>
      <c r="P99" s="50"/>
      <c r="R99" s="34"/>
      <c r="S99" s="34"/>
      <c r="T99" s="34"/>
      <c r="U99" s="35"/>
      <c r="V99" s="92"/>
      <c r="W99" s="35"/>
      <c r="X99" s="35"/>
      <c r="Y99" s="35"/>
      <c r="Z99" s="35"/>
      <c r="AA99" s="35"/>
      <c r="AC99" s="81"/>
      <c r="AD99" s="77"/>
      <c r="AE99" s="79"/>
      <c r="AF99" s="79"/>
      <c r="AG99" s="10"/>
      <c r="AH99" s="79"/>
      <c r="AI99" s="10"/>
      <c r="AL99" s="11"/>
      <c r="AM99" s="12"/>
    </row>
    <row r="100" s="1" customFormat="1" spans="2:39">
      <c r="B100" s="31"/>
      <c r="C100" s="27"/>
      <c r="D100" s="61"/>
      <c r="E100" s="61"/>
      <c r="F100" s="30"/>
      <c r="G100" s="30"/>
      <c r="H100" s="31"/>
      <c r="I100" s="90"/>
      <c r="J100" s="88"/>
      <c r="K100" s="88"/>
      <c r="L100" s="89"/>
      <c r="M100" s="51"/>
      <c r="N100" s="52"/>
      <c r="O100" s="53"/>
      <c r="P100" s="50"/>
      <c r="R100" s="34"/>
      <c r="S100" s="34"/>
      <c r="T100" s="34"/>
      <c r="U100" s="35"/>
      <c r="V100" s="92"/>
      <c r="W100" s="35"/>
      <c r="X100" s="35"/>
      <c r="Y100" s="35"/>
      <c r="Z100" s="35"/>
      <c r="AA100" s="35"/>
      <c r="AC100" s="81"/>
      <c r="AD100" s="77"/>
      <c r="AE100" s="79"/>
      <c r="AF100" s="79"/>
      <c r="AG100" s="10"/>
      <c r="AH100" s="79"/>
      <c r="AI100" s="10"/>
      <c r="AL100" s="11"/>
      <c r="AM100" s="12"/>
    </row>
    <row r="101" s="1" customFormat="1" spans="2:39">
      <c r="B101" s="31"/>
      <c r="C101" s="27"/>
      <c r="D101" s="61"/>
      <c r="E101" s="61"/>
      <c r="F101" s="30"/>
      <c r="G101" s="30"/>
      <c r="H101" s="31"/>
      <c r="I101" s="90"/>
      <c r="J101" s="88"/>
      <c r="K101" s="88"/>
      <c r="L101" s="89"/>
      <c r="M101" s="51"/>
      <c r="N101" s="52"/>
      <c r="O101" s="53"/>
      <c r="P101" s="50"/>
      <c r="R101" s="34"/>
      <c r="S101" s="34"/>
      <c r="T101" s="34"/>
      <c r="U101" s="35"/>
      <c r="V101" s="92"/>
      <c r="W101" s="35"/>
      <c r="X101" s="35"/>
      <c r="Y101" s="35"/>
      <c r="Z101" s="35"/>
      <c r="AA101" s="35"/>
      <c r="AC101" s="81"/>
      <c r="AD101" s="77"/>
      <c r="AE101" s="79"/>
      <c r="AF101" s="79"/>
      <c r="AG101" s="10"/>
      <c r="AH101" s="79"/>
      <c r="AI101" s="10"/>
      <c r="AL101" s="11"/>
      <c r="AM101" s="12"/>
    </row>
    <row r="102" s="1" customFormat="1" spans="2:39">
      <c r="B102" s="31"/>
      <c r="C102" s="27"/>
      <c r="D102" s="61"/>
      <c r="E102" s="61"/>
      <c r="F102" s="30"/>
      <c r="G102" s="30"/>
      <c r="H102" s="31"/>
      <c r="I102" s="90"/>
      <c r="J102" s="88"/>
      <c r="K102" s="88"/>
      <c r="L102" s="89"/>
      <c r="M102" s="51"/>
      <c r="N102" s="52"/>
      <c r="O102" s="53"/>
      <c r="P102" s="50"/>
      <c r="R102" s="34"/>
      <c r="S102" s="34"/>
      <c r="T102" s="34"/>
      <c r="U102" s="35"/>
      <c r="V102" s="92"/>
      <c r="W102" s="35"/>
      <c r="X102" s="35"/>
      <c r="Y102" s="35"/>
      <c r="Z102" s="35"/>
      <c r="AA102" s="35"/>
      <c r="AC102" s="81"/>
      <c r="AD102" s="77"/>
      <c r="AE102" s="79"/>
      <c r="AF102" s="79"/>
      <c r="AG102" s="10"/>
      <c r="AH102" s="79"/>
      <c r="AI102" s="10"/>
      <c r="AL102" s="11"/>
      <c r="AM102" s="12"/>
    </row>
    <row r="103" s="1" customFormat="1" spans="2:39">
      <c r="B103" s="31"/>
      <c r="C103" s="27"/>
      <c r="D103" s="61"/>
      <c r="E103" s="61"/>
      <c r="F103" s="30"/>
      <c r="G103" s="30"/>
      <c r="H103" s="31"/>
      <c r="I103" s="90"/>
      <c r="J103" s="88"/>
      <c r="K103" s="88"/>
      <c r="L103" s="89"/>
      <c r="M103" s="51"/>
      <c r="N103" s="52"/>
      <c r="O103" s="53"/>
      <c r="P103" s="50"/>
      <c r="R103" s="34"/>
      <c r="S103" s="34"/>
      <c r="T103" s="34"/>
      <c r="U103" s="35"/>
      <c r="V103" s="92"/>
      <c r="W103" s="35"/>
      <c r="X103" s="35"/>
      <c r="Y103" s="35"/>
      <c r="Z103" s="35"/>
      <c r="AA103" s="35"/>
      <c r="AC103" s="81"/>
      <c r="AD103" s="77"/>
      <c r="AE103" s="79"/>
      <c r="AF103" s="79"/>
      <c r="AG103" s="10"/>
      <c r="AH103" s="79"/>
      <c r="AI103" s="10"/>
      <c r="AL103" s="11"/>
      <c r="AM103" s="12"/>
    </row>
    <row r="104" s="1" customFormat="1" spans="2:39">
      <c r="B104" s="31"/>
      <c r="C104" s="27"/>
      <c r="D104" s="61"/>
      <c r="E104" s="61"/>
      <c r="F104" s="30"/>
      <c r="G104" s="30"/>
      <c r="H104" s="31"/>
      <c r="I104" s="90"/>
      <c r="J104" s="88"/>
      <c r="K104" s="88"/>
      <c r="L104" s="89"/>
      <c r="M104" s="51"/>
      <c r="N104" s="52"/>
      <c r="O104" s="53"/>
      <c r="P104" s="50"/>
      <c r="R104" s="34"/>
      <c r="S104" s="34"/>
      <c r="T104" s="34"/>
      <c r="U104" s="35"/>
      <c r="V104" s="92"/>
      <c r="W104" s="35"/>
      <c r="X104" s="35"/>
      <c r="Y104" s="35"/>
      <c r="Z104" s="35"/>
      <c r="AA104" s="35"/>
      <c r="AC104" s="81"/>
      <c r="AD104" s="77"/>
      <c r="AE104" s="79"/>
      <c r="AF104" s="79"/>
      <c r="AG104" s="10"/>
      <c r="AH104" s="79"/>
      <c r="AI104" s="10"/>
      <c r="AL104" s="11"/>
      <c r="AM104" s="12"/>
    </row>
    <row r="105" s="1" customFormat="1" spans="2:39">
      <c r="B105" s="31"/>
      <c r="C105" s="27"/>
      <c r="D105" s="61"/>
      <c r="E105" s="61"/>
      <c r="F105" s="30"/>
      <c r="G105" s="30"/>
      <c r="H105" s="31"/>
      <c r="I105" s="90"/>
      <c r="J105" s="88"/>
      <c r="K105" s="88"/>
      <c r="L105" s="89"/>
      <c r="M105" s="51"/>
      <c r="N105" s="52"/>
      <c r="O105" s="53"/>
      <c r="P105" s="50"/>
      <c r="R105" s="34"/>
      <c r="S105" s="34"/>
      <c r="T105" s="34"/>
      <c r="U105" s="35"/>
      <c r="V105" s="92"/>
      <c r="W105" s="35"/>
      <c r="X105" s="35"/>
      <c r="Y105" s="35"/>
      <c r="Z105" s="35"/>
      <c r="AA105" s="35"/>
      <c r="AC105" s="81"/>
      <c r="AD105" s="77"/>
      <c r="AE105" s="79"/>
      <c r="AF105" s="79"/>
      <c r="AG105" s="10"/>
      <c r="AH105" s="79"/>
      <c r="AI105" s="10"/>
      <c r="AL105" s="11"/>
      <c r="AM105" s="12"/>
    </row>
    <row r="106" s="1" customFormat="1" spans="2:39">
      <c r="B106" s="31"/>
      <c r="C106" s="27"/>
      <c r="D106" s="61"/>
      <c r="E106" s="61"/>
      <c r="F106" s="30"/>
      <c r="G106" s="30"/>
      <c r="H106" s="31"/>
      <c r="I106" s="90"/>
      <c r="J106" s="88"/>
      <c r="K106" s="88"/>
      <c r="L106" s="89"/>
      <c r="M106" s="51"/>
      <c r="N106" s="52"/>
      <c r="O106" s="53"/>
      <c r="P106" s="50"/>
      <c r="R106" s="34"/>
      <c r="S106" s="34"/>
      <c r="T106" s="34"/>
      <c r="U106" s="35"/>
      <c r="V106" s="92"/>
      <c r="W106" s="35"/>
      <c r="X106" s="35"/>
      <c r="Y106" s="35"/>
      <c r="Z106" s="35"/>
      <c r="AA106" s="35"/>
      <c r="AC106" s="81"/>
      <c r="AD106" s="77"/>
      <c r="AE106" s="79"/>
      <c r="AF106" s="79"/>
      <c r="AG106" s="10"/>
      <c r="AH106" s="79"/>
      <c r="AI106" s="10"/>
      <c r="AL106" s="11"/>
      <c r="AM106" s="12"/>
    </row>
    <row r="107" s="1" customFormat="1" spans="2:39">
      <c r="B107" s="31"/>
      <c r="C107" s="27"/>
      <c r="D107" s="61"/>
      <c r="E107" s="61"/>
      <c r="F107" s="30"/>
      <c r="G107" s="30"/>
      <c r="H107" s="31"/>
      <c r="I107" s="90"/>
      <c r="J107" s="88"/>
      <c r="K107" s="88"/>
      <c r="L107" s="89"/>
      <c r="M107" s="51"/>
      <c r="N107" s="52"/>
      <c r="O107" s="53"/>
      <c r="P107" s="50"/>
      <c r="R107" s="34"/>
      <c r="S107" s="34"/>
      <c r="T107" s="34"/>
      <c r="U107" s="35"/>
      <c r="V107" s="92"/>
      <c r="W107" s="35"/>
      <c r="X107" s="35"/>
      <c r="Y107" s="35"/>
      <c r="Z107" s="35"/>
      <c r="AA107" s="35"/>
      <c r="AC107" s="81"/>
      <c r="AD107" s="77"/>
      <c r="AE107" s="79"/>
      <c r="AF107" s="79"/>
      <c r="AG107" s="10"/>
      <c r="AH107" s="79"/>
      <c r="AI107" s="10"/>
      <c r="AL107" s="11"/>
      <c r="AM107" s="12"/>
    </row>
    <row r="108" s="1" customFormat="1" spans="2:39">
      <c r="B108" s="31"/>
      <c r="C108" s="27"/>
      <c r="D108" s="61"/>
      <c r="E108" s="61"/>
      <c r="F108" s="30"/>
      <c r="G108" s="30"/>
      <c r="H108" s="31"/>
      <c r="I108" s="90"/>
      <c r="J108" s="88"/>
      <c r="K108" s="88"/>
      <c r="L108" s="89"/>
      <c r="M108" s="51"/>
      <c r="N108" s="52"/>
      <c r="O108" s="53"/>
      <c r="P108" s="50"/>
      <c r="R108" s="34"/>
      <c r="S108" s="34"/>
      <c r="T108" s="34"/>
      <c r="U108" s="35"/>
      <c r="V108" s="92"/>
      <c r="W108" s="35"/>
      <c r="X108" s="35"/>
      <c r="Y108" s="35"/>
      <c r="Z108" s="35"/>
      <c r="AA108" s="35"/>
      <c r="AC108" s="81"/>
      <c r="AD108" s="77"/>
      <c r="AE108" s="79"/>
      <c r="AF108" s="79"/>
      <c r="AG108" s="10"/>
      <c r="AH108" s="79"/>
      <c r="AI108" s="10"/>
      <c r="AL108" s="11"/>
      <c r="AM108" s="12"/>
    </row>
    <row r="109" s="1" customFormat="1" spans="2:39">
      <c r="B109" s="31"/>
      <c r="C109" s="27"/>
      <c r="D109" s="61"/>
      <c r="E109" s="61"/>
      <c r="F109" s="30"/>
      <c r="G109" s="30"/>
      <c r="H109" s="31"/>
      <c r="I109" s="90"/>
      <c r="J109" s="88"/>
      <c r="K109" s="88"/>
      <c r="L109" s="89"/>
      <c r="M109" s="51"/>
      <c r="N109" s="52"/>
      <c r="O109" s="53"/>
      <c r="P109" s="50"/>
      <c r="R109" s="34"/>
      <c r="S109" s="34"/>
      <c r="T109" s="34"/>
      <c r="U109" s="35"/>
      <c r="V109" s="92"/>
      <c r="W109" s="35"/>
      <c r="X109" s="35"/>
      <c r="Y109" s="35"/>
      <c r="Z109" s="35"/>
      <c r="AA109" s="35"/>
      <c r="AC109" s="81"/>
      <c r="AD109" s="77"/>
      <c r="AE109" s="79"/>
      <c r="AF109" s="79"/>
      <c r="AG109" s="10"/>
      <c r="AH109" s="79"/>
      <c r="AI109" s="10"/>
      <c r="AL109" s="11"/>
      <c r="AM109" s="12"/>
    </row>
    <row r="110" s="1" customFormat="1" spans="2:39">
      <c r="B110" s="31"/>
      <c r="C110" s="27"/>
      <c r="D110" s="61"/>
      <c r="E110" s="61"/>
      <c r="F110" s="30"/>
      <c r="G110" s="30"/>
      <c r="H110" s="31"/>
      <c r="I110" s="90"/>
      <c r="J110" s="88"/>
      <c r="K110" s="88"/>
      <c r="L110" s="89"/>
      <c r="M110" s="51"/>
      <c r="N110" s="52"/>
      <c r="O110" s="53"/>
      <c r="P110" s="50"/>
      <c r="R110" s="34"/>
      <c r="S110" s="34"/>
      <c r="T110" s="34"/>
      <c r="U110" s="35"/>
      <c r="V110" s="92"/>
      <c r="W110" s="35"/>
      <c r="X110" s="35"/>
      <c r="Y110" s="35"/>
      <c r="Z110" s="35"/>
      <c r="AA110" s="35"/>
      <c r="AC110" s="81"/>
      <c r="AD110" s="77"/>
      <c r="AE110" s="79"/>
      <c r="AF110" s="79"/>
      <c r="AG110" s="10"/>
      <c r="AH110" s="79"/>
      <c r="AI110" s="10"/>
      <c r="AL110" s="11"/>
      <c r="AM110" s="12"/>
    </row>
    <row r="111" s="1" customFormat="1" spans="2:39">
      <c r="B111" s="31"/>
      <c r="C111" s="27"/>
      <c r="D111" s="61"/>
      <c r="E111" s="61"/>
      <c r="F111" s="30"/>
      <c r="G111" s="30"/>
      <c r="H111" s="31"/>
      <c r="I111" s="90"/>
      <c r="J111" s="88"/>
      <c r="K111" s="88"/>
      <c r="L111" s="89"/>
      <c r="M111" s="51"/>
      <c r="N111" s="52"/>
      <c r="O111" s="53"/>
      <c r="P111" s="50"/>
      <c r="R111" s="34"/>
      <c r="S111" s="34"/>
      <c r="T111" s="34"/>
      <c r="U111" s="35"/>
      <c r="V111" s="92"/>
      <c r="W111" s="35"/>
      <c r="X111" s="35"/>
      <c r="Y111" s="35"/>
      <c r="Z111" s="35"/>
      <c r="AA111" s="35"/>
      <c r="AC111" s="81"/>
      <c r="AD111" s="77"/>
      <c r="AE111" s="79"/>
      <c r="AF111" s="79"/>
      <c r="AG111" s="10"/>
      <c r="AH111" s="79"/>
      <c r="AI111" s="10"/>
      <c r="AL111" s="11"/>
      <c r="AM111" s="12"/>
    </row>
    <row r="112" s="1" customFormat="1" spans="2:39">
      <c r="B112" s="31"/>
      <c r="C112" s="27"/>
      <c r="D112" s="61"/>
      <c r="E112" s="61"/>
      <c r="F112" s="30"/>
      <c r="G112" s="30"/>
      <c r="H112" s="31"/>
      <c r="I112" s="90"/>
      <c r="J112" s="88"/>
      <c r="K112" s="88"/>
      <c r="L112" s="89"/>
      <c r="M112" s="51"/>
      <c r="N112" s="52"/>
      <c r="O112" s="53"/>
      <c r="P112" s="50"/>
      <c r="R112" s="34"/>
      <c r="S112" s="34"/>
      <c r="T112" s="34"/>
      <c r="U112" s="35"/>
      <c r="V112" s="92"/>
      <c r="W112" s="35"/>
      <c r="X112" s="35"/>
      <c r="Y112" s="35"/>
      <c r="Z112" s="35"/>
      <c r="AA112" s="35"/>
      <c r="AC112" s="81"/>
      <c r="AD112" s="77"/>
      <c r="AE112" s="79"/>
      <c r="AF112" s="79"/>
      <c r="AG112" s="10"/>
      <c r="AH112" s="79"/>
      <c r="AI112" s="10"/>
      <c r="AL112" s="11"/>
      <c r="AM112" s="12"/>
    </row>
    <row r="113" s="1" customFormat="1" spans="2:39">
      <c r="B113" s="31"/>
      <c r="C113" s="27"/>
      <c r="D113" s="61"/>
      <c r="E113" s="61"/>
      <c r="F113" s="30"/>
      <c r="G113" s="30"/>
      <c r="H113" s="31"/>
      <c r="I113" s="90"/>
      <c r="J113" s="88"/>
      <c r="K113" s="88"/>
      <c r="L113" s="89"/>
      <c r="M113" s="51"/>
      <c r="N113" s="52"/>
      <c r="O113" s="53"/>
      <c r="P113" s="50"/>
      <c r="R113" s="34"/>
      <c r="S113" s="34"/>
      <c r="T113" s="34"/>
      <c r="U113" s="35"/>
      <c r="V113" s="92"/>
      <c r="W113" s="35"/>
      <c r="X113" s="35"/>
      <c r="Y113" s="35"/>
      <c r="Z113" s="35"/>
      <c r="AA113" s="35"/>
      <c r="AC113" s="81"/>
      <c r="AD113" s="77"/>
      <c r="AE113" s="79"/>
      <c r="AF113" s="79"/>
      <c r="AG113" s="10"/>
      <c r="AH113" s="79"/>
      <c r="AI113" s="10"/>
      <c r="AL113" s="11"/>
      <c r="AM113" s="12"/>
    </row>
    <row r="114" s="1" customFormat="1" spans="2:39">
      <c r="B114" s="31"/>
      <c r="C114" s="27"/>
      <c r="D114" s="61"/>
      <c r="E114" s="61"/>
      <c r="F114" s="30"/>
      <c r="G114" s="30"/>
      <c r="H114" s="31"/>
      <c r="I114" s="90"/>
      <c r="J114" s="88"/>
      <c r="K114" s="88"/>
      <c r="L114" s="89"/>
      <c r="M114" s="51"/>
      <c r="N114" s="52"/>
      <c r="O114" s="53"/>
      <c r="P114" s="50"/>
      <c r="R114" s="34"/>
      <c r="S114" s="34"/>
      <c r="T114" s="34"/>
      <c r="U114" s="35"/>
      <c r="V114" s="92"/>
      <c r="W114" s="35"/>
      <c r="X114" s="35"/>
      <c r="Y114" s="35"/>
      <c r="Z114" s="35"/>
      <c r="AA114" s="35"/>
      <c r="AC114" s="81"/>
      <c r="AD114" s="77"/>
      <c r="AE114" s="79"/>
      <c r="AF114" s="79"/>
      <c r="AG114" s="10"/>
      <c r="AH114" s="79"/>
      <c r="AI114" s="10"/>
      <c r="AL114" s="11"/>
      <c r="AM114" s="12"/>
    </row>
    <row r="115" s="1" customFormat="1" spans="2:39">
      <c r="B115" s="31"/>
      <c r="C115" s="1"/>
      <c r="D115" s="34"/>
      <c r="E115" s="34"/>
      <c r="F115" s="86"/>
      <c r="G115" s="86"/>
      <c r="H115" s="31"/>
      <c r="I115" s="90"/>
      <c r="J115" s="88"/>
      <c r="K115" s="88"/>
      <c r="L115" s="89"/>
      <c r="M115" s="51"/>
      <c r="N115" s="52"/>
      <c r="O115" s="53"/>
      <c r="P115" s="50"/>
      <c r="R115" s="34"/>
      <c r="S115" s="34"/>
      <c r="T115" s="34"/>
      <c r="U115" s="35"/>
      <c r="V115" s="92"/>
      <c r="W115" s="35"/>
      <c r="X115" s="35"/>
      <c r="Y115" s="35"/>
      <c r="Z115" s="35"/>
      <c r="AA115" s="35"/>
      <c r="AC115" s="81"/>
      <c r="AD115" s="77"/>
      <c r="AE115" s="79"/>
      <c r="AF115" s="79"/>
      <c r="AG115" s="10"/>
      <c r="AH115" s="79"/>
      <c r="AI115" s="10"/>
      <c r="AL115" s="11"/>
      <c r="AM115" s="12"/>
    </row>
    <row r="116" s="1" customFormat="1" spans="2:39">
      <c r="B116" s="31"/>
      <c r="C116" s="1"/>
      <c r="D116" s="34"/>
      <c r="E116" s="34"/>
      <c r="F116" s="86"/>
      <c r="G116" s="86"/>
      <c r="H116" s="31"/>
      <c r="I116" s="90"/>
      <c r="J116" s="88"/>
      <c r="K116" s="88"/>
      <c r="L116" s="89"/>
      <c r="M116" s="51"/>
      <c r="N116" s="52"/>
      <c r="O116" s="53"/>
      <c r="P116" s="50"/>
      <c r="R116" s="34"/>
      <c r="S116" s="34"/>
      <c r="T116" s="34"/>
      <c r="U116" s="35"/>
      <c r="V116" s="92"/>
      <c r="W116" s="35"/>
      <c r="X116" s="35"/>
      <c r="Y116" s="35"/>
      <c r="Z116" s="35"/>
      <c r="AA116" s="35"/>
      <c r="AC116" s="81"/>
      <c r="AD116" s="77"/>
      <c r="AE116" s="79"/>
      <c r="AF116" s="79"/>
      <c r="AG116" s="10"/>
      <c r="AH116" s="79"/>
      <c r="AI116" s="10"/>
      <c r="AL116" s="11"/>
      <c r="AM116" s="12"/>
    </row>
    <row r="117" s="1" customFormat="1" spans="2:39">
      <c r="B117" s="31"/>
      <c r="C117" s="1"/>
      <c r="D117" s="34"/>
      <c r="E117" s="34"/>
      <c r="F117" s="86"/>
      <c r="G117" s="86"/>
      <c r="H117" s="31"/>
      <c r="I117" s="90"/>
      <c r="J117" s="88"/>
      <c r="K117" s="88"/>
      <c r="L117" s="89"/>
      <c r="M117" s="51"/>
      <c r="N117" s="52"/>
      <c r="O117" s="53"/>
      <c r="P117" s="50"/>
      <c r="R117" s="34"/>
      <c r="S117" s="34"/>
      <c r="T117" s="34"/>
      <c r="U117" s="35"/>
      <c r="V117" s="92"/>
      <c r="W117" s="35"/>
      <c r="X117" s="35"/>
      <c r="Y117" s="35"/>
      <c r="Z117" s="35"/>
      <c r="AA117" s="35"/>
      <c r="AC117" s="81"/>
      <c r="AD117" s="77"/>
      <c r="AE117" s="79"/>
      <c r="AF117" s="79"/>
      <c r="AG117" s="10"/>
      <c r="AH117" s="79"/>
      <c r="AI117" s="10"/>
      <c r="AL117" s="11"/>
      <c r="AM117" s="12"/>
    </row>
    <row r="118" s="1" customFormat="1" spans="2:39">
      <c r="B118" s="31"/>
      <c r="C118" s="27"/>
      <c r="D118" s="61"/>
      <c r="E118" s="61"/>
      <c r="F118" s="30"/>
      <c r="G118" s="30"/>
      <c r="H118" s="31"/>
      <c r="I118" s="90"/>
      <c r="J118" s="88"/>
      <c r="K118" s="88"/>
      <c r="L118" s="89"/>
      <c r="M118" s="51"/>
      <c r="N118" s="52"/>
      <c r="O118" s="53"/>
      <c r="P118" s="50"/>
      <c r="R118" s="34"/>
      <c r="S118" s="34"/>
      <c r="T118" s="34"/>
      <c r="U118" s="35"/>
      <c r="V118" s="92"/>
      <c r="W118" s="35"/>
      <c r="X118" s="35"/>
      <c r="Y118" s="35"/>
      <c r="Z118" s="35"/>
      <c r="AA118" s="35"/>
      <c r="AC118" s="81"/>
      <c r="AD118" s="77"/>
      <c r="AE118" s="79"/>
      <c r="AF118" s="79"/>
      <c r="AG118" s="10"/>
      <c r="AH118" s="79"/>
      <c r="AI118" s="10"/>
      <c r="AL118" s="11"/>
      <c r="AM118" s="12"/>
    </row>
    <row r="119" s="1" customFormat="1" spans="2:39">
      <c r="B119" s="31"/>
      <c r="C119" s="27"/>
      <c r="D119" s="61"/>
      <c r="E119" s="61"/>
      <c r="F119" s="30"/>
      <c r="G119" s="30"/>
      <c r="H119" s="31"/>
      <c r="I119" s="91"/>
      <c r="J119" s="88"/>
      <c r="K119" s="88"/>
      <c r="L119" s="89"/>
      <c r="M119" s="51"/>
      <c r="N119" s="52"/>
      <c r="O119" s="53"/>
      <c r="P119" s="50"/>
      <c r="R119" s="34"/>
      <c r="S119" s="34"/>
      <c r="T119" s="34"/>
      <c r="U119" s="35"/>
      <c r="V119" s="92"/>
      <c r="W119" s="35"/>
      <c r="X119" s="35"/>
      <c r="Y119" s="35"/>
      <c r="Z119" s="35"/>
      <c r="AA119" s="35"/>
      <c r="AC119" s="81"/>
      <c r="AD119" s="77"/>
      <c r="AE119" s="79"/>
      <c r="AF119" s="79"/>
      <c r="AG119" s="10"/>
      <c r="AH119" s="79"/>
      <c r="AI119" s="10"/>
      <c r="AL119" s="11"/>
      <c r="AM119" s="12"/>
    </row>
    <row r="120" s="1" customFormat="1" spans="2:39">
      <c r="B120" s="31"/>
      <c r="C120" s="27"/>
      <c r="D120" s="61"/>
      <c r="E120" s="61"/>
      <c r="F120" s="30"/>
      <c r="G120" s="30"/>
      <c r="H120" s="31"/>
      <c r="I120" s="91"/>
      <c r="J120" s="88"/>
      <c r="K120" s="88"/>
      <c r="L120" s="89"/>
      <c r="M120" s="51"/>
      <c r="N120" s="52"/>
      <c r="O120" s="53"/>
      <c r="P120" s="50"/>
      <c r="R120" s="34"/>
      <c r="S120" s="34"/>
      <c r="T120" s="34"/>
      <c r="U120" s="35"/>
      <c r="V120" s="92"/>
      <c r="W120" s="35"/>
      <c r="X120" s="35"/>
      <c r="Y120" s="35"/>
      <c r="Z120" s="35"/>
      <c r="AA120" s="35"/>
      <c r="AC120" s="81"/>
      <c r="AD120" s="77"/>
      <c r="AE120" s="79"/>
      <c r="AF120" s="79"/>
      <c r="AG120" s="10"/>
      <c r="AH120" s="79"/>
      <c r="AI120" s="10"/>
      <c r="AL120" s="11"/>
      <c r="AM120" s="12"/>
    </row>
    <row r="121" s="1" customFormat="1" spans="2:39">
      <c r="B121" s="31"/>
      <c r="C121" s="27"/>
      <c r="D121" s="61"/>
      <c r="E121" s="61"/>
      <c r="F121" s="30"/>
      <c r="G121" s="30"/>
      <c r="H121" s="31"/>
      <c r="I121" s="91"/>
      <c r="J121" s="88"/>
      <c r="K121" s="88"/>
      <c r="L121" s="89"/>
      <c r="M121" s="51"/>
      <c r="N121" s="52"/>
      <c r="O121" s="53"/>
      <c r="P121" s="50"/>
      <c r="R121" s="34"/>
      <c r="S121" s="34"/>
      <c r="T121" s="34"/>
      <c r="U121" s="35"/>
      <c r="V121" s="92"/>
      <c r="W121" s="35"/>
      <c r="X121" s="35"/>
      <c r="Y121" s="35"/>
      <c r="Z121" s="35"/>
      <c r="AA121" s="35"/>
      <c r="AC121" s="81"/>
      <c r="AD121" s="77"/>
      <c r="AE121" s="79"/>
      <c r="AF121" s="79"/>
      <c r="AG121" s="10"/>
      <c r="AH121" s="79"/>
      <c r="AI121" s="10"/>
      <c r="AL121" s="11"/>
      <c r="AM121" s="12"/>
    </row>
    <row r="122" s="1" customFormat="1" spans="2:39">
      <c r="B122" s="31"/>
      <c r="C122" s="27"/>
      <c r="D122" s="61"/>
      <c r="E122" s="61"/>
      <c r="F122" s="30"/>
      <c r="G122" s="30"/>
      <c r="H122" s="31"/>
      <c r="I122" s="90"/>
      <c r="J122" s="88"/>
      <c r="K122" s="88"/>
      <c r="L122" s="89"/>
      <c r="M122" s="51"/>
      <c r="N122" s="52"/>
      <c r="O122" s="53"/>
      <c r="P122" s="50"/>
      <c r="R122" s="34"/>
      <c r="S122" s="34"/>
      <c r="T122" s="34"/>
      <c r="U122" s="35"/>
      <c r="V122" s="92"/>
      <c r="W122" s="35"/>
      <c r="X122" s="35"/>
      <c r="Y122" s="35"/>
      <c r="Z122" s="35"/>
      <c r="AA122" s="35"/>
      <c r="AC122" s="81"/>
      <c r="AD122" s="77"/>
      <c r="AE122" s="79"/>
      <c r="AF122" s="79"/>
      <c r="AG122" s="10"/>
      <c r="AH122" s="79"/>
      <c r="AI122" s="10"/>
      <c r="AL122" s="11"/>
      <c r="AM122" s="12"/>
    </row>
    <row r="123" s="1" customFormat="1" spans="2:39">
      <c r="B123" s="31"/>
      <c r="C123" s="27"/>
      <c r="D123" s="61"/>
      <c r="E123" s="61"/>
      <c r="F123" s="30"/>
      <c r="G123" s="30"/>
      <c r="H123" s="31"/>
      <c r="I123" s="90"/>
      <c r="J123" s="88"/>
      <c r="K123" s="88"/>
      <c r="L123" s="89"/>
      <c r="M123" s="51"/>
      <c r="N123" s="52"/>
      <c r="O123" s="53"/>
      <c r="P123" s="50"/>
      <c r="R123" s="34"/>
      <c r="S123" s="34"/>
      <c r="T123" s="34"/>
      <c r="U123" s="35"/>
      <c r="V123" s="92"/>
      <c r="W123" s="35"/>
      <c r="X123" s="35"/>
      <c r="Y123" s="35"/>
      <c r="Z123" s="35"/>
      <c r="AA123" s="35"/>
      <c r="AC123" s="81"/>
      <c r="AD123" s="77"/>
      <c r="AE123" s="79"/>
      <c r="AF123" s="79"/>
      <c r="AG123" s="10"/>
      <c r="AH123" s="79"/>
      <c r="AI123" s="10"/>
      <c r="AL123" s="11"/>
      <c r="AM123" s="12"/>
    </row>
    <row r="124" s="1" customFormat="1" spans="2:39">
      <c r="B124" s="31"/>
      <c r="C124" s="27"/>
      <c r="D124" s="61"/>
      <c r="E124" s="61"/>
      <c r="F124" s="30"/>
      <c r="G124" s="30"/>
      <c r="H124" s="31"/>
      <c r="I124" s="90"/>
      <c r="J124" s="88"/>
      <c r="K124" s="88"/>
      <c r="L124" s="89"/>
      <c r="M124" s="51"/>
      <c r="N124" s="52"/>
      <c r="O124" s="53"/>
      <c r="P124" s="50"/>
      <c r="R124" s="34"/>
      <c r="S124" s="34"/>
      <c r="T124" s="34"/>
      <c r="U124" s="35"/>
      <c r="V124" s="92"/>
      <c r="W124" s="35"/>
      <c r="X124" s="35"/>
      <c r="Y124" s="35"/>
      <c r="Z124" s="35"/>
      <c r="AA124" s="35"/>
      <c r="AC124" s="81"/>
      <c r="AD124" s="77"/>
      <c r="AE124" s="79"/>
      <c r="AF124" s="79"/>
      <c r="AG124" s="10"/>
      <c r="AH124" s="79"/>
      <c r="AI124" s="10"/>
      <c r="AL124" s="11"/>
      <c r="AM124" s="12"/>
    </row>
    <row r="125" s="1" customFormat="1" spans="2:39">
      <c r="B125" s="31"/>
      <c r="C125" s="27"/>
      <c r="D125" s="61"/>
      <c r="E125" s="61"/>
      <c r="F125" s="30"/>
      <c r="G125" s="30"/>
      <c r="H125" s="31"/>
      <c r="I125" s="90"/>
      <c r="J125" s="88"/>
      <c r="K125" s="88"/>
      <c r="L125" s="89"/>
      <c r="M125" s="51"/>
      <c r="N125" s="52"/>
      <c r="O125" s="53"/>
      <c r="P125" s="50"/>
      <c r="R125" s="34"/>
      <c r="S125" s="34"/>
      <c r="T125" s="34"/>
      <c r="U125" s="35"/>
      <c r="V125" s="92"/>
      <c r="W125" s="35"/>
      <c r="X125" s="35"/>
      <c r="Y125" s="35"/>
      <c r="Z125" s="35"/>
      <c r="AA125" s="35"/>
      <c r="AC125" s="81"/>
      <c r="AD125" s="77"/>
      <c r="AE125" s="79"/>
      <c r="AF125" s="79"/>
      <c r="AG125" s="10"/>
      <c r="AH125" s="79"/>
      <c r="AI125" s="10"/>
      <c r="AL125" s="11"/>
      <c r="AM125" s="12"/>
    </row>
    <row r="126" s="1" customFormat="1" spans="2:39">
      <c r="B126" s="31"/>
      <c r="C126" s="27"/>
      <c r="D126" s="61"/>
      <c r="E126" s="61"/>
      <c r="F126" s="30"/>
      <c r="G126" s="30"/>
      <c r="H126" s="31"/>
      <c r="I126" s="90"/>
      <c r="J126" s="88"/>
      <c r="K126" s="88"/>
      <c r="L126" s="89"/>
      <c r="M126" s="51"/>
      <c r="N126" s="52"/>
      <c r="O126" s="53"/>
      <c r="P126" s="50"/>
      <c r="R126" s="34"/>
      <c r="S126" s="34"/>
      <c r="T126" s="34"/>
      <c r="U126" s="35"/>
      <c r="V126" s="92"/>
      <c r="W126" s="35"/>
      <c r="X126" s="35"/>
      <c r="Y126" s="35"/>
      <c r="Z126" s="35"/>
      <c r="AA126" s="35"/>
      <c r="AC126" s="81"/>
      <c r="AD126" s="77"/>
      <c r="AE126" s="79"/>
      <c r="AF126" s="79"/>
      <c r="AG126" s="10"/>
      <c r="AH126" s="79"/>
      <c r="AI126" s="10"/>
      <c r="AL126" s="11"/>
      <c r="AM126" s="12"/>
    </row>
    <row r="127" s="1" customFormat="1" spans="2:39">
      <c r="B127" s="31"/>
      <c r="C127" s="27"/>
      <c r="D127" s="61"/>
      <c r="E127" s="61"/>
      <c r="F127" s="30"/>
      <c r="G127" s="30"/>
      <c r="H127" s="31"/>
      <c r="I127" s="90"/>
      <c r="J127" s="88"/>
      <c r="K127" s="88"/>
      <c r="L127" s="89"/>
      <c r="M127" s="51"/>
      <c r="N127" s="52"/>
      <c r="O127" s="53"/>
      <c r="P127" s="50"/>
      <c r="R127" s="34"/>
      <c r="S127" s="34"/>
      <c r="T127" s="34"/>
      <c r="U127" s="35"/>
      <c r="V127" s="92"/>
      <c r="W127" s="35"/>
      <c r="X127" s="35"/>
      <c r="Y127" s="35"/>
      <c r="Z127" s="35"/>
      <c r="AA127" s="35"/>
      <c r="AC127" s="81"/>
      <c r="AD127" s="77"/>
      <c r="AE127" s="79"/>
      <c r="AF127" s="79"/>
      <c r="AG127" s="10"/>
      <c r="AH127" s="79"/>
      <c r="AI127" s="10"/>
      <c r="AL127" s="11"/>
      <c r="AM127" s="12"/>
    </row>
    <row r="128" s="1" customFormat="1" spans="2:39">
      <c r="B128" s="31"/>
      <c r="C128" s="27"/>
      <c r="D128" s="61"/>
      <c r="E128" s="61"/>
      <c r="F128" s="30"/>
      <c r="G128" s="30"/>
      <c r="H128" s="31"/>
      <c r="I128" s="90"/>
      <c r="J128" s="88"/>
      <c r="K128" s="88"/>
      <c r="L128" s="89"/>
      <c r="M128" s="51"/>
      <c r="N128" s="52"/>
      <c r="O128" s="53"/>
      <c r="P128" s="50"/>
      <c r="R128" s="34"/>
      <c r="S128" s="34"/>
      <c r="T128" s="34"/>
      <c r="U128" s="35"/>
      <c r="V128" s="92"/>
      <c r="W128" s="35"/>
      <c r="X128" s="35"/>
      <c r="Y128" s="35"/>
      <c r="Z128" s="35"/>
      <c r="AA128" s="35"/>
      <c r="AC128" s="81"/>
      <c r="AD128" s="77"/>
      <c r="AE128" s="79"/>
      <c r="AF128" s="79"/>
      <c r="AG128" s="10"/>
      <c r="AH128" s="79"/>
      <c r="AI128" s="10"/>
      <c r="AL128" s="11"/>
      <c r="AM128" s="12"/>
    </row>
    <row r="129" s="1" customFormat="1" spans="2:39">
      <c r="B129" s="31"/>
      <c r="C129" s="1"/>
      <c r="D129" s="34"/>
      <c r="E129" s="34"/>
      <c r="F129" s="86"/>
      <c r="G129" s="86"/>
      <c r="H129" s="31"/>
      <c r="I129" s="90"/>
      <c r="J129" s="88"/>
      <c r="K129" s="88"/>
      <c r="L129" s="89"/>
      <c r="M129" s="51"/>
      <c r="N129" s="52"/>
      <c r="O129" s="53"/>
      <c r="P129" s="50"/>
      <c r="R129" s="34"/>
      <c r="S129" s="34"/>
      <c r="T129" s="34"/>
      <c r="U129" s="35"/>
      <c r="V129" s="92"/>
      <c r="W129" s="35"/>
      <c r="X129" s="35"/>
      <c r="Y129" s="35"/>
      <c r="Z129" s="35"/>
      <c r="AA129" s="35"/>
      <c r="AC129" s="81"/>
      <c r="AD129" s="77"/>
      <c r="AE129" s="79"/>
      <c r="AF129" s="79"/>
      <c r="AG129" s="10"/>
      <c r="AH129" s="79"/>
      <c r="AI129" s="10"/>
      <c r="AL129" s="11"/>
      <c r="AM129" s="12"/>
    </row>
    <row r="130" s="1" customFormat="1" spans="2:39">
      <c r="B130" s="31"/>
      <c r="C130" s="31"/>
      <c r="D130" s="61"/>
      <c r="E130" s="61"/>
      <c r="F130" s="30"/>
      <c r="G130" s="30"/>
      <c r="H130" s="31"/>
      <c r="I130" s="90"/>
      <c r="J130" s="88"/>
      <c r="K130" s="88"/>
      <c r="L130" s="89"/>
      <c r="M130" s="51"/>
      <c r="N130" s="52"/>
      <c r="O130" s="53"/>
      <c r="P130" s="50"/>
      <c r="R130" s="34"/>
      <c r="S130" s="34"/>
      <c r="T130" s="34"/>
      <c r="U130" s="35"/>
      <c r="V130" s="92"/>
      <c r="W130" s="35"/>
      <c r="X130" s="35"/>
      <c r="Y130" s="35"/>
      <c r="Z130" s="35"/>
      <c r="AA130" s="35"/>
      <c r="AC130" s="81"/>
      <c r="AD130" s="77"/>
      <c r="AE130" s="79"/>
      <c r="AF130" s="79"/>
      <c r="AG130" s="10"/>
      <c r="AH130" s="79"/>
      <c r="AI130" s="10"/>
      <c r="AL130" s="11"/>
      <c r="AM130" s="12"/>
    </row>
    <row r="131" s="1" customFormat="1" spans="2:39">
      <c r="B131" s="31"/>
      <c r="C131" s="31"/>
      <c r="D131" s="61"/>
      <c r="E131" s="61"/>
      <c r="F131" s="30"/>
      <c r="G131" s="30"/>
      <c r="H131" s="31"/>
      <c r="I131" s="90"/>
      <c r="J131" s="88"/>
      <c r="K131" s="88"/>
      <c r="L131" s="89"/>
      <c r="M131" s="51"/>
      <c r="N131" s="52"/>
      <c r="O131" s="53"/>
      <c r="P131" s="50"/>
      <c r="R131" s="34"/>
      <c r="S131" s="34"/>
      <c r="T131" s="34"/>
      <c r="U131" s="35"/>
      <c r="V131" s="92"/>
      <c r="W131" s="35"/>
      <c r="X131" s="35"/>
      <c r="Y131" s="35"/>
      <c r="Z131" s="35"/>
      <c r="AA131" s="35"/>
      <c r="AC131" s="81"/>
      <c r="AD131" s="77"/>
      <c r="AE131" s="79"/>
      <c r="AF131" s="79"/>
      <c r="AG131" s="10"/>
      <c r="AH131" s="79"/>
      <c r="AI131" s="10"/>
      <c r="AL131" s="11"/>
      <c r="AM131" s="12"/>
    </row>
    <row r="132" s="1" customFormat="1" spans="2:39">
      <c r="B132" s="31"/>
      <c r="C132" s="31"/>
      <c r="D132" s="61"/>
      <c r="E132" s="61"/>
      <c r="F132" s="30"/>
      <c r="G132" s="30"/>
      <c r="H132" s="31"/>
      <c r="I132" s="90"/>
      <c r="J132" s="88"/>
      <c r="K132" s="88"/>
      <c r="L132" s="89"/>
      <c r="M132" s="51"/>
      <c r="N132" s="52"/>
      <c r="O132" s="53"/>
      <c r="P132" s="50"/>
      <c r="R132" s="34"/>
      <c r="S132" s="34"/>
      <c r="T132" s="34"/>
      <c r="U132" s="35"/>
      <c r="V132" s="92"/>
      <c r="W132" s="35"/>
      <c r="X132" s="35"/>
      <c r="Y132" s="35"/>
      <c r="Z132" s="35"/>
      <c r="AA132" s="35"/>
      <c r="AC132" s="81"/>
      <c r="AD132" s="77"/>
      <c r="AE132" s="79"/>
      <c r="AF132" s="79"/>
      <c r="AG132" s="10"/>
      <c r="AH132" s="79"/>
      <c r="AI132" s="10"/>
      <c r="AL132" s="11"/>
      <c r="AM132" s="12"/>
    </row>
    <row r="133" s="1" customFormat="1" spans="2:39">
      <c r="B133" s="31"/>
      <c r="C133" s="31"/>
      <c r="D133" s="61"/>
      <c r="E133" s="61"/>
      <c r="F133" s="30"/>
      <c r="G133" s="30"/>
      <c r="H133" s="31"/>
      <c r="I133" s="90"/>
      <c r="J133" s="88"/>
      <c r="K133" s="88"/>
      <c r="L133" s="89"/>
      <c r="M133" s="51"/>
      <c r="N133" s="52"/>
      <c r="O133" s="53"/>
      <c r="P133" s="50"/>
      <c r="R133" s="34"/>
      <c r="S133" s="34"/>
      <c r="T133" s="34"/>
      <c r="U133" s="35"/>
      <c r="V133" s="92"/>
      <c r="W133" s="35"/>
      <c r="X133" s="35"/>
      <c r="Y133" s="35"/>
      <c r="Z133" s="35"/>
      <c r="AA133" s="35"/>
      <c r="AC133" s="81"/>
      <c r="AD133" s="77"/>
      <c r="AE133" s="79"/>
      <c r="AF133" s="79"/>
      <c r="AG133" s="10"/>
      <c r="AH133" s="79"/>
      <c r="AI133" s="10"/>
      <c r="AL133" s="11"/>
      <c r="AM133" s="12"/>
    </row>
    <row r="134" s="1" customFormat="1" spans="2:39">
      <c r="B134" s="31"/>
      <c r="C134" s="31"/>
      <c r="D134" s="61"/>
      <c r="E134" s="61"/>
      <c r="F134" s="30"/>
      <c r="G134" s="30"/>
      <c r="H134" s="31"/>
      <c r="I134" s="90"/>
      <c r="J134" s="88"/>
      <c r="K134" s="88"/>
      <c r="L134" s="89"/>
      <c r="M134" s="51"/>
      <c r="N134" s="52"/>
      <c r="O134" s="53"/>
      <c r="P134" s="50"/>
      <c r="R134" s="34"/>
      <c r="S134" s="34"/>
      <c r="T134" s="34"/>
      <c r="U134" s="35"/>
      <c r="V134" s="92"/>
      <c r="W134" s="35"/>
      <c r="X134" s="35"/>
      <c r="Y134" s="35"/>
      <c r="Z134" s="35"/>
      <c r="AA134" s="35"/>
      <c r="AC134" s="81"/>
      <c r="AD134" s="77"/>
      <c r="AE134" s="79"/>
      <c r="AF134" s="79"/>
      <c r="AG134" s="10"/>
      <c r="AH134" s="79"/>
      <c r="AI134" s="10"/>
      <c r="AL134" s="11"/>
      <c r="AM134" s="12"/>
    </row>
    <row r="135" s="1" customFormat="1" spans="2:39">
      <c r="B135" s="31"/>
      <c r="C135" s="31"/>
      <c r="D135" s="61"/>
      <c r="E135" s="61"/>
      <c r="F135" s="30"/>
      <c r="G135" s="30"/>
      <c r="H135" s="31"/>
      <c r="I135" s="90"/>
      <c r="J135" s="88"/>
      <c r="K135" s="88"/>
      <c r="L135" s="89"/>
      <c r="M135" s="51"/>
      <c r="N135" s="52"/>
      <c r="O135" s="53"/>
      <c r="P135" s="50"/>
      <c r="R135" s="34"/>
      <c r="S135" s="34"/>
      <c r="T135" s="34"/>
      <c r="U135" s="35"/>
      <c r="V135" s="92"/>
      <c r="W135" s="35"/>
      <c r="X135" s="35"/>
      <c r="Y135" s="35"/>
      <c r="Z135" s="35"/>
      <c r="AA135" s="35"/>
      <c r="AC135" s="81"/>
      <c r="AD135" s="77"/>
      <c r="AE135" s="79"/>
      <c r="AF135" s="79"/>
      <c r="AG135" s="10"/>
      <c r="AH135" s="79"/>
      <c r="AI135" s="10"/>
      <c r="AL135" s="11"/>
      <c r="AM135" s="12"/>
    </row>
    <row r="136" s="1" customFormat="1" spans="2:39">
      <c r="B136" s="31"/>
      <c r="C136" s="31"/>
      <c r="D136" s="61"/>
      <c r="E136" s="61"/>
      <c r="F136" s="30"/>
      <c r="G136" s="30"/>
      <c r="H136" s="31"/>
      <c r="I136" s="90"/>
      <c r="J136" s="88"/>
      <c r="K136" s="88"/>
      <c r="L136" s="89"/>
      <c r="M136" s="51"/>
      <c r="N136" s="52"/>
      <c r="O136" s="53"/>
      <c r="P136" s="50"/>
      <c r="R136" s="34"/>
      <c r="S136" s="34"/>
      <c r="T136" s="34"/>
      <c r="U136" s="35"/>
      <c r="V136" s="92"/>
      <c r="W136" s="35"/>
      <c r="X136" s="35"/>
      <c r="Y136" s="35"/>
      <c r="Z136" s="35"/>
      <c r="AA136" s="35"/>
      <c r="AC136" s="81"/>
      <c r="AD136" s="77"/>
      <c r="AE136" s="79"/>
      <c r="AF136" s="79"/>
      <c r="AG136" s="10"/>
      <c r="AH136" s="79"/>
      <c r="AI136" s="10"/>
      <c r="AL136" s="11"/>
      <c r="AM136" s="12"/>
    </row>
    <row r="137" s="1" customFormat="1" spans="2:39">
      <c r="B137" s="31"/>
      <c r="C137" s="31"/>
      <c r="D137" s="61"/>
      <c r="E137" s="61"/>
      <c r="F137" s="30"/>
      <c r="G137" s="30"/>
      <c r="H137" s="31"/>
      <c r="I137" s="90"/>
      <c r="J137" s="88"/>
      <c r="K137" s="88"/>
      <c r="L137" s="89"/>
      <c r="M137" s="51"/>
      <c r="N137" s="52"/>
      <c r="O137" s="53"/>
      <c r="P137" s="50"/>
      <c r="R137" s="34"/>
      <c r="S137" s="34"/>
      <c r="T137" s="34"/>
      <c r="U137" s="35"/>
      <c r="V137" s="92"/>
      <c r="W137" s="35"/>
      <c r="X137" s="35"/>
      <c r="Y137" s="35"/>
      <c r="Z137" s="35"/>
      <c r="AA137" s="35"/>
      <c r="AC137" s="81"/>
      <c r="AD137" s="77"/>
      <c r="AE137" s="79"/>
      <c r="AF137" s="79"/>
      <c r="AG137" s="10"/>
      <c r="AH137" s="79"/>
      <c r="AI137" s="10"/>
      <c r="AL137" s="11"/>
      <c r="AM137" s="12"/>
    </row>
    <row r="138" s="1" customFormat="1" spans="2:39">
      <c r="B138" s="31"/>
      <c r="C138" s="31"/>
      <c r="D138" s="61"/>
      <c r="E138" s="61"/>
      <c r="F138" s="30"/>
      <c r="G138" s="30"/>
      <c r="H138" s="31"/>
      <c r="I138" s="90"/>
      <c r="J138" s="88"/>
      <c r="K138" s="88"/>
      <c r="L138" s="89"/>
      <c r="M138" s="51"/>
      <c r="N138" s="52"/>
      <c r="O138" s="53"/>
      <c r="P138" s="50"/>
      <c r="R138" s="34"/>
      <c r="S138" s="34"/>
      <c r="T138" s="34"/>
      <c r="U138" s="35"/>
      <c r="V138" s="92"/>
      <c r="W138" s="35"/>
      <c r="X138" s="35"/>
      <c r="Y138" s="35"/>
      <c r="Z138" s="35"/>
      <c r="AA138" s="35"/>
      <c r="AC138" s="81"/>
      <c r="AD138" s="77"/>
      <c r="AE138" s="79"/>
      <c r="AF138" s="79"/>
      <c r="AG138" s="10"/>
      <c r="AH138" s="79"/>
      <c r="AI138" s="10"/>
      <c r="AL138" s="11"/>
      <c r="AM138" s="12"/>
    </row>
    <row r="139" s="1" customFormat="1" spans="2:39">
      <c r="B139" s="31"/>
      <c r="C139" s="31"/>
      <c r="D139" s="61"/>
      <c r="E139" s="61"/>
      <c r="F139" s="30"/>
      <c r="G139" s="30"/>
      <c r="H139" s="31"/>
      <c r="I139" s="90"/>
      <c r="J139" s="88"/>
      <c r="K139" s="88"/>
      <c r="L139" s="89"/>
      <c r="M139" s="51"/>
      <c r="N139" s="52"/>
      <c r="O139" s="53"/>
      <c r="P139" s="50"/>
      <c r="R139" s="34"/>
      <c r="S139" s="34"/>
      <c r="T139" s="34"/>
      <c r="U139" s="35"/>
      <c r="V139" s="92"/>
      <c r="W139" s="35"/>
      <c r="X139" s="35"/>
      <c r="Y139" s="35"/>
      <c r="Z139" s="35"/>
      <c r="AA139" s="35"/>
      <c r="AC139" s="81"/>
      <c r="AD139" s="77"/>
      <c r="AE139" s="79"/>
      <c r="AF139" s="79"/>
      <c r="AG139" s="10"/>
      <c r="AH139" s="79"/>
      <c r="AI139" s="10"/>
      <c r="AL139" s="11"/>
      <c r="AM139" s="12"/>
    </row>
    <row r="140" s="1" customFormat="1" spans="2:39">
      <c r="B140" s="31"/>
      <c r="C140" s="31"/>
      <c r="D140" s="61"/>
      <c r="E140" s="61"/>
      <c r="F140" s="30"/>
      <c r="G140" s="30"/>
      <c r="H140" s="31"/>
      <c r="I140" s="90"/>
      <c r="J140" s="88"/>
      <c r="K140" s="88"/>
      <c r="L140" s="89"/>
      <c r="M140" s="51"/>
      <c r="N140" s="52"/>
      <c r="O140" s="53"/>
      <c r="P140" s="50"/>
      <c r="R140" s="34"/>
      <c r="S140" s="34"/>
      <c r="T140" s="34"/>
      <c r="U140" s="35"/>
      <c r="V140" s="92"/>
      <c r="W140" s="35"/>
      <c r="X140" s="35"/>
      <c r="Y140" s="35"/>
      <c r="Z140" s="35"/>
      <c r="AA140" s="35"/>
      <c r="AC140" s="81"/>
      <c r="AD140" s="77"/>
      <c r="AE140" s="79"/>
      <c r="AF140" s="79"/>
      <c r="AG140" s="10"/>
      <c r="AH140" s="79"/>
      <c r="AI140" s="10"/>
      <c r="AL140" s="11"/>
      <c r="AM140" s="12"/>
    </row>
    <row r="141" s="1" customFormat="1" spans="2:39">
      <c r="B141" s="31"/>
      <c r="C141" s="31"/>
      <c r="D141" s="61"/>
      <c r="E141" s="61"/>
      <c r="F141" s="30"/>
      <c r="G141" s="30"/>
      <c r="H141" s="31"/>
      <c r="I141" s="90"/>
      <c r="J141" s="88"/>
      <c r="K141" s="88"/>
      <c r="L141" s="89"/>
      <c r="M141" s="51"/>
      <c r="N141" s="52"/>
      <c r="O141" s="53"/>
      <c r="P141" s="50"/>
      <c r="R141" s="34"/>
      <c r="S141" s="34"/>
      <c r="T141" s="34"/>
      <c r="U141" s="35"/>
      <c r="V141" s="92"/>
      <c r="W141" s="35"/>
      <c r="X141" s="35"/>
      <c r="Y141" s="35"/>
      <c r="Z141" s="35"/>
      <c r="AA141" s="35"/>
      <c r="AC141" s="81"/>
      <c r="AD141" s="77"/>
      <c r="AE141" s="79"/>
      <c r="AF141" s="79"/>
      <c r="AG141" s="10"/>
      <c r="AH141" s="79"/>
      <c r="AI141" s="10"/>
      <c r="AL141" s="11"/>
      <c r="AM141" s="12"/>
    </row>
    <row r="142" s="1" customFormat="1" spans="2:39">
      <c r="B142" s="31"/>
      <c r="C142" s="31"/>
      <c r="D142" s="61"/>
      <c r="E142" s="61"/>
      <c r="F142" s="30"/>
      <c r="G142" s="30"/>
      <c r="H142" s="31"/>
      <c r="I142" s="90"/>
      <c r="J142" s="88"/>
      <c r="K142" s="88"/>
      <c r="L142" s="89"/>
      <c r="M142" s="51"/>
      <c r="N142" s="52"/>
      <c r="O142" s="53"/>
      <c r="P142" s="50"/>
      <c r="R142" s="34"/>
      <c r="S142" s="34"/>
      <c r="T142" s="34"/>
      <c r="U142" s="35"/>
      <c r="V142" s="92"/>
      <c r="W142" s="35"/>
      <c r="X142" s="35"/>
      <c r="Y142" s="35"/>
      <c r="Z142" s="35"/>
      <c r="AA142" s="35"/>
      <c r="AC142" s="81"/>
      <c r="AD142" s="77"/>
      <c r="AE142" s="79"/>
      <c r="AF142" s="79"/>
      <c r="AG142" s="10"/>
      <c r="AH142" s="79"/>
      <c r="AI142" s="10"/>
      <c r="AL142" s="11"/>
      <c r="AM142" s="12"/>
    </row>
    <row r="143" s="1" customFormat="1" spans="2:39">
      <c r="B143" s="31"/>
      <c r="C143" s="31"/>
      <c r="D143" s="61"/>
      <c r="E143" s="61"/>
      <c r="F143" s="30"/>
      <c r="G143" s="30"/>
      <c r="H143" s="31"/>
      <c r="I143" s="90"/>
      <c r="J143" s="88"/>
      <c r="K143" s="88"/>
      <c r="L143" s="89"/>
      <c r="M143" s="51"/>
      <c r="N143" s="52"/>
      <c r="O143" s="53"/>
      <c r="P143" s="50"/>
      <c r="R143" s="34"/>
      <c r="S143" s="34"/>
      <c r="T143" s="34"/>
      <c r="U143" s="35"/>
      <c r="V143" s="92"/>
      <c r="W143" s="35"/>
      <c r="X143" s="35"/>
      <c r="Y143" s="35"/>
      <c r="Z143" s="35"/>
      <c r="AA143" s="35"/>
      <c r="AC143" s="81"/>
      <c r="AD143" s="77"/>
      <c r="AE143" s="79"/>
      <c r="AF143" s="79"/>
      <c r="AG143" s="10"/>
      <c r="AH143" s="79"/>
      <c r="AI143" s="10"/>
      <c r="AL143" s="11"/>
      <c r="AM143" s="12"/>
    </row>
    <row r="144" s="1" customFormat="1" spans="2:39">
      <c r="B144" s="31"/>
      <c r="C144" s="31"/>
      <c r="D144" s="61"/>
      <c r="E144" s="61"/>
      <c r="F144" s="30"/>
      <c r="G144" s="30"/>
      <c r="H144" s="31"/>
      <c r="I144" s="90"/>
      <c r="J144" s="88"/>
      <c r="K144" s="88"/>
      <c r="L144" s="89"/>
      <c r="M144" s="51"/>
      <c r="N144" s="52"/>
      <c r="O144" s="53"/>
      <c r="P144" s="50"/>
      <c r="R144" s="34"/>
      <c r="S144" s="34"/>
      <c r="T144" s="34"/>
      <c r="U144" s="35"/>
      <c r="V144" s="92"/>
      <c r="W144" s="35"/>
      <c r="X144" s="35"/>
      <c r="Y144" s="35"/>
      <c r="Z144" s="35"/>
      <c r="AA144" s="35"/>
      <c r="AC144" s="81"/>
      <c r="AD144" s="77"/>
      <c r="AE144" s="79"/>
      <c r="AF144" s="79"/>
      <c r="AG144" s="10"/>
      <c r="AH144" s="79"/>
      <c r="AI144" s="10"/>
      <c r="AL144" s="11"/>
      <c r="AM144" s="12"/>
    </row>
    <row r="145" s="1" customFormat="1" spans="2:39">
      <c r="B145" s="31"/>
      <c r="C145" s="31"/>
      <c r="D145" s="61"/>
      <c r="E145" s="61"/>
      <c r="F145" s="30"/>
      <c r="G145" s="30"/>
      <c r="H145" s="31"/>
      <c r="I145" s="90"/>
      <c r="J145" s="88"/>
      <c r="K145" s="88"/>
      <c r="L145" s="89"/>
      <c r="M145" s="51"/>
      <c r="N145" s="52"/>
      <c r="O145" s="53"/>
      <c r="P145" s="50"/>
      <c r="R145" s="34"/>
      <c r="S145" s="34"/>
      <c r="T145" s="34"/>
      <c r="U145" s="35"/>
      <c r="V145" s="92"/>
      <c r="W145" s="35"/>
      <c r="X145" s="35"/>
      <c r="Y145" s="35"/>
      <c r="Z145" s="35"/>
      <c r="AA145" s="35"/>
      <c r="AC145" s="81"/>
      <c r="AD145" s="77"/>
      <c r="AE145" s="79"/>
      <c r="AF145" s="79"/>
      <c r="AG145" s="10"/>
      <c r="AH145" s="79"/>
      <c r="AI145" s="10"/>
      <c r="AL145" s="11"/>
      <c r="AM145" s="12"/>
    </row>
    <row r="146" s="1" customFormat="1" spans="2:39">
      <c r="B146" s="31"/>
      <c r="C146" s="31"/>
      <c r="D146" s="61"/>
      <c r="E146" s="61"/>
      <c r="F146" s="30"/>
      <c r="G146" s="30"/>
      <c r="H146" s="31"/>
      <c r="I146" s="90"/>
      <c r="J146" s="88"/>
      <c r="K146" s="88"/>
      <c r="L146" s="89"/>
      <c r="M146" s="51"/>
      <c r="N146" s="52"/>
      <c r="O146" s="53"/>
      <c r="P146" s="50"/>
      <c r="R146" s="34"/>
      <c r="S146" s="34"/>
      <c r="T146" s="34"/>
      <c r="U146" s="35"/>
      <c r="V146" s="92"/>
      <c r="W146" s="35"/>
      <c r="X146" s="35"/>
      <c r="Y146" s="35"/>
      <c r="Z146" s="35"/>
      <c r="AA146" s="35"/>
      <c r="AC146" s="81"/>
      <c r="AD146" s="77"/>
      <c r="AE146" s="79"/>
      <c r="AF146" s="79"/>
      <c r="AG146" s="10"/>
      <c r="AH146" s="79"/>
      <c r="AI146" s="10"/>
      <c r="AL146" s="11"/>
      <c r="AM146" s="12"/>
    </row>
    <row r="147" s="1" customFormat="1" spans="2:39">
      <c r="B147" s="31"/>
      <c r="C147" s="31"/>
      <c r="D147" s="61"/>
      <c r="E147" s="61"/>
      <c r="F147" s="30"/>
      <c r="G147" s="30"/>
      <c r="H147" s="31"/>
      <c r="I147" s="90"/>
      <c r="J147" s="88"/>
      <c r="K147" s="88"/>
      <c r="L147" s="89"/>
      <c r="M147" s="51"/>
      <c r="N147" s="52"/>
      <c r="O147" s="53"/>
      <c r="P147" s="50"/>
      <c r="R147" s="34"/>
      <c r="S147" s="34"/>
      <c r="T147" s="34"/>
      <c r="U147" s="35"/>
      <c r="V147" s="92"/>
      <c r="W147" s="35"/>
      <c r="X147" s="35"/>
      <c r="Y147" s="35"/>
      <c r="Z147" s="35"/>
      <c r="AA147" s="35"/>
      <c r="AC147" s="81"/>
      <c r="AD147" s="77"/>
      <c r="AE147" s="79"/>
      <c r="AF147" s="79"/>
      <c r="AG147" s="10"/>
      <c r="AH147" s="79"/>
      <c r="AI147" s="10"/>
      <c r="AL147" s="11"/>
      <c r="AM147" s="12"/>
    </row>
    <row r="148" s="1" customFormat="1" spans="2:39">
      <c r="B148" s="31"/>
      <c r="C148" s="31"/>
      <c r="D148" s="61"/>
      <c r="E148" s="61"/>
      <c r="F148" s="30"/>
      <c r="G148" s="30"/>
      <c r="H148" s="31"/>
      <c r="I148" s="90"/>
      <c r="J148" s="88"/>
      <c r="K148" s="88"/>
      <c r="L148" s="89"/>
      <c r="M148" s="51"/>
      <c r="N148" s="52"/>
      <c r="O148" s="53"/>
      <c r="P148" s="50"/>
      <c r="R148" s="34"/>
      <c r="S148" s="34"/>
      <c r="T148" s="34"/>
      <c r="U148" s="35"/>
      <c r="V148" s="92"/>
      <c r="W148" s="35"/>
      <c r="X148" s="35"/>
      <c r="Y148" s="35"/>
      <c r="Z148" s="35"/>
      <c r="AA148" s="35"/>
      <c r="AC148" s="81"/>
      <c r="AD148" s="77"/>
      <c r="AE148" s="79"/>
      <c r="AF148" s="79"/>
      <c r="AG148" s="10"/>
      <c r="AH148" s="79"/>
      <c r="AI148" s="10"/>
      <c r="AL148" s="11"/>
      <c r="AM148" s="12"/>
    </row>
    <row r="149" s="1" customFormat="1" spans="2:39">
      <c r="B149" s="31"/>
      <c r="C149" s="31"/>
      <c r="D149" s="61"/>
      <c r="E149" s="61"/>
      <c r="F149" s="30"/>
      <c r="G149" s="30"/>
      <c r="H149" s="31"/>
      <c r="I149" s="90"/>
      <c r="J149" s="88"/>
      <c r="K149" s="88"/>
      <c r="L149" s="89"/>
      <c r="M149" s="51"/>
      <c r="N149" s="52"/>
      <c r="O149" s="53"/>
      <c r="P149" s="50"/>
      <c r="R149" s="34"/>
      <c r="S149" s="34"/>
      <c r="T149" s="34"/>
      <c r="U149" s="35"/>
      <c r="V149" s="92"/>
      <c r="W149" s="35"/>
      <c r="X149" s="35"/>
      <c r="Y149" s="35"/>
      <c r="Z149" s="35"/>
      <c r="AA149" s="35"/>
      <c r="AC149" s="81"/>
      <c r="AD149" s="77"/>
      <c r="AE149" s="79"/>
      <c r="AF149" s="79"/>
      <c r="AG149" s="10"/>
      <c r="AH149" s="79"/>
      <c r="AI149" s="10"/>
      <c r="AL149" s="11"/>
      <c r="AM149" s="12"/>
    </row>
    <row r="150" s="1" customFormat="1" spans="2:39">
      <c r="B150" s="31"/>
      <c r="C150" s="31"/>
      <c r="D150" s="61"/>
      <c r="E150" s="61"/>
      <c r="F150" s="30"/>
      <c r="G150" s="30"/>
      <c r="H150" s="31"/>
      <c r="I150" s="90"/>
      <c r="J150" s="88"/>
      <c r="K150" s="88"/>
      <c r="L150" s="89"/>
      <c r="M150" s="51"/>
      <c r="N150" s="52"/>
      <c r="O150" s="53"/>
      <c r="P150" s="50"/>
      <c r="R150" s="34"/>
      <c r="S150" s="34"/>
      <c r="T150" s="34"/>
      <c r="U150" s="35"/>
      <c r="V150" s="92"/>
      <c r="W150" s="35"/>
      <c r="X150" s="35"/>
      <c r="Y150" s="35"/>
      <c r="Z150" s="35"/>
      <c r="AA150" s="35"/>
      <c r="AC150" s="81"/>
      <c r="AD150" s="77"/>
      <c r="AE150" s="79"/>
      <c r="AF150" s="79"/>
      <c r="AG150" s="10"/>
      <c r="AH150" s="79"/>
      <c r="AI150" s="10"/>
      <c r="AL150" s="11"/>
      <c r="AM150" s="12"/>
    </row>
    <row r="151" s="1" customFormat="1" spans="2:39">
      <c r="B151" s="31"/>
      <c r="C151" s="31"/>
      <c r="D151" s="61"/>
      <c r="E151" s="61"/>
      <c r="F151" s="30"/>
      <c r="G151" s="30"/>
      <c r="H151" s="31"/>
      <c r="I151" s="90"/>
      <c r="J151" s="88"/>
      <c r="K151" s="88"/>
      <c r="L151" s="89"/>
      <c r="M151" s="51"/>
      <c r="N151" s="52"/>
      <c r="O151" s="53"/>
      <c r="P151" s="50"/>
      <c r="R151" s="34"/>
      <c r="S151" s="34"/>
      <c r="T151" s="34"/>
      <c r="U151" s="35"/>
      <c r="V151" s="92"/>
      <c r="W151" s="35"/>
      <c r="X151" s="35"/>
      <c r="Y151" s="35"/>
      <c r="Z151" s="35"/>
      <c r="AA151" s="35"/>
      <c r="AC151" s="81"/>
      <c r="AD151" s="77"/>
      <c r="AE151" s="79"/>
      <c r="AF151" s="79"/>
      <c r="AG151" s="10"/>
      <c r="AH151" s="79"/>
      <c r="AI151" s="10"/>
      <c r="AL151" s="11"/>
      <c r="AM151" s="12"/>
    </row>
    <row r="152" s="1" customFormat="1" spans="2:39">
      <c r="B152" s="31"/>
      <c r="C152" s="31"/>
      <c r="D152" s="61"/>
      <c r="E152" s="61"/>
      <c r="F152" s="30"/>
      <c r="G152" s="30"/>
      <c r="H152" s="31"/>
      <c r="I152" s="90"/>
      <c r="J152" s="88"/>
      <c r="K152" s="88"/>
      <c r="L152" s="89"/>
      <c r="M152" s="51"/>
      <c r="N152" s="52"/>
      <c r="O152" s="53"/>
      <c r="P152" s="50"/>
      <c r="R152" s="34"/>
      <c r="S152" s="34"/>
      <c r="T152" s="34"/>
      <c r="U152" s="35"/>
      <c r="V152" s="92"/>
      <c r="W152" s="35"/>
      <c r="X152" s="35"/>
      <c r="Y152" s="35"/>
      <c r="Z152" s="35"/>
      <c r="AA152" s="35"/>
      <c r="AC152" s="81"/>
      <c r="AD152" s="77"/>
      <c r="AE152" s="79"/>
      <c r="AF152" s="79"/>
      <c r="AG152" s="10"/>
      <c r="AH152" s="79"/>
      <c r="AI152" s="10"/>
      <c r="AL152" s="11"/>
      <c r="AM152" s="12"/>
    </row>
    <row r="153" s="1" customFormat="1" spans="2:39">
      <c r="B153" s="31"/>
      <c r="C153" s="31"/>
      <c r="D153" s="61"/>
      <c r="E153" s="61"/>
      <c r="F153" s="30"/>
      <c r="G153" s="30"/>
      <c r="H153" s="31"/>
      <c r="I153" s="90"/>
      <c r="J153" s="88"/>
      <c r="K153" s="88"/>
      <c r="L153" s="89"/>
      <c r="M153" s="51"/>
      <c r="N153" s="52"/>
      <c r="O153" s="53"/>
      <c r="P153" s="50"/>
      <c r="R153" s="34"/>
      <c r="S153" s="34"/>
      <c r="T153" s="34"/>
      <c r="U153" s="35"/>
      <c r="V153" s="92"/>
      <c r="W153" s="35"/>
      <c r="X153" s="35"/>
      <c r="Y153" s="35"/>
      <c r="Z153" s="35"/>
      <c r="AA153" s="35"/>
      <c r="AC153" s="81"/>
      <c r="AD153" s="77"/>
      <c r="AE153" s="79"/>
      <c r="AF153" s="79"/>
      <c r="AG153" s="10"/>
      <c r="AH153" s="79"/>
      <c r="AI153" s="10"/>
      <c r="AL153" s="11"/>
      <c r="AM153" s="12"/>
    </row>
    <row r="154" s="1" customFormat="1" spans="2:39">
      <c r="B154" s="31"/>
      <c r="C154" s="31"/>
      <c r="D154" s="61"/>
      <c r="E154" s="61"/>
      <c r="F154" s="30"/>
      <c r="G154" s="30"/>
      <c r="H154" s="31"/>
      <c r="I154" s="90"/>
      <c r="J154" s="88"/>
      <c r="K154" s="88"/>
      <c r="L154" s="89"/>
      <c r="M154" s="51"/>
      <c r="N154" s="52"/>
      <c r="O154" s="53"/>
      <c r="P154" s="50"/>
      <c r="R154" s="34"/>
      <c r="S154" s="34"/>
      <c r="T154" s="34"/>
      <c r="U154" s="35"/>
      <c r="V154" s="92"/>
      <c r="W154" s="35"/>
      <c r="X154" s="35"/>
      <c r="Y154" s="35"/>
      <c r="Z154" s="35"/>
      <c r="AA154" s="35"/>
      <c r="AC154" s="81"/>
      <c r="AD154" s="77"/>
      <c r="AE154" s="79"/>
      <c r="AF154" s="79"/>
      <c r="AG154" s="10"/>
      <c r="AH154" s="79"/>
      <c r="AI154" s="10"/>
      <c r="AL154" s="11"/>
      <c r="AM154" s="12"/>
    </row>
    <row r="155" s="1" customFormat="1" spans="2:39">
      <c r="B155" s="31"/>
      <c r="C155" s="93"/>
      <c r="D155" s="61"/>
      <c r="E155" s="61"/>
      <c r="F155" s="30"/>
      <c r="G155" s="30"/>
      <c r="H155" s="31"/>
      <c r="I155" s="90"/>
      <c r="J155" s="88"/>
      <c r="K155" s="88"/>
      <c r="L155" s="89"/>
      <c r="M155" s="51"/>
      <c r="N155" s="52"/>
      <c r="O155" s="53"/>
      <c r="P155" s="50"/>
      <c r="R155" s="34"/>
      <c r="S155" s="34"/>
      <c r="T155" s="34"/>
      <c r="U155" s="35"/>
      <c r="V155" s="92"/>
      <c r="W155" s="35"/>
      <c r="X155" s="35"/>
      <c r="Y155" s="35"/>
      <c r="Z155" s="35"/>
      <c r="AA155" s="35"/>
      <c r="AC155" s="81"/>
      <c r="AD155" s="77"/>
      <c r="AE155" s="79"/>
      <c r="AF155" s="79"/>
      <c r="AG155" s="10"/>
      <c r="AH155" s="79"/>
      <c r="AI155" s="10"/>
      <c r="AL155" s="11"/>
      <c r="AM155" s="12"/>
    </row>
    <row r="156" s="1" customFormat="1" spans="2:39">
      <c r="B156" s="31"/>
      <c r="C156" s="93"/>
      <c r="D156" s="61"/>
      <c r="E156" s="61"/>
      <c r="F156" s="30"/>
      <c r="G156" s="30"/>
      <c r="H156" s="31"/>
      <c r="I156" s="90"/>
      <c r="J156" s="88"/>
      <c r="K156" s="88"/>
      <c r="L156" s="89"/>
      <c r="M156" s="51"/>
      <c r="N156" s="52"/>
      <c r="O156" s="53"/>
      <c r="P156" s="50"/>
      <c r="R156" s="34"/>
      <c r="S156" s="34"/>
      <c r="T156" s="34"/>
      <c r="U156" s="35"/>
      <c r="V156" s="92"/>
      <c r="W156" s="35"/>
      <c r="X156" s="35"/>
      <c r="Y156" s="35"/>
      <c r="Z156" s="35"/>
      <c r="AA156" s="35"/>
      <c r="AC156" s="81"/>
      <c r="AD156" s="77"/>
      <c r="AE156" s="79"/>
      <c r="AF156" s="79"/>
      <c r="AG156" s="10"/>
      <c r="AH156" s="79"/>
      <c r="AI156" s="10"/>
      <c r="AL156" s="11"/>
      <c r="AM156" s="12"/>
    </row>
    <row r="157" s="1" customFormat="1" spans="2:39">
      <c r="B157" s="31"/>
      <c r="C157" s="93"/>
      <c r="D157" s="61"/>
      <c r="E157" s="61"/>
      <c r="F157" s="30"/>
      <c r="G157" s="30"/>
      <c r="H157" s="31"/>
      <c r="I157" s="90"/>
      <c r="J157" s="88"/>
      <c r="K157" s="88"/>
      <c r="L157" s="89"/>
      <c r="M157" s="51"/>
      <c r="N157" s="52"/>
      <c r="O157" s="53"/>
      <c r="P157" s="50"/>
      <c r="R157" s="34"/>
      <c r="S157" s="34"/>
      <c r="T157" s="34"/>
      <c r="U157" s="35"/>
      <c r="V157" s="92"/>
      <c r="W157" s="35"/>
      <c r="X157" s="35"/>
      <c r="Y157" s="35"/>
      <c r="Z157" s="35"/>
      <c r="AA157" s="35"/>
      <c r="AC157" s="81"/>
      <c r="AD157" s="77"/>
      <c r="AE157" s="79"/>
      <c r="AF157" s="79"/>
      <c r="AG157" s="10"/>
      <c r="AH157" s="79"/>
      <c r="AI157" s="10"/>
      <c r="AL157" s="11"/>
      <c r="AM157" s="12"/>
    </row>
    <row r="158" s="1" customFormat="1" spans="2:39">
      <c r="B158" s="31"/>
      <c r="C158" s="93"/>
      <c r="D158" s="61"/>
      <c r="E158" s="61"/>
      <c r="F158" s="30"/>
      <c r="G158" s="30"/>
      <c r="H158" s="31"/>
      <c r="I158" s="90"/>
      <c r="J158" s="88"/>
      <c r="K158" s="88"/>
      <c r="L158" s="89"/>
      <c r="M158" s="51"/>
      <c r="N158" s="52"/>
      <c r="O158" s="53"/>
      <c r="P158" s="50"/>
      <c r="R158" s="34"/>
      <c r="S158" s="34"/>
      <c r="T158" s="34"/>
      <c r="U158" s="35"/>
      <c r="V158" s="92"/>
      <c r="W158" s="35"/>
      <c r="X158" s="35"/>
      <c r="Y158" s="35"/>
      <c r="Z158" s="35"/>
      <c r="AA158" s="35"/>
      <c r="AC158" s="81"/>
      <c r="AD158" s="77"/>
      <c r="AE158" s="79"/>
      <c r="AF158" s="79"/>
      <c r="AG158" s="10"/>
      <c r="AH158" s="79"/>
      <c r="AI158" s="10"/>
      <c r="AL158" s="11"/>
      <c r="AM158" s="12"/>
    </row>
    <row r="159" s="1" customFormat="1" spans="2:39">
      <c r="B159" s="31"/>
      <c r="C159" s="93"/>
      <c r="D159" s="61"/>
      <c r="E159" s="61"/>
      <c r="F159" s="30"/>
      <c r="G159" s="30"/>
      <c r="H159" s="31"/>
      <c r="I159" s="90"/>
      <c r="J159" s="88"/>
      <c r="K159" s="88"/>
      <c r="L159" s="89"/>
      <c r="M159" s="51"/>
      <c r="N159" s="52"/>
      <c r="O159" s="53"/>
      <c r="P159" s="50"/>
      <c r="R159" s="34"/>
      <c r="S159" s="34"/>
      <c r="T159" s="34"/>
      <c r="U159" s="35"/>
      <c r="V159" s="92"/>
      <c r="W159" s="35"/>
      <c r="X159" s="35"/>
      <c r="Y159" s="35"/>
      <c r="Z159" s="35"/>
      <c r="AA159" s="35"/>
      <c r="AC159" s="81"/>
      <c r="AD159" s="77"/>
      <c r="AE159" s="79"/>
      <c r="AF159" s="79"/>
      <c r="AG159" s="10"/>
      <c r="AH159" s="79"/>
      <c r="AI159" s="10"/>
      <c r="AL159" s="11"/>
      <c r="AM159" s="12"/>
    </row>
    <row r="160" s="1" customFormat="1" spans="2:39">
      <c r="B160" s="31"/>
      <c r="C160" s="93"/>
      <c r="D160" s="61"/>
      <c r="E160" s="61"/>
      <c r="F160" s="30"/>
      <c r="G160" s="30"/>
      <c r="H160" s="31"/>
      <c r="I160" s="90"/>
      <c r="J160" s="88"/>
      <c r="K160" s="88"/>
      <c r="L160" s="89"/>
      <c r="M160" s="51"/>
      <c r="N160" s="52"/>
      <c r="O160" s="53"/>
      <c r="P160" s="50"/>
      <c r="R160" s="34"/>
      <c r="S160" s="34"/>
      <c r="T160" s="34"/>
      <c r="U160" s="35"/>
      <c r="V160" s="92"/>
      <c r="W160" s="35"/>
      <c r="X160" s="35"/>
      <c r="Y160" s="35"/>
      <c r="Z160" s="35"/>
      <c r="AA160" s="35"/>
      <c r="AC160" s="81"/>
      <c r="AD160" s="77"/>
      <c r="AE160" s="79"/>
      <c r="AF160" s="79"/>
      <c r="AG160" s="10"/>
      <c r="AH160" s="79"/>
      <c r="AI160" s="10"/>
      <c r="AL160" s="11"/>
      <c r="AM160" s="12"/>
    </row>
    <row r="161" s="1" customFormat="1" spans="2:39">
      <c r="B161" s="31"/>
      <c r="C161" s="94"/>
      <c r="D161" s="63"/>
      <c r="E161" s="63"/>
      <c r="F161" s="95"/>
      <c r="G161" s="95"/>
      <c r="H161" s="31"/>
      <c r="I161" s="90"/>
      <c r="J161" s="88"/>
      <c r="K161" s="88"/>
      <c r="L161" s="89"/>
      <c r="M161" s="51"/>
      <c r="N161" s="52"/>
      <c r="O161" s="53"/>
      <c r="P161" s="50"/>
      <c r="R161" s="34"/>
      <c r="S161" s="34"/>
      <c r="T161" s="34"/>
      <c r="U161" s="35"/>
      <c r="V161" s="92"/>
      <c r="W161" s="35"/>
      <c r="X161" s="35"/>
      <c r="Y161" s="35"/>
      <c r="Z161" s="35"/>
      <c r="AA161" s="35"/>
      <c r="AC161" s="81"/>
      <c r="AD161" s="77"/>
      <c r="AE161" s="79"/>
      <c r="AF161" s="79"/>
      <c r="AG161" s="10"/>
      <c r="AH161" s="79"/>
      <c r="AI161" s="10"/>
      <c r="AL161" s="11"/>
      <c r="AM161" s="12"/>
    </row>
    <row r="162" s="1" customFormat="1" spans="2:39">
      <c r="B162" s="31"/>
      <c r="C162" s="94"/>
      <c r="D162" s="63"/>
      <c r="E162" s="63"/>
      <c r="F162" s="95"/>
      <c r="G162" s="95"/>
      <c r="H162" s="31"/>
      <c r="I162" s="90"/>
      <c r="J162" s="88"/>
      <c r="K162" s="88"/>
      <c r="L162" s="89"/>
      <c r="M162" s="51"/>
      <c r="N162" s="52"/>
      <c r="O162" s="53"/>
      <c r="P162" s="50"/>
      <c r="R162" s="34"/>
      <c r="S162" s="34"/>
      <c r="T162" s="34"/>
      <c r="U162" s="35"/>
      <c r="V162" s="92"/>
      <c r="W162" s="35"/>
      <c r="X162" s="35"/>
      <c r="Y162" s="35"/>
      <c r="Z162" s="35"/>
      <c r="AA162" s="35"/>
      <c r="AC162" s="81"/>
      <c r="AD162" s="77"/>
      <c r="AE162" s="79"/>
      <c r="AF162" s="79"/>
      <c r="AG162" s="10"/>
      <c r="AH162" s="79"/>
      <c r="AI162" s="10"/>
      <c r="AL162" s="11"/>
      <c r="AM162" s="12"/>
    </row>
    <row r="163" s="1" customFormat="1" spans="2:39">
      <c r="B163" s="31"/>
      <c r="C163" s="94"/>
      <c r="D163" s="63"/>
      <c r="E163" s="63"/>
      <c r="F163" s="95"/>
      <c r="G163" s="95"/>
      <c r="H163" s="31"/>
      <c r="I163" s="90"/>
      <c r="J163" s="88"/>
      <c r="K163" s="88"/>
      <c r="L163" s="89"/>
      <c r="M163" s="51"/>
      <c r="N163" s="52"/>
      <c r="O163" s="53"/>
      <c r="P163" s="50"/>
      <c r="R163" s="34"/>
      <c r="S163" s="34"/>
      <c r="T163" s="34"/>
      <c r="U163" s="35"/>
      <c r="V163" s="92"/>
      <c r="W163" s="35"/>
      <c r="X163" s="35"/>
      <c r="Y163" s="35"/>
      <c r="Z163" s="35"/>
      <c r="AA163" s="35"/>
      <c r="AC163" s="81"/>
      <c r="AD163" s="77"/>
      <c r="AE163" s="79"/>
      <c r="AF163" s="79"/>
      <c r="AG163" s="10"/>
      <c r="AH163" s="79"/>
      <c r="AI163" s="10"/>
      <c r="AL163" s="11"/>
      <c r="AM163" s="12"/>
    </row>
    <row r="164" s="1" customFormat="1" spans="2:39">
      <c r="B164" s="31"/>
      <c r="C164" s="94"/>
      <c r="D164" s="63"/>
      <c r="E164" s="63"/>
      <c r="F164" s="95"/>
      <c r="G164" s="95"/>
      <c r="H164" s="31"/>
      <c r="I164" s="90"/>
      <c r="J164" s="88"/>
      <c r="K164" s="88"/>
      <c r="L164" s="89"/>
      <c r="M164" s="51"/>
      <c r="N164" s="52"/>
      <c r="O164" s="53"/>
      <c r="P164" s="50"/>
      <c r="R164" s="34"/>
      <c r="S164" s="34"/>
      <c r="T164" s="34"/>
      <c r="U164" s="35"/>
      <c r="V164" s="92"/>
      <c r="W164" s="35"/>
      <c r="X164" s="35"/>
      <c r="Y164" s="35"/>
      <c r="Z164" s="35"/>
      <c r="AA164" s="35"/>
      <c r="AC164" s="81"/>
      <c r="AD164" s="77"/>
      <c r="AE164" s="79"/>
      <c r="AF164" s="79"/>
      <c r="AG164" s="10"/>
      <c r="AH164" s="79"/>
      <c r="AI164" s="10"/>
      <c r="AL164" s="11"/>
      <c r="AM164" s="12"/>
    </row>
    <row r="165" s="1" customFormat="1" spans="2:39">
      <c r="B165" s="31"/>
      <c r="C165" s="94"/>
      <c r="D165" s="61"/>
      <c r="E165" s="61"/>
      <c r="F165" s="95"/>
      <c r="G165" s="95"/>
      <c r="H165" s="31"/>
      <c r="I165" s="90"/>
      <c r="J165" s="88"/>
      <c r="K165" s="88"/>
      <c r="L165" s="89"/>
      <c r="M165" s="51"/>
      <c r="N165" s="52"/>
      <c r="O165" s="53"/>
      <c r="P165" s="50"/>
      <c r="R165" s="34"/>
      <c r="S165" s="34"/>
      <c r="T165" s="34"/>
      <c r="U165" s="35"/>
      <c r="V165" s="92"/>
      <c r="W165" s="35"/>
      <c r="X165" s="35"/>
      <c r="Y165" s="35"/>
      <c r="Z165" s="35"/>
      <c r="AA165" s="35"/>
      <c r="AC165" s="81"/>
      <c r="AD165" s="77"/>
      <c r="AE165" s="79"/>
      <c r="AF165" s="79"/>
      <c r="AG165" s="10"/>
      <c r="AH165" s="79"/>
      <c r="AI165" s="10"/>
      <c r="AL165" s="11"/>
      <c r="AM165" s="12"/>
    </row>
    <row r="166" s="1" customFormat="1" spans="2:39">
      <c r="B166" s="31"/>
      <c r="C166" s="94"/>
      <c r="D166" s="63"/>
      <c r="E166" s="63"/>
      <c r="F166" s="95"/>
      <c r="G166" s="95"/>
      <c r="H166" s="31"/>
      <c r="I166" s="90"/>
      <c r="J166" s="88"/>
      <c r="K166" s="88"/>
      <c r="L166" s="89"/>
      <c r="M166" s="51"/>
      <c r="N166" s="52"/>
      <c r="O166" s="53"/>
      <c r="P166" s="50"/>
      <c r="R166" s="34"/>
      <c r="S166" s="34"/>
      <c r="T166" s="34"/>
      <c r="U166" s="35"/>
      <c r="V166" s="92"/>
      <c r="W166" s="35"/>
      <c r="X166" s="35"/>
      <c r="Y166" s="35"/>
      <c r="Z166" s="35"/>
      <c r="AA166" s="35"/>
      <c r="AC166" s="81"/>
      <c r="AD166" s="77"/>
      <c r="AE166" s="79"/>
      <c r="AF166" s="79"/>
      <c r="AG166" s="10"/>
      <c r="AH166" s="79"/>
      <c r="AI166" s="10"/>
      <c r="AL166" s="11"/>
      <c r="AM166" s="12"/>
    </row>
    <row r="167" s="1" customFormat="1" spans="2:39">
      <c r="B167" s="31"/>
      <c r="C167" s="94"/>
      <c r="D167" s="63"/>
      <c r="E167" s="63"/>
      <c r="F167" s="95"/>
      <c r="G167" s="95"/>
      <c r="H167" s="31"/>
      <c r="I167" s="90"/>
      <c r="J167" s="88"/>
      <c r="K167" s="88"/>
      <c r="L167" s="89"/>
      <c r="M167" s="51"/>
      <c r="N167" s="52"/>
      <c r="O167" s="53"/>
      <c r="P167" s="50"/>
      <c r="R167" s="34"/>
      <c r="S167" s="34"/>
      <c r="T167" s="34"/>
      <c r="U167" s="35"/>
      <c r="V167" s="92"/>
      <c r="W167" s="35"/>
      <c r="X167" s="35"/>
      <c r="Y167" s="35"/>
      <c r="Z167" s="35"/>
      <c r="AA167" s="35"/>
      <c r="AC167" s="81"/>
      <c r="AD167" s="77"/>
      <c r="AE167" s="79"/>
      <c r="AF167" s="79"/>
      <c r="AG167" s="10"/>
      <c r="AH167" s="79"/>
      <c r="AI167" s="10"/>
      <c r="AL167" s="11"/>
      <c r="AM167" s="12"/>
    </row>
    <row r="168" s="1" customFormat="1" spans="2:39">
      <c r="B168" s="31"/>
      <c r="C168" s="94"/>
      <c r="D168" s="63"/>
      <c r="E168" s="63"/>
      <c r="F168" s="95"/>
      <c r="G168" s="95"/>
      <c r="H168" s="31"/>
      <c r="I168" s="90"/>
      <c r="J168" s="88"/>
      <c r="K168" s="88"/>
      <c r="L168" s="89"/>
      <c r="M168" s="51"/>
      <c r="N168" s="52"/>
      <c r="O168" s="53"/>
      <c r="P168" s="50"/>
      <c r="R168" s="34"/>
      <c r="S168" s="34"/>
      <c r="T168" s="34"/>
      <c r="U168" s="35"/>
      <c r="V168" s="92"/>
      <c r="W168" s="35"/>
      <c r="X168" s="35"/>
      <c r="Y168" s="35"/>
      <c r="Z168" s="35"/>
      <c r="AA168" s="35"/>
      <c r="AC168" s="81"/>
      <c r="AD168" s="77"/>
      <c r="AE168" s="79"/>
      <c r="AF168" s="79"/>
      <c r="AG168" s="10"/>
      <c r="AH168" s="79"/>
      <c r="AI168" s="10"/>
      <c r="AL168" s="11"/>
      <c r="AM168" s="12"/>
    </row>
    <row r="169" s="1" customFormat="1" spans="2:39">
      <c r="B169" s="31"/>
      <c r="C169" s="94"/>
      <c r="D169" s="63"/>
      <c r="E169" s="63"/>
      <c r="F169" s="95"/>
      <c r="G169" s="95"/>
      <c r="H169" s="31"/>
      <c r="I169" s="97"/>
      <c r="J169" s="98"/>
      <c r="K169" s="98"/>
      <c r="L169" s="99"/>
      <c r="M169" s="100"/>
      <c r="N169" s="101"/>
      <c r="O169" s="102"/>
      <c r="P169" s="50"/>
      <c r="R169" s="34"/>
      <c r="S169" s="34"/>
      <c r="T169" s="34"/>
      <c r="U169" s="35"/>
      <c r="V169" s="92"/>
      <c r="W169" s="35"/>
      <c r="X169" s="35"/>
      <c r="Y169" s="35"/>
      <c r="Z169" s="35"/>
      <c r="AA169" s="35"/>
      <c r="AC169" s="81"/>
      <c r="AD169" s="77"/>
      <c r="AE169" s="79"/>
      <c r="AF169" s="79"/>
      <c r="AG169" s="10"/>
      <c r="AH169" s="79"/>
      <c r="AI169" s="10"/>
      <c r="AL169" s="11"/>
      <c r="AM169" s="12"/>
    </row>
    <row r="170" s="1" customFormat="1" spans="2:39">
      <c r="B170" s="31"/>
      <c r="C170" s="94"/>
      <c r="D170" s="63"/>
      <c r="E170" s="63"/>
      <c r="F170" s="95"/>
      <c r="G170" s="95"/>
      <c r="H170" s="31"/>
      <c r="I170" s="97"/>
      <c r="J170" s="97"/>
      <c r="K170" s="97"/>
      <c r="L170" s="99"/>
      <c r="M170" s="100"/>
      <c r="N170" s="101"/>
      <c r="O170" s="102"/>
      <c r="P170" s="50"/>
      <c r="R170" s="34"/>
      <c r="S170" s="34"/>
      <c r="T170" s="34"/>
      <c r="U170" s="35"/>
      <c r="V170" s="92"/>
      <c r="W170" s="35"/>
      <c r="X170" s="35"/>
      <c r="Y170" s="35"/>
      <c r="Z170" s="35"/>
      <c r="AA170" s="35"/>
      <c r="AC170" s="81"/>
      <c r="AD170" s="77"/>
      <c r="AE170" s="79"/>
      <c r="AF170" s="79"/>
      <c r="AG170" s="10"/>
      <c r="AH170" s="79"/>
      <c r="AI170" s="10"/>
      <c r="AL170" s="11"/>
      <c r="AM170" s="12"/>
    </row>
    <row r="171" s="1" customFormat="1" spans="2:39">
      <c r="B171" s="31"/>
      <c r="C171" s="94"/>
      <c r="D171" s="63"/>
      <c r="E171" s="63"/>
      <c r="F171" s="95"/>
      <c r="G171" s="95"/>
      <c r="H171" s="31"/>
      <c r="I171" s="97"/>
      <c r="J171" s="98"/>
      <c r="K171" s="98"/>
      <c r="L171" s="99"/>
      <c r="M171" s="100"/>
      <c r="N171" s="101"/>
      <c r="O171" s="102"/>
      <c r="P171" s="50"/>
      <c r="R171" s="34"/>
      <c r="S171" s="34"/>
      <c r="T171" s="34"/>
      <c r="U171" s="35"/>
      <c r="V171" s="92"/>
      <c r="W171" s="35"/>
      <c r="X171" s="35"/>
      <c r="Y171" s="35"/>
      <c r="Z171" s="35"/>
      <c r="AA171" s="35"/>
      <c r="AC171" s="81"/>
      <c r="AD171" s="77"/>
      <c r="AE171" s="79"/>
      <c r="AF171" s="79"/>
      <c r="AG171" s="10"/>
      <c r="AH171" s="79"/>
      <c r="AI171" s="10"/>
      <c r="AL171" s="11"/>
      <c r="AM171" s="12"/>
    </row>
    <row r="172" s="1" customFormat="1" spans="2:39">
      <c r="B172" s="31"/>
      <c r="C172" s="94"/>
      <c r="D172" s="63"/>
      <c r="E172" s="63"/>
      <c r="F172" s="95"/>
      <c r="G172" s="95"/>
      <c r="H172" s="31"/>
      <c r="I172" s="97"/>
      <c r="J172" s="98"/>
      <c r="K172" s="98"/>
      <c r="L172" s="99"/>
      <c r="M172" s="100"/>
      <c r="N172" s="101"/>
      <c r="O172" s="102"/>
      <c r="P172" s="50"/>
      <c r="R172" s="34"/>
      <c r="S172" s="34"/>
      <c r="T172" s="34"/>
      <c r="U172" s="35"/>
      <c r="V172" s="92"/>
      <c r="W172" s="35"/>
      <c r="X172" s="35"/>
      <c r="Y172" s="35"/>
      <c r="Z172" s="35"/>
      <c r="AA172" s="35"/>
      <c r="AC172" s="81"/>
      <c r="AD172" s="77"/>
      <c r="AE172" s="79"/>
      <c r="AF172" s="79"/>
      <c r="AG172" s="10"/>
      <c r="AH172" s="79"/>
      <c r="AI172" s="10"/>
      <c r="AL172" s="11"/>
      <c r="AM172" s="12"/>
    </row>
    <row r="173" s="1" customFormat="1" spans="2:39">
      <c r="B173" s="31"/>
      <c r="C173" s="94"/>
      <c r="D173" s="63"/>
      <c r="E173" s="63"/>
      <c r="F173" s="95"/>
      <c r="G173" s="95"/>
      <c r="H173" s="31"/>
      <c r="I173" s="97"/>
      <c r="J173" s="98"/>
      <c r="K173" s="98"/>
      <c r="L173" s="99"/>
      <c r="M173" s="100"/>
      <c r="N173" s="101"/>
      <c r="O173" s="102"/>
      <c r="P173" s="50"/>
      <c r="R173" s="34"/>
      <c r="S173" s="34"/>
      <c r="T173" s="34"/>
      <c r="U173" s="35"/>
      <c r="V173" s="92"/>
      <c r="W173" s="35"/>
      <c r="X173" s="35"/>
      <c r="Y173" s="35"/>
      <c r="Z173" s="35"/>
      <c r="AA173" s="35"/>
      <c r="AC173" s="81"/>
      <c r="AD173" s="77"/>
      <c r="AE173" s="79"/>
      <c r="AF173" s="79"/>
      <c r="AG173" s="10"/>
      <c r="AH173" s="79"/>
      <c r="AI173" s="10"/>
      <c r="AL173" s="11"/>
      <c r="AM173" s="12"/>
    </row>
    <row r="174" s="1" customFormat="1" spans="2:39">
      <c r="B174" s="31"/>
      <c r="C174" s="94"/>
      <c r="D174" s="63"/>
      <c r="E174" s="63"/>
      <c r="F174" s="95"/>
      <c r="G174" s="95"/>
      <c r="H174" s="31"/>
      <c r="I174" s="97"/>
      <c r="J174" s="103"/>
      <c r="K174" s="103"/>
      <c r="L174" s="102"/>
      <c r="M174" s="102"/>
      <c r="N174" s="101"/>
      <c r="O174" s="102"/>
      <c r="P174" s="50"/>
      <c r="R174" s="34"/>
      <c r="S174" s="34"/>
      <c r="T174" s="34"/>
      <c r="U174" s="35"/>
      <c r="V174" s="92"/>
      <c r="W174" s="35"/>
      <c r="X174" s="35"/>
      <c r="Y174" s="35"/>
      <c r="Z174" s="35"/>
      <c r="AA174" s="35"/>
      <c r="AC174" s="81"/>
      <c r="AD174" s="77"/>
      <c r="AE174" s="79"/>
      <c r="AF174" s="79"/>
      <c r="AG174" s="10"/>
      <c r="AH174" s="79"/>
      <c r="AI174" s="10"/>
      <c r="AL174" s="11"/>
      <c r="AM174" s="12"/>
    </row>
    <row r="175" s="1" customFormat="1" spans="2:39">
      <c r="B175" s="31"/>
      <c r="C175" s="94"/>
      <c r="D175" s="63"/>
      <c r="E175" s="63"/>
      <c r="F175" s="95"/>
      <c r="G175" s="95"/>
      <c r="H175" s="31"/>
      <c r="I175" s="97"/>
      <c r="J175" s="103"/>
      <c r="K175" s="103"/>
      <c r="L175" s="102"/>
      <c r="M175" s="102"/>
      <c r="N175" s="101"/>
      <c r="O175" s="102"/>
      <c r="P175" s="50"/>
      <c r="R175" s="34"/>
      <c r="S175" s="34"/>
      <c r="T175" s="34"/>
      <c r="U175" s="35"/>
      <c r="V175" s="92"/>
      <c r="W175" s="35"/>
      <c r="X175" s="35"/>
      <c r="Y175" s="35"/>
      <c r="Z175" s="35"/>
      <c r="AA175" s="35"/>
      <c r="AC175" s="81"/>
      <c r="AD175" s="77"/>
      <c r="AE175" s="79"/>
      <c r="AF175" s="79"/>
      <c r="AG175" s="10"/>
      <c r="AH175" s="79"/>
      <c r="AI175" s="10"/>
      <c r="AL175" s="11"/>
      <c r="AM175" s="12"/>
    </row>
    <row r="176" s="1" customFormat="1" spans="2:39">
      <c r="B176" s="31"/>
      <c r="C176" s="93"/>
      <c r="D176" s="61"/>
      <c r="E176" s="61"/>
      <c r="F176" s="30"/>
      <c r="G176" s="30"/>
      <c r="H176" s="31"/>
      <c r="I176" s="97"/>
      <c r="J176" s="103"/>
      <c r="K176" s="103"/>
      <c r="L176" s="102"/>
      <c r="M176" s="102"/>
      <c r="N176" s="101"/>
      <c r="O176" s="102"/>
      <c r="P176" s="50"/>
      <c r="R176" s="34"/>
      <c r="S176" s="34"/>
      <c r="T176" s="34"/>
      <c r="U176" s="35"/>
      <c r="V176" s="92"/>
      <c r="W176" s="35"/>
      <c r="X176" s="35"/>
      <c r="Y176" s="35"/>
      <c r="Z176" s="35"/>
      <c r="AA176" s="35"/>
      <c r="AC176" s="81"/>
      <c r="AD176" s="77"/>
      <c r="AE176" s="79"/>
      <c r="AF176" s="79"/>
      <c r="AG176" s="10"/>
      <c r="AH176" s="79"/>
      <c r="AI176" s="10"/>
      <c r="AL176" s="11"/>
      <c r="AM176" s="12"/>
    </row>
    <row r="177" s="1" customFormat="1" spans="3:39">
      <c r="C177" s="96"/>
      <c r="D177" s="61"/>
      <c r="E177" s="61"/>
      <c r="F177" s="30"/>
      <c r="G177" s="30"/>
      <c r="H177" s="31"/>
      <c r="I177" s="97"/>
      <c r="J177" s="103"/>
      <c r="K177" s="103"/>
      <c r="L177" s="102"/>
      <c r="M177" s="102"/>
      <c r="N177" s="101"/>
      <c r="O177" s="102"/>
      <c r="P177" s="50"/>
      <c r="R177" s="34"/>
      <c r="S177" s="34"/>
      <c r="T177" s="34"/>
      <c r="U177" s="35"/>
      <c r="V177" s="92"/>
      <c r="W177" s="35"/>
      <c r="X177" s="35"/>
      <c r="Y177" s="35"/>
      <c r="Z177" s="35"/>
      <c r="AA177" s="35"/>
      <c r="AC177" s="81"/>
      <c r="AD177" s="77"/>
      <c r="AE177" s="79"/>
      <c r="AF177" s="79"/>
      <c r="AG177" s="10"/>
      <c r="AH177" s="79"/>
      <c r="AI177" s="10"/>
      <c r="AL177" s="11"/>
      <c r="AM177" s="12"/>
    </row>
    <row r="178" s="1" customFormat="1" spans="3:39">
      <c r="C178" s="96"/>
      <c r="D178" s="61"/>
      <c r="E178" s="61"/>
      <c r="F178" s="30"/>
      <c r="G178" s="30"/>
      <c r="H178" s="31"/>
      <c r="I178" s="97"/>
      <c r="J178" s="103"/>
      <c r="K178" s="103"/>
      <c r="L178" s="102"/>
      <c r="M178" s="102"/>
      <c r="N178" s="101"/>
      <c r="O178" s="102"/>
      <c r="P178" s="50"/>
      <c r="R178" s="34"/>
      <c r="S178" s="34"/>
      <c r="T178" s="34"/>
      <c r="U178" s="35"/>
      <c r="V178" s="92"/>
      <c r="W178" s="35"/>
      <c r="X178" s="35"/>
      <c r="Y178" s="35"/>
      <c r="Z178" s="35"/>
      <c r="AA178" s="35"/>
      <c r="AC178" s="81"/>
      <c r="AD178" s="77"/>
      <c r="AE178" s="79"/>
      <c r="AF178" s="79"/>
      <c r="AG178" s="10"/>
      <c r="AH178" s="79"/>
      <c r="AI178" s="10"/>
      <c r="AL178" s="11"/>
      <c r="AM178" s="12"/>
    </row>
    <row r="179" s="1" customFormat="1" spans="3:39">
      <c r="C179" s="96"/>
      <c r="D179" s="61"/>
      <c r="E179" s="61"/>
      <c r="F179" s="30"/>
      <c r="G179" s="30"/>
      <c r="H179" s="31"/>
      <c r="I179" s="97"/>
      <c r="J179" s="103"/>
      <c r="K179" s="103"/>
      <c r="L179" s="102"/>
      <c r="M179" s="102"/>
      <c r="N179" s="101"/>
      <c r="O179" s="102"/>
      <c r="P179" s="50"/>
      <c r="R179" s="34"/>
      <c r="S179" s="34"/>
      <c r="T179" s="34"/>
      <c r="U179" s="35"/>
      <c r="V179" s="92"/>
      <c r="W179" s="35"/>
      <c r="X179" s="35"/>
      <c r="Y179" s="35"/>
      <c r="Z179" s="35"/>
      <c r="AA179" s="35"/>
      <c r="AC179" s="81"/>
      <c r="AD179" s="77"/>
      <c r="AE179" s="79"/>
      <c r="AF179" s="79"/>
      <c r="AG179" s="10"/>
      <c r="AH179" s="79"/>
      <c r="AI179" s="10"/>
      <c r="AL179" s="11"/>
      <c r="AM179" s="12"/>
    </row>
    <row r="180" s="1" customFormat="1" spans="3:39">
      <c r="C180" s="96"/>
      <c r="D180" s="61"/>
      <c r="E180" s="61"/>
      <c r="F180" s="30"/>
      <c r="G180" s="30"/>
      <c r="H180" s="31"/>
      <c r="I180" s="97"/>
      <c r="J180" s="103"/>
      <c r="K180" s="103"/>
      <c r="L180" s="102"/>
      <c r="M180" s="102"/>
      <c r="N180" s="101"/>
      <c r="O180" s="102"/>
      <c r="P180" s="50"/>
      <c r="R180" s="34"/>
      <c r="S180" s="34"/>
      <c r="T180" s="34"/>
      <c r="U180" s="35"/>
      <c r="V180" s="92"/>
      <c r="W180" s="35"/>
      <c r="X180" s="35"/>
      <c r="Y180" s="35"/>
      <c r="Z180" s="35"/>
      <c r="AA180" s="35"/>
      <c r="AC180" s="81"/>
      <c r="AD180" s="77"/>
      <c r="AE180" s="79"/>
      <c r="AF180" s="79"/>
      <c r="AG180" s="10"/>
      <c r="AH180" s="79"/>
      <c r="AI180" s="10"/>
      <c r="AL180" s="11"/>
      <c r="AM180" s="12"/>
    </row>
    <row r="181" s="1" customFormat="1" spans="3:39">
      <c r="C181" s="96"/>
      <c r="D181" s="61"/>
      <c r="E181" s="61"/>
      <c r="F181" s="30"/>
      <c r="G181" s="30"/>
      <c r="H181" s="31"/>
      <c r="I181" s="97"/>
      <c r="J181" s="103"/>
      <c r="K181" s="103"/>
      <c r="L181" s="102"/>
      <c r="M181" s="102"/>
      <c r="N181" s="101"/>
      <c r="O181" s="102"/>
      <c r="P181" s="50"/>
      <c r="R181" s="34"/>
      <c r="S181" s="34"/>
      <c r="T181" s="34"/>
      <c r="U181" s="35"/>
      <c r="V181" s="92"/>
      <c r="W181" s="35"/>
      <c r="X181" s="35"/>
      <c r="Y181" s="35"/>
      <c r="Z181" s="35"/>
      <c r="AA181" s="35"/>
      <c r="AC181" s="81"/>
      <c r="AD181" s="77"/>
      <c r="AE181" s="79"/>
      <c r="AF181" s="79"/>
      <c r="AG181" s="10"/>
      <c r="AH181" s="79"/>
      <c r="AI181" s="10"/>
      <c r="AL181" s="11"/>
      <c r="AM181" s="12"/>
    </row>
    <row r="182" s="1" customFormat="1" spans="3:39">
      <c r="C182" s="96"/>
      <c r="D182" s="61"/>
      <c r="E182" s="61"/>
      <c r="F182" s="30"/>
      <c r="G182" s="30"/>
      <c r="H182" s="31"/>
      <c r="I182" s="97"/>
      <c r="J182" s="103"/>
      <c r="K182" s="103"/>
      <c r="L182" s="102"/>
      <c r="M182" s="102"/>
      <c r="N182" s="101"/>
      <c r="O182" s="102"/>
      <c r="P182" s="50"/>
      <c r="R182" s="34"/>
      <c r="S182" s="34"/>
      <c r="T182" s="34"/>
      <c r="U182" s="35"/>
      <c r="V182" s="92"/>
      <c r="W182" s="35"/>
      <c r="X182" s="35"/>
      <c r="Y182" s="35"/>
      <c r="Z182" s="35"/>
      <c r="AA182" s="35"/>
      <c r="AC182" s="81"/>
      <c r="AD182" s="77"/>
      <c r="AE182" s="79"/>
      <c r="AF182" s="79"/>
      <c r="AG182" s="10"/>
      <c r="AH182" s="79"/>
      <c r="AI182" s="10"/>
      <c r="AL182" s="11"/>
      <c r="AM182" s="12"/>
    </row>
    <row r="183" s="1" customFormat="1" spans="3:39">
      <c r="C183" s="96"/>
      <c r="D183" s="61"/>
      <c r="E183" s="61"/>
      <c r="F183" s="30"/>
      <c r="G183" s="30"/>
      <c r="H183" s="31"/>
      <c r="I183" s="97"/>
      <c r="J183" s="103"/>
      <c r="K183" s="103"/>
      <c r="L183" s="102"/>
      <c r="M183" s="102"/>
      <c r="N183" s="101"/>
      <c r="O183" s="102"/>
      <c r="P183" s="50"/>
      <c r="R183" s="34"/>
      <c r="S183" s="34"/>
      <c r="T183" s="34"/>
      <c r="U183" s="35"/>
      <c r="V183" s="92"/>
      <c r="W183" s="35"/>
      <c r="X183" s="35"/>
      <c r="Y183" s="35"/>
      <c r="Z183" s="35"/>
      <c r="AA183" s="35"/>
      <c r="AC183" s="81"/>
      <c r="AD183" s="77"/>
      <c r="AE183" s="79"/>
      <c r="AF183" s="79"/>
      <c r="AG183" s="10"/>
      <c r="AH183" s="79"/>
      <c r="AI183" s="10"/>
      <c r="AL183" s="11"/>
      <c r="AM183" s="12"/>
    </row>
    <row r="184" s="1" customFormat="1" spans="3:39">
      <c r="C184" s="96"/>
      <c r="D184" s="61"/>
      <c r="E184" s="61"/>
      <c r="F184" s="30"/>
      <c r="G184" s="30"/>
      <c r="H184" s="31"/>
      <c r="I184" s="97"/>
      <c r="J184" s="103"/>
      <c r="K184" s="103"/>
      <c r="L184" s="102"/>
      <c r="M184" s="102"/>
      <c r="N184" s="101"/>
      <c r="O184" s="102"/>
      <c r="P184" s="50"/>
      <c r="R184" s="34"/>
      <c r="S184" s="34"/>
      <c r="T184" s="34"/>
      <c r="U184" s="35"/>
      <c r="V184" s="92"/>
      <c r="W184" s="35"/>
      <c r="X184" s="35"/>
      <c r="Y184" s="35"/>
      <c r="Z184" s="35"/>
      <c r="AA184" s="35"/>
      <c r="AC184" s="81"/>
      <c r="AD184" s="77"/>
      <c r="AE184" s="79"/>
      <c r="AF184" s="79"/>
      <c r="AG184" s="10"/>
      <c r="AH184" s="79"/>
      <c r="AI184" s="10"/>
      <c r="AL184" s="11"/>
      <c r="AM184" s="12"/>
    </row>
    <row r="185" s="1" customFormat="1" spans="3:39">
      <c r="C185" s="96"/>
      <c r="D185" s="61"/>
      <c r="E185" s="61"/>
      <c r="F185" s="30"/>
      <c r="G185" s="30"/>
      <c r="H185" s="31"/>
      <c r="I185" s="90"/>
      <c r="J185" s="104"/>
      <c r="K185" s="104"/>
      <c r="L185" s="53"/>
      <c r="M185" s="53"/>
      <c r="N185" s="52"/>
      <c r="O185" s="53"/>
      <c r="P185" s="50"/>
      <c r="R185" s="34"/>
      <c r="S185" s="34"/>
      <c r="T185" s="34"/>
      <c r="U185" s="35"/>
      <c r="V185" s="92"/>
      <c r="W185" s="35"/>
      <c r="X185" s="35"/>
      <c r="Y185" s="35"/>
      <c r="Z185" s="35"/>
      <c r="AA185" s="35"/>
      <c r="AC185" s="81"/>
      <c r="AD185" s="77"/>
      <c r="AE185" s="79"/>
      <c r="AF185" s="79"/>
      <c r="AG185" s="10"/>
      <c r="AH185" s="79"/>
      <c r="AI185" s="10"/>
      <c r="AL185" s="11"/>
      <c r="AM185" s="12"/>
    </row>
    <row r="186" s="1" customFormat="1" spans="3:39">
      <c r="C186" s="96"/>
      <c r="D186" s="61"/>
      <c r="E186" s="61"/>
      <c r="F186" s="30"/>
      <c r="G186" s="30"/>
      <c r="H186" s="31"/>
      <c r="I186" s="90"/>
      <c r="J186" s="104"/>
      <c r="K186" s="104"/>
      <c r="L186" s="53"/>
      <c r="M186" s="53"/>
      <c r="N186" s="52"/>
      <c r="O186" s="53"/>
      <c r="P186" s="50"/>
      <c r="R186" s="34"/>
      <c r="S186" s="34"/>
      <c r="T186" s="34"/>
      <c r="U186" s="35"/>
      <c r="V186" s="92"/>
      <c r="W186" s="35"/>
      <c r="X186" s="35"/>
      <c r="Y186" s="35"/>
      <c r="Z186" s="35"/>
      <c r="AA186" s="35"/>
      <c r="AC186" s="81"/>
      <c r="AD186" s="77"/>
      <c r="AE186" s="79"/>
      <c r="AF186" s="79"/>
      <c r="AG186" s="10"/>
      <c r="AH186" s="79"/>
      <c r="AI186" s="10"/>
      <c r="AL186" s="11"/>
      <c r="AM186" s="12"/>
    </row>
    <row r="187" s="1" customFormat="1" spans="3:39">
      <c r="C187" s="96"/>
      <c r="D187" s="61"/>
      <c r="E187" s="61"/>
      <c r="F187" s="30"/>
      <c r="G187" s="30"/>
      <c r="H187" s="31"/>
      <c r="I187" s="90"/>
      <c r="J187" s="104"/>
      <c r="K187" s="104"/>
      <c r="L187" s="53"/>
      <c r="M187" s="53"/>
      <c r="N187" s="52"/>
      <c r="O187" s="53"/>
      <c r="P187" s="50"/>
      <c r="R187" s="34"/>
      <c r="S187" s="34"/>
      <c r="T187" s="34"/>
      <c r="U187" s="35"/>
      <c r="V187" s="92"/>
      <c r="W187" s="35"/>
      <c r="X187" s="35"/>
      <c r="Y187" s="35"/>
      <c r="Z187" s="35"/>
      <c r="AA187" s="35"/>
      <c r="AC187" s="81"/>
      <c r="AD187" s="77"/>
      <c r="AE187" s="79"/>
      <c r="AF187" s="79"/>
      <c r="AG187" s="10"/>
      <c r="AH187" s="79"/>
      <c r="AI187" s="10"/>
      <c r="AL187" s="11"/>
      <c r="AM187" s="12"/>
    </row>
    <row r="188" s="1" customFormat="1" spans="3:39">
      <c r="C188" s="31"/>
      <c r="D188" s="61"/>
      <c r="E188" s="61"/>
      <c r="F188" s="30"/>
      <c r="G188" s="30"/>
      <c r="H188" s="31"/>
      <c r="I188" s="90"/>
      <c r="J188" s="104"/>
      <c r="K188" s="104"/>
      <c r="L188" s="53"/>
      <c r="M188" s="53"/>
      <c r="N188" s="52"/>
      <c r="O188" s="53"/>
      <c r="P188" s="50"/>
      <c r="R188" s="34"/>
      <c r="S188" s="34"/>
      <c r="T188" s="34"/>
      <c r="U188" s="35"/>
      <c r="V188" s="92"/>
      <c r="W188" s="35"/>
      <c r="X188" s="35"/>
      <c r="Y188" s="35"/>
      <c r="Z188" s="35"/>
      <c r="AA188" s="35"/>
      <c r="AC188" s="81"/>
      <c r="AD188" s="77"/>
      <c r="AE188" s="79"/>
      <c r="AF188" s="79"/>
      <c r="AG188" s="10"/>
      <c r="AH188" s="79"/>
      <c r="AI188" s="10"/>
      <c r="AL188" s="11"/>
      <c r="AM188" s="12"/>
    </row>
    <row r="189" s="1" customFormat="1" spans="3:39">
      <c r="C189" s="31"/>
      <c r="D189" s="61"/>
      <c r="E189" s="61"/>
      <c r="F189" s="30"/>
      <c r="G189" s="30"/>
      <c r="H189" s="31"/>
      <c r="I189" s="90"/>
      <c r="J189" s="104"/>
      <c r="K189" s="104"/>
      <c r="L189" s="53"/>
      <c r="M189" s="53"/>
      <c r="N189" s="52"/>
      <c r="O189" s="53"/>
      <c r="P189" s="50"/>
      <c r="R189" s="34"/>
      <c r="S189" s="34"/>
      <c r="T189" s="34"/>
      <c r="U189" s="35"/>
      <c r="V189" s="92"/>
      <c r="W189" s="35"/>
      <c r="X189" s="35"/>
      <c r="Y189" s="35"/>
      <c r="Z189" s="35"/>
      <c r="AA189" s="35"/>
      <c r="AC189" s="81"/>
      <c r="AD189" s="77"/>
      <c r="AE189" s="79"/>
      <c r="AF189" s="79"/>
      <c r="AG189" s="10"/>
      <c r="AH189" s="79"/>
      <c r="AI189" s="10"/>
      <c r="AL189" s="11"/>
      <c r="AM189" s="12"/>
    </row>
    <row r="190" s="1" customFormat="1" spans="3:39">
      <c r="C190" s="31"/>
      <c r="D190" s="61"/>
      <c r="E190" s="61"/>
      <c r="F190" s="30"/>
      <c r="G190" s="30"/>
      <c r="H190" s="31"/>
      <c r="I190" s="90"/>
      <c r="J190" s="104"/>
      <c r="K190" s="104"/>
      <c r="L190" s="53"/>
      <c r="M190" s="53"/>
      <c r="N190" s="52"/>
      <c r="O190" s="53"/>
      <c r="P190" s="50"/>
      <c r="R190" s="34"/>
      <c r="S190" s="34"/>
      <c r="T190" s="34"/>
      <c r="U190" s="35"/>
      <c r="V190" s="92"/>
      <c r="W190" s="35"/>
      <c r="X190" s="35"/>
      <c r="Y190" s="35"/>
      <c r="Z190" s="35"/>
      <c r="AA190" s="35"/>
      <c r="AC190" s="79"/>
      <c r="AD190" s="77"/>
      <c r="AE190" s="79"/>
      <c r="AF190" s="79"/>
      <c r="AG190" s="10"/>
      <c r="AH190" s="79"/>
      <c r="AI190" s="10"/>
      <c r="AL190" s="11"/>
      <c r="AM190" s="12"/>
    </row>
    <row r="191" s="1" customFormat="1" spans="3:39">
      <c r="C191" s="31"/>
      <c r="D191" s="61"/>
      <c r="E191" s="61"/>
      <c r="F191" s="30"/>
      <c r="G191" s="30"/>
      <c r="H191" s="31"/>
      <c r="I191" s="90"/>
      <c r="J191" s="104"/>
      <c r="K191" s="104"/>
      <c r="L191" s="53"/>
      <c r="M191" s="53"/>
      <c r="N191" s="52"/>
      <c r="O191" s="53"/>
      <c r="P191" s="50"/>
      <c r="V191" s="5"/>
      <c r="AC191" s="79"/>
      <c r="AD191" s="77"/>
      <c r="AE191" s="79"/>
      <c r="AF191" s="79"/>
      <c r="AG191" s="10"/>
      <c r="AH191" s="79"/>
      <c r="AI191" s="10"/>
      <c r="AL191" s="11"/>
      <c r="AM191" s="12"/>
    </row>
    <row r="192" s="1" customFormat="1" spans="3:39">
      <c r="C192" s="31"/>
      <c r="D192" s="61"/>
      <c r="E192" s="61"/>
      <c r="F192" s="30"/>
      <c r="G192" s="30"/>
      <c r="H192" s="31"/>
      <c r="I192" s="90"/>
      <c r="J192" s="104"/>
      <c r="K192" s="104"/>
      <c r="L192" s="53"/>
      <c r="M192" s="53"/>
      <c r="N192" s="52"/>
      <c r="O192" s="53"/>
      <c r="P192" s="50"/>
      <c r="V192" s="5"/>
      <c r="AC192" s="79"/>
      <c r="AD192" s="77"/>
      <c r="AE192" s="79"/>
      <c r="AF192" s="79"/>
      <c r="AG192" s="10"/>
      <c r="AH192" s="79"/>
      <c r="AI192" s="10"/>
      <c r="AL192" s="11"/>
      <c r="AM192" s="12"/>
    </row>
    <row r="193" s="1" customFormat="1" spans="3:39">
      <c r="C193" s="31"/>
      <c r="D193" s="61"/>
      <c r="E193" s="61"/>
      <c r="F193" s="30"/>
      <c r="G193" s="30"/>
      <c r="H193" s="31"/>
      <c r="I193" s="90"/>
      <c r="J193" s="104"/>
      <c r="K193" s="104"/>
      <c r="L193" s="53"/>
      <c r="M193" s="53"/>
      <c r="N193" s="52"/>
      <c r="O193" s="53"/>
      <c r="P193" s="50"/>
      <c r="V193" s="5"/>
      <c r="AC193" s="79"/>
      <c r="AD193" s="77"/>
      <c r="AE193" s="79"/>
      <c r="AF193" s="79"/>
      <c r="AG193" s="10"/>
      <c r="AH193" s="79"/>
      <c r="AI193" s="10"/>
      <c r="AL193" s="11"/>
      <c r="AM193" s="12"/>
    </row>
    <row r="194" s="1" customFormat="1" spans="3:39">
      <c r="C194" s="31"/>
      <c r="D194" s="61"/>
      <c r="E194" s="61"/>
      <c r="F194" s="30"/>
      <c r="G194" s="30"/>
      <c r="H194" s="31"/>
      <c r="I194" s="90"/>
      <c r="J194" s="104"/>
      <c r="K194" s="104"/>
      <c r="L194" s="53"/>
      <c r="M194" s="53"/>
      <c r="N194" s="52"/>
      <c r="O194" s="53"/>
      <c r="P194" s="50"/>
      <c r="V194" s="5"/>
      <c r="AC194" s="79"/>
      <c r="AD194" s="77"/>
      <c r="AE194" s="79"/>
      <c r="AF194" s="79"/>
      <c r="AG194" s="10"/>
      <c r="AH194" s="79"/>
      <c r="AI194" s="10"/>
      <c r="AL194" s="11"/>
      <c r="AM194" s="12"/>
    </row>
    <row r="195" s="1" customFormat="1" spans="3:39">
      <c r="C195" s="31"/>
      <c r="D195" s="61"/>
      <c r="E195" s="61"/>
      <c r="F195" s="30"/>
      <c r="G195" s="30"/>
      <c r="H195" s="31"/>
      <c r="I195" s="90"/>
      <c r="J195" s="104"/>
      <c r="K195" s="104"/>
      <c r="L195" s="53"/>
      <c r="M195" s="53"/>
      <c r="N195" s="52"/>
      <c r="O195" s="53"/>
      <c r="P195" s="50"/>
      <c r="V195" s="5"/>
      <c r="AC195" s="79"/>
      <c r="AD195" s="77"/>
      <c r="AE195" s="79"/>
      <c r="AF195" s="79"/>
      <c r="AG195" s="10"/>
      <c r="AH195" s="79"/>
      <c r="AI195" s="10"/>
      <c r="AL195" s="11"/>
      <c r="AM195" s="12"/>
    </row>
    <row r="196" s="1" customFormat="1" spans="3:39">
      <c r="C196" s="31"/>
      <c r="D196" s="61"/>
      <c r="E196" s="61"/>
      <c r="F196" s="30"/>
      <c r="G196" s="30"/>
      <c r="H196" s="31"/>
      <c r="I196" s="90"/>
      <c r="J196" s="104"/>
      <c r="K196" s="104"/>
      <c r="L196" s="53"/>
      <c r="M196" s="53"/>
      <c r="N196" s="52"/>
      <c r="O196" s="53"/>
      <c r="P196" s="50"/>
      <c r="V196" s="5"/>
      <c r="AC196" s="79"/>
      <c r="AD196" s="77"/>
      <c r="AE196" s="79"/>
      <c r="AF196" s="79"/>
      <c r="AG196" s="10"/>
      <c r="AH196" s="79"/>
      <c r="AI196" s="10"/>
      <c r="AL196" s="11"/>
      <c r="AM196" s="12"/>
    </row>
    <row r="197" s="1" customFormat="1" spans="3:39">
      <c r="C197" s="31"/>
      <c r="D197" s="61"/>
      <c r="E197" s="61"/>
      <c r="F197" s="30"/>
      <c r="G197" s="30"/>
      <c r="H197" s="31"/>
      <c r="I197" s="90"/>
      <c r="J197" s="104"/>
      <c r="K197" s="104"/>
      <c r="L197" s="53"/>
      <c r="M197" s="53"/>
      <c r="N197" s="52"/>
      <c r="O197" s="53"/>
      <c r="P197" s="50"/>
      <c r="V197" s="5"/>
      <c r="AC197" s="79"/>
      <c r="AD197" s="77"/>
      <c r="AE197" s="79"/>
      <c r="AF197" s="79"/>
      <c r="AG197" s="10"/>
      <c r="AH197" s="79"/>
      <c r="AI197" s="10"/>
      <c r="AL197" s="11"/>
      <c r="AM197" s="12"/>
    </row>
    <row r="198" s="1" customFormat="1" spans="3:39">
      <c r="C198" s="31"/>
      <c r="D198" s="61"/>
      <c r="E198" s="61"/>
      <c r="F198" s="30"/>
      <c r="G198" s="30"/>
      <c r="H198" s="31"/>
      <c r="I198" s="90"/>
      <c r="J198" s="104"/>
      <c r="K198" s="104"/>
      <c r="L198" s="53"/>
      <c r="M198" s="53"/>
      <c r="N198" s="52"/>
      <c r="O198" s="53"/>
      <c r="P198" s="50"/>
      <c r="V198" s="5"/>
      <c r="AC198" s="79"/>
      <c r="AD198" s="77"/>
      <c r="AE198" s="79"/>
      <c r="AF198" s="79"/>
      <c r="AG198" s="10"/>
      <c r="AH198" s="79"/>
      <c r="AI198" s="10"/>
      <c r="AL198" s="11"/>
      <c r="AM198" s="12"/>
    </row>
    <row r="199" s="1" customFormat="1" spans="3:39">
      <c r="C199" s="31"/>
      <c r="D199" s="61"/>
      <c r="E199" s="61"/>
      <c r="F199" s="30"/>
      <c r="G199" s="30"/>
      <c r="H199" s="31"/>
      <c r="I199" s="90"/>
      <c r="J199" s="104"/>
      <c r="K199" s="104"/>
      <c r="L199" s="53"/>
      <c r="M199" s="53"/>
      <c r="N199" s="52"/>
      <c r="O199" s="53"/>
      <c r="P199" s="50"/>
      <c r="V199" s="5"/>
      <c r="AC199" s="79"/>
      <c r="AD199" s="77"/>
      <c r="AE199" s="79"/>
      <c r="AF199" s="79"/>
      <c r="AG199" s="10"/>
      <c r="AH199" s="79"/>
      <c r="AI199" s="10"/>
      <c r="AL199" s="11"/>
      <c r="AM199" s="12"/>
    </row>
    <row r="200" s="1" customFormat="1" spans="3:39">
      <c r="C200" s="31"/>
      <c r="D200" s="61"/>
      <c r="E200" s="61"/>
      <c r="F200" s="30"/>
      <c r="G200" s="30"/>
      <c r="H200" s="31"/>
      <c r="I200" s="90"/>
      <c r="J200" s="104"/>
      <c r="K200" s="104"/>
      <c r="L200" s="53"/>
      <c r="M200" s="53"/>
      <c r="N200" s="52"/>
      <c r="O200" s="53"/>
      <c r="P200" s="50"/>
      <c r="V200" s="5"/>
      <c r="AC200" s="79"/>
      <c r="AD200" s="77"/>
      <c r="AE200" s="79"/>
      <c r="AF200" s="79"/>
      <c r="AG200" s="10"/>
      <c r="AH200" s="79"/>
      <c r="AI200" s="10"/>
      <c r="AL200" s="11"/>
      <c r="AM200" s="12"/>
    </row>
    <row r="201" s="1" customFormat="1" spans="3:39">
      <c r="C201" s="31"/>
      <c r="D201" s="61"/>
      <c r="E201" s="61"/>
      <c r="F201" s="30"/>
      <c r="G201" s="30"/>
      <c r="H201" s="31"/>
      <c r="I201" s="90"/>
      <c r="J201" s="104"/>
      <c r="K201" s="104"/>
      <c r="L201" s="53"/>
      <c r="M201" s="53"/>
      <c r="N201" s="52"/>
      <c r="O201" s="53"/>
      <c r="P201" s="50"/>
      <c r="V201" s="5"/>
      <c r="AC201" s="79"/>
      <c r="AD201" s="77"/>
      <c r="AE201" s="79"/>
      <c r="AF201" s="79"/>
      <c r="AG201" s="10"/>
      <c r="AH201" s="79"/>
      <c r="AI201" s="10"/>
      <c r="AL201" s="11"/>
      <c r="AM201" s="12"/>
    </row>
    <row r="202" s="1" customFormat="1" spans="3:39">
      <c r="C202" s="31"/>
      <c r="D202" s="61"/>
      <c r="E202" s="61"/>
      <c r="F202" s="30"/>
      <c r="G202" s="30"/>
      <c r="H202" s="31"/>
      <c r="I202" s="91"/>
      <c r="J202" s="104"/>
      <c r="K202" s="104"/>
      <c r="L202" s="53"/>
      <c r="M202" s="53"/>
      <c r="N202" s="52"/>
      <c r="O202" s="53"/>
      <c r="P202" s="50"/>
      <c r="V202" s="5"/>
      <c r="AC202" s="79"/>
      <c r="AD202" s="77"/>
      <c r="AE202" s="79"/>
      <c r="AF202" s="79"/>
      <c r="AG202" s="10"/>
      <c r="AH202" s="79"/>
      <c r="AI202" s="10"/>
      <c r="AL202" s="11"/>
      <c r="AM202" s="12"/>
    </row>
    <row r="203" s="1" customFormat="1" spans="3:39">
      <c r="C203" s="31"/>
      <c r="D203" s="61"/>
      <c r="E203" s="61"/>
      <c r="F203" s="30"/>
      <c r="G203" s="30"/>
      <c r="H203" s="31"/>
      <c r="I203" s="91"/>
      <c r="J203" s="104"/>
      <c r="K203" s="104"/>
      <c r="L203" s="53"/>
      <c r="M203" s="53"/>
      <c r="N203" s="52"/>
      <c r="O203" s="53"/>
      <c r="P203" s="50"/>
      <c r="V203" s="5"/>
      <c r="AC203" s="79"/>
      <c r="AD203" s="77"/>
      <c r="AE203" s="79"/>
      <c r="AF203" s="79"/>
      <c r="AG203" s="10"/>
      <c r="AH203" s="79"/>
      <c r="AI203" s="10"/>
      <c r="AL203" s="11"/>
      <c r="AM203" s="12"/>
    </row>
    <row r="204" s="1" customFormat="1" spans="3:39">
      <c r="C204" s="31"/>
      <c r="D204" s="61"/>
      <c r="E204" s="61"/>
      <c r="F204" s="30"/>
      <c r="G204" s="30"/>
      <c r="H204" s="31"/>
      <c r="I204" s="91"/>
      <c r="J204" s="104"/>
      <c r="K204" s="104"/>
      <c r="L204" s="53"/>
      <c r="M204" s="53"/>
      <c r="N204" s="52"/>
      <c r="O204" s="53"/>
      <c r="P204" s="50"/>
      <c r="V204" s="5"/>
      <c r="AC204" s="79"/>
      <c r="AD204" s="77"/>
      <c r="AE204" s="79"/>
      <c r="AF204" s="79"/>
      <c r="AG204" s="10"/>
      <c r="AH204" s="79"/>
      <c r="AI204" s="10"/>
      <c r="AL204" s="11"/>
      <c r="AM204" s="12"/>
    </row>
    <row r="205" s="1" customFormat="1" spans="3:39">
      <c r="C205" s="31"/>
      <c r="D205" s="61"/>
      <c r="E205" s="61"/>
      <c r="F205" s="30"/>
      <c r="G205" s="30"/>
      <c r="H205" s="31"/>
      <c r="I205" s="91"/>
      <c r="J205" s="104"/>
      <c r="K205" s="104"/>
      <c r="L205" s="53"/>
      <c r="M205" s="53"/>
      <c r="N205" s="52"/>
      <c r="O205" s="53"/>
      <c r="P205" s="50"/>
      <c r="V205" s="5"/>
      <c r="AC205" s="79"/>
      <c r="AD205" s="77"/>
      <c r="AE205" s="79"/>
      <c r="AF205" s="79"/>
      <c r="AG205" s="10"/>
      <c r="AH205" s="79"/>
      <c r="AI205" s="10"/>
      <c r="AL205" s="11"/>
      <c r="AM205" s="12"/>
    </row>
    <row r="206" s="1" customFormat="1" spans="3:39">
      <c r="C206" s="31"/>
      <c r="D206" s="61"/>
      <c r="E206" s="61"/>
      <c r="F206" s="30"/>
      <c r="G206" s="30"/>
      <c r="H206" s="31"/>
      <c r="I206" s="91"/>
      <c r="J206" s="104"/>
      <c r="K206" s="104"/>
      <c r="L206" s="53"/>
      <c r="M206" s="53"/>
      <c r="N206" s="52"/>
      <c r="O206" s="53"/>
      <c r="P206" s="50"/>
      <c r="V206" s="5"/>
      <c r="AC206" s="79"/>
      <c r="AD206" s="77"/>
      <c r="AE206" s="79"/>
      <c r="AF206" s="79"/>
      <c r="AG206" s="10"/>
      <c r="AH206" s="79"/>
      <c r="AI206" s="10"/>
      <c r="AL206" s="11"/>
      <c r="AM206" s="12"/>
    </row>
    <row r="207" s="1" customFormat="1" spans="3:39">
      <c r="C207" s="31"/>
      <c r="D207" s="61"/>
      <c r="E207" s="61"/>
      <c r="F207" s="30"/>
      <c r="G207" s="30"/>
      <c r="H207" s="31"/>
      <c r="I207" s="91"/>
      <c r="J207" s="104"/>
      <c r="K207" s="104"/>
      <c r="L207" s="53"/>
      <c r="M207" s="53"/>
      <c r="N207" s="52"/>
      <c r="O207" s="53"/>
      <c r="P207" s="50"/>
      <c r="V207" s="5"/>
      <c r="AC207" s="79"/>
      <c r="AD207" s="77"/>
      <c r="AE207" s="79"/>
      <c r="AF207" s="79"/>
      <c r="AG207" s="10"/>
      <c r="AH207" s="79"/>
      <c r="AI207" s="10"/>
      <c r="AL207" s="11"/>
      <c r="AM207" s="12"/>
    </row>
    <row r="208" s="1" customFormat="1" spans="3:39">
      <c r="C208" s="31"/>
      <c r="D208" s="61"/>
      <c r="E208" s="61"/>
      <c r="F208" s="30"/>
      <c r="G208" s="30"/>
      <c r="H208" s="31"/>
      <c r="I208" s="91"/>
      <c r="J208" s="104"/>
      <c r="K208" s="104"/>
      <c r="L208" s="53"/>
      <c r="M208" s="53"/>
      <c r="N208" s="52"/>
      <c r="O208" s="53"/>
      <c r="P208" s="50"/>
      <c r="V208" s="5"/>
      <c r="AC208" s="79"/>
      <c r="AD208" s="77"/>
      <c r="AE208" s="79"/>
      <c r="AF208" s="79"/>
      <c r="AG208" s="10"/>
      <c r="AH208" s="79"/>
      <c r="AI208" s="10"/>
      <c r="AL208" s="11"/>
      <c r="AM208" s="12"/>
    </row>
    <row r="209" s="1" customFormat="1" spans="3:39">
      <c r="C209" s="31"/>
      <c r="D209" s="61"/>
      <c r="E209" s="61"/>
      <c r="F209" s="30"/>
      <c r="G209" s="30"/>
      <c r="H209" s="31"/>
      <c r="I209" s="91"/>
      <c r="J209" s="104"/>
      <c r="K209" s="104"/>
      <c r="L209" s="53"/>
      <c r="M209" s="53"/>
      <c r="N209" s="52"/>
      <c r="O209" s="53"/>
      <c r="P209" s="50"/>
      <c r="V209" s="5"/>
      <c r="AC209" s="79"/>
      <c r="AD209" s="77"/>
      <c r="AE209" s="79"/>
      <c r="AF209" s="79"/>
      <c r="AG209" s="10"/>
      <c r="AH209" s="79"/>
      <c r="AI209" s="10"/>
      <c r="AL209" s="11"/>
      <c r="AM209" s="12"/>
    </row>
    <row r="210" s="1" customFormat="1" spans="3:39">
      <c r="C210" s="31"/>
      <c r="D210" s="61"/>
      <c r="E210" s="61"/>
      <c r="F210" s="30"/>
      <c r="G210" s="30"/>
      <c r="H210" s="31"/>
      <c r="I210" s="91"/>
      <c r="J210" s="104"/>
      <c r="K210" s="104"/>
      <c r="L210" s="53"/>
      <c r="M210" s="53"/>
      <c r="N210" s="52"/>
      <c r="O210" s="53"/>
      <c r="P210" s="50"/>
      <c r="V210" s="5"/>
      <c r="AC210" s="79"/>
      <c r="AD210" s="77"/>
      <c r="AE210" s="79"/>
      <c r="AF210" s="79"/>
      <c r="AG210" s="10"/>
      <c r="AH210" s="79"/>
      <c r="AI210" s="10"/>
      <c r="AL210" s="11"/>
      <c r="AM210" s="12"/>
    </row>
    <row r="211" s="1" customFormat="1" spans="3:39">
      <c r="C211" s="31"/>
      <c r="D211" s="61"/>
      <c r="E211" s="61"/>
      <c r="F211" s="30"/>
      <c r="G211" s="30"/>
      <c r="H211" s="31"/>
      <c r="I211" s="91"/>
      <c r="J211" s="104"/>
      <c r="K211" s="104"/>
      <c r="L211" s="53"/>
      <c r="M211" s="53"/>
      <c r="N211" s="52"/>
      <c r="O211" s="53"/>
      <c r="P211" s="50"/>
      <c r="V211" s="5"/>
      <c r="AC211" s="79"/>
      <c r="AD211" s="77"/>
      <c r="AE211" s="79"/>
      <c r="AF211" s="79"/>
      <c r="AG211" s="10"/>
      <c r="AH211" s="79"/>
      <c r="AI211" s="10"/>
      <c r="AL211" s="11"/>
      <c r="AM211" s="12"/>
    </row>
    <row r="212" s="1" customFormat="1" spans="3:39">
      <c r="C212" s="31"/>
      <c r="D212" s="61"/>
      <c r="E212" s="61"/>
      <c r="F212" s="30"/>
      <c r="G212" s="30"/>
      <c r="H212" s="31"/>
      <c r="I212" s="91"/>
      <c r="J212" s="104"/>
      <c r="K212" s="104"/>
      <c r="L212" s="53"/>
      <c r="M212" s="53"/>
      <c r="N212" s="52"/>
      <c r="O212" s="53"/>
      <c r="P212" s="50"/>
      <c r="V212" s="5"/>
      <c r="AC212" s="79"/>
      <c r="AD212" s="77"/>
      <c r="AE212" s="79"/>
      <c r="AF212" s="79"/>
      <c r="AG212" s="10"/>
      <c r="AH212" s="79"/>
      <c r="AI212" s="10"/>
      <c r="AL212" s="11"/>
      <c r="AM212" s="12"/>
    </row>
    <row r="213" s="1" customFormat="1" spans="3:39">
      <c r="C213" s="31"/>
      <c r="D213" s="61"/>
      <c r="E213" s="61"/>
      <c r="F213" s="30"/>
      <c r="G213" s="30"/>
      <c r="H213" s="31"/>
      <c r="I213" s="91"/>
      <c r="J213" s="104"/>
      <c r="K213" s="104"/>
      <c r="L213" s="53"/>
      <c r="M213" s="53"/>
      <c r="N213" s="52"/>
      <c r="O213" s="53"/>
      <c r="P213" s="50"/>
      <c r="V213" s="5"/>
      <c r="AC213" s="79"/>
      <c r="AD213" s="77"/>
      <c r="AE213" s="79"/>
      <c r="AF213" s="79"/>
      <c r="AG213" s="10"/>
      <c r="AH213" s="79"/>
      <c r="AI213" s="10"/>
      <c r="AL213" s="11"/>
      <c r="AM213" s="12"/>
    </row>
    <row r="214" s="1" customFormat="1" spans="3:39">
      <c r="C214" s="31"/>
      <c r="D214" s="61"/>
      <c r="E214" s="61"/>
      <c r="F214" s="30"/>
      <c r="G214" s="30"/>
      <c r="H214" s="31"/>
      <c r="I214" s="91"/>
      <c r="J214" s="104"/>
      <c r="K214" s="104"/>
      <c r="L214" s="53"/>
      <c r="M214" s="53"/>
      <c r="N214" s="52"/>
      <c r="O214" s="53"/>
      <c r="P214" s="50"/>
      <c r="V214" s="5"/>
      <c r="AC214" s="79"/>
      <c r="AD214" s="77"/>
      <c r="AE214" s="79"/>
      <c r="AF214" s="79"/>
      <c r="AG214" s="10"/>
      <c r="AH214" s="79"/>
      <c r="AI214" s="10"/>
      <c r="AL214" s="11"/>
      <c r="AM214" s="12"/>
    </row>
    <row r="215" s="1" customFormat="1" spans="3:39">
      <c r="C215" s="31"/>
      <c r="D215" s="61"/>
      <c r="E215" s="61"/>
      <c r="F215" s="30"/>
      <c r="G215" s="30"/>
      <c r="H215" s="31"/>
      <c r="I215" s="91"/>
      <c r="J215" s="104"/>
      <c r="K215" s="104"/>
      <c r="L215" s="53"/>
      <c r="M215" s="53"/>
      <c r="N215" s="52"/>
      <c r="O215" s="53"/>
      <c r="P215" s="50"/>
      <c r="V215" s="5"/>
      <c r="AC215" s="79"/>
      <c r="AD215" s="77"/>
      <c r="AE215" s="79"/>
      <c r="AF215" s="79"/>
      <c r="AG215" s="10"/>
      <c r="AH215" s="79"/>
      <c r="AI215" s="10"/>
      <c r="AL215" s="11"/>
      <c r="AM215" s="12"/>
    </row>
    <row r="216" s="1" customFormat="1" spans="3:39">
      <c r="C216" s="31"/>
      <c r="D216" s="61"/>
      <c r="E216" s="61"/>
      <c r="F216" s="30"/>
      <c r="G216" s="30"/>
      <c r="H216" s="31"/>
      <c r="I216" s="91"/>
      <c r="J216" s="104"/>
      <c r="K216" s="104"/>
      <c r="L216" s="53"/>
      <c r="M216" s="53"/>
      <c r="N216" s="52"/>
      <c r="O216" s="53"/>
      <c r="P216" s="50"/>
      <c r="V216" s="5"/>
      <c r="AC216" s="79"/>
      <c r="AD216" s="77"/>
      <c r="AE216" s="79"/>
      <c r="AF216" s="79"/>
      <c r="AG216" s="10"/>
      <c r="AH216" s="79"/>
      <c r="AI216" s="10"/>
      <c r="AL216" s="11"/>
      <c r="AM216" s="12"/>
    </row>
    <row r="217" s="1" customFormat="1" spans="3:39">
      <c r="C217" s="31"/>
      <c r="D217" s="61"/>
      <c r="E217" s="61"/>
      <c r="F217" s="30"/>
      <c r="G217" s="30"/>
      <c r="H217" s="31"/>
      <c r="I217" s="91"/>
      <c r="J217" s="104"/>
      <c r="K217" s="104"/>
      <c r="L217" s="53"/>
      <c r="M217" s="53"/>
      <c r="N217" s="52"/>
      <c r="O217" s="53"/>
      <c r="P217" s="50"/>
      <c r="V217" s="5"/>
      <c r="AC217" s="79"/>
      <c r="AD217" s="77"/>
      <c r="AE217" s="79"/>
      <c r="AF217" s="79"/>
      <c r="AG217" s="10"/>
      <c r="AH217" s="79"/>
      <c r="AI217" s="10"/>
      <c r="AL217" s="11"/>
      <c r="AM217" s="12"/>
    </row>
    <row r="218" s="1" customFormat="1" spans="3:39">
      <c r="C218" s="31"/>
      <c r="D218" s="61"/>
      <c r="E218" s="61"/>
      <c r="F218" s="30"/>
      <c r="G218" s="30"/>
      <c r="H218" s="31"/>
      <c r="I218" s="91"/>
      <c r="J218" s="104"/>
      <c r="K218" s="104"/>
      <c r="L218" s="53"/>
      <c r="M218" s="53"/>
      <c r="N218" s="52"/>
      <c r="O218" s="53"/>
      <c r="P218" s="50"/>
      <c r="V218" s="5"/>
      <c r="AC218" s="79"/>
      <c r="AD218" s="77"/>
      <c r="AE218" s="79"/>
      <c r="AF218" s="79"/>
      <c r="AG218" s="10"/>
      <c r="AH218" s="79"/>
      <c r="AI218" s="10"/>
      <c r="AL218" s="11"/>
      <c r="AM218" s="12"/>
    </row>
    <row r="219" s="1" customFormat="1" spans="3:39">
      <c r="C219" s="31"/>
      <c r="D219" s="61"/>
      <c r="E219" s="61"/>
      <c r="F219" s="30"/>
      <c r="G219" s="30"/>
      <c r="H219" s="31"/>
      <c r="I219" s="91"/>
      <c r="J219" s="104"/>
      <c r="K219" s="104"/>
      <c r="L219" s="53"/>
      <c r="M219" s="53"/>
      <c r="N219" s="52"/>
      <c r="O219" s="53"/>
      <c r="P219" s="50"/>
      <c r="V219" s="5"/>
      <c r="AC219" s="79"/>
      <c r="AD219" s="77"/>
      <c r="AE219" s="79"/>
      <c r="AF219" s="79"/>
      <c r="AG219" s="10"/>
      <c r="AH219" s="79"/>
      <c r="AI219" s="10"/>
      <c r="AL219" s="11"/>
      <c r="AM219" s="12"/>
    </row>
    <row r="220" s="1" customFormat="1" spans="3:39">
      <c r="C220" s="31"/>
      <c r="D220" s="61"/>
      <c r="E220" s="61"/>
      <c r="F220" s="30"/>
      <c r="G220" s="30"/>
      <c r="H220" s="31"/>
      <c r="I220" s="91"/>
      <c r="J220" s="104"/>
      <c r="K220" s="104"/>
      <c r="L220" s="53"/>
      <c r="M220" s="53"/>
      <c r="N220" s="52"/>
      <c r="O220" s="53"/>
      <c r="P220" s="50"/>
      <c r="V220" s="5"/>
      <c r="AC220" s="79"/>
      <c r="AD220" s="77"/>
      <c r="AE220" s="79"/>
      <c r="AF220" s="79"/>
      <c r="AG220" s="10"/>
      <c r="AH220" s="79"/>
      <c r="AI220" s="10"/>
      <c r="AL220" s="11"/>
      <c r="AM220" s="12"/>
    </row>
    <row r="221" s="1" customFormat="1" spans="3:39">
      <c r="C221" s="31"/>
      <c r="D221" s="61"/>
      <c r="E221" s="61"/>
      <c r="F221" s="30"/>
      <c r="G221" s="30"/>
      <c r="H221" s="31"/>
      <c r="I221" s="91"/>
      <c r="J221" s="104"/>
      <c r="K221" s="104"/>
      <c r="L221" s="53"/>
      <c r="M221" s="53"/>
      <c r="N221" s="52"/>
      <c r="O221" s="53"/>
      <c r="P221" s="50"/>
      <c r="V221" s="5"/>
      <c r="AC221" s="79"/>
      <c r="AD221" s="77"/>
      <c r="AE221" s="79"/>
      <c r="AF221" s="79"/>
      <c r="AG221" s="10"/>
      <c r="AH221" s="79"/>
      <c r="AI221" s="10"/>
      <c r="AL221" s="11"/>
      <c r="AM221" s="12"/>
    </row>
    <row r="222" s="1" customFormat="1" spans="3:39">
      <c r="C222" s="31"/>
      <c r="D222" s="61"/>
      <c r="E222" s="61"/>
      <c r="F222" s="30"/>
      <c r="G222" s="30"/>
      <c r="H222" s="31"/>
      <c r="I222" s="91"/>
      <c r="J222" s="104"/>
      <c r="K222" s="104"/>
      <c r="L222" s="53"/>
      <c r="M222" s="53"/>
      <c r="N222" s="52"/>
      <c r="O222" s="53"/>
      <c r="P222" s="50"/>
      <c r="V222" s="5"/>
      <c r="AC222" s="79"/>
      <c r="AD222" s="77"/>
      <c r="AE222" s="79"/>
      <c r="AF222" s="79"/>
      <c r="AG222" s="10"/>
      <c r="AH222" s="79"/>
      <c r="AI222" s="10"/>
      <c r="AL222" s="11"/>
      <c r="AM222" s="12"/>
    </row>
    <row r="223" s="1" customFormat="1" spans="3:39">
      <c r="C223" s="31"/>
      <c r="D223" s="61"/>
      <c r="E223" s="61"/>
      <c r="F223" s="30"/>
      <c r="G223" s="30"/>
      <c r="H223" s="31"/>
      <c r="I223" s="91"/>
      <c r="J223" s="104"/>
      <c r="K223" s="104"/>
      <c r="L223" s="53"/>
      <c r="M223" s="53"/>
      <c r="N223" s="52"/>
      <c r="O223" s="53"/>
      <c r="P223" s="50"/>
      <c r="V223" s="5"/>
      <c r="AC223" s="79"/>
      <c r="AD223" s="77"/>
      <c r="AE223" s="79"/>
      <c r="AF223" s="79"/>
      <c r="AG223" s="10"/>
      <c r="AH223" s="79"/>
      <c r="AI223" s="10"/>
      <c r="AL223" s="11"/>
      <c r="AM223" s="12"/>
    </row>
    <row r="224" s="1" customFormat="1" spans="3:39">
      <c r="C224" s="31"/>
      <c r="D224" s="61"/>
      <c r="E224" s="61"/>
      <c r="F224" s="30"/>
      <c r="G224" s="30"/>
      <c r="H224" s="31"/>
      <c r="I224" s="91"/>
      <c r="J224" s="104"/>
      <c r="K224" s="104"/>
      <c r="L224" s="53"/>
      <c r="M224" s="53"/>
      <c r="N224" s="52"/>
      <c r="O224" s="53"/>
      <c r="P224" s="50"/>
      <c r="V224" s="5"/>
      <c r="AC224" s="79"/>
      <c r="AD224" s="77"/>
      <c r="AE224" s="79"/>
      <c r="AF224" s="79"/>
      <c r="AG224" s="10"/>
      <c r="AH224" s="79"/>
      <c r="AI224" s="10"/>
      <c r="AL224" s="11"/>
      <c r="AM224" s="12"/>
    </row>
    <row r="225" s="1" customFormat="1" spans="3:39">
      <c r="C225" s="31"/>
      <c r="D225" s="61"/>
      <c r="E225" s="61"/>
      <c r="F225" s="30"/>
      <c r="G225" s="30"/>
      <c r="H225" s="31"/>
      <c r="I225" s="91"/>
      <c r="J225" s="104"/>
      <c r="K225" s="104"/>
      <c r="L225" s="53"/>
      <c r="M225" s="53"/>
      <c r="N225" s="52"/>
      <c r="O225" s="53"/>
      <c r="P225" s="50"/>
      <c r="V225" s="5"/>
      <c r="AC225" s="79"/>
      <c r="AD225" s="77"/>
      <c r="AE225" s="79"/>
      <c r="AF225" s="79"/>
      <c r="AG225" s="9"/>
      <c r="AH225" s="79"/>
      <c r="AL225" s="11"/>
      <c r="AM225" s="12"/>
    </row>
    <row r="226" s="1" customFormat="1" spans="3:39">
      <c r="C226" s="31"/>
      <c r="D226" s="61"/>
      <c r="E226" s="61"/>
      <c r="F226" s="30"/>
      <c r="G226" s="30"/>
      <c r="H226" s="31"/>
      <c r="I226" s="91"/>
      <c r="J226" s="104"/>
      <c r="K226" s="104"/>
      <c r="L226" s="53"/>
      <c r="M226" s="53"/>
      <c r="N226" s="52"/>
      <c r="O226" s="53"/>
      <c r="P226" s="50"/>
      <c r="V226" s="5"/>
      <c r="AC226" s="79"/>
      <c r="AD226" s="77"/>
      <c r="AE226" s="79"/>
      <c r="AF226" s="79"/>
      <c r="AG226" s="9"/>
      <c r="AH226" s="79"/>
      <c r="AL226" s="11"/>
      <c r="AM226" s="12"/>
    </row>
    <row r="227" s="1" customFormat="1" spans="3:39">
      <c r="C227" s="31"/>
      <c r="D227" s="61"/>
      <c r="E227" s="61"/>
      <c r="F227" s="30"/>
      <c r="G227" s="30"/>
      <c r="H227" s="31"/>
      <c r="I227" s="91"/>
      <c r="J227" s="104"/>
      <c r="K227" s="104"/>
      <c r="L227" s="53"/>
      <c r="M227" s="53"/>
      <c r="N227" s="52"/>
      <c r="O227" s="53"/>
      <c r="P227" s="50"/>
      <c r="V227" s="5"/>
      <c r="AC227" s="79"/>
      <c r="AD227" s="77"/>
      <c r="AE227" s="79"/>
      <c r="AF227" s="79"/>
      <c r="AG227" s="9"/>
      <c r="AH227" s="79"/>
      <c r="AL227" s="11"/>
      <c r="AM227" s="12"/>
    </row>
    <row r="228" s="1" customFormat="1" spans="3:39">
      <c r="C228" s="31"/>
      <c r="D228" s="61"/>
      <c r="E228" s="61"/>
      <c r="F228" s="30"/>
      <c r="G228" s="30"/>
      <c r="H228" s="31"/>
      <c r="I228" s="91"/>
      <c r="J228" s="104"/>
      <c r="K228" s="104"/>
      <c r="L228" s="53"/>
      <c r="M228" s="53"/>
      <c r="N228" s="52"/>
      <c r="O228" s="53"/>
      <c r="P228" s="50"/>
      <c r="V228" s="5"/>
      <c r="AC228" s="79"/>
      <c r="AD228" s="77"/>
      <c r="AE228" s="79"/>
      <c r="AF228" s="79"/>
      <c r="AG228" s="9"/>
      <c r="AH228" s="79"/>
      <c r="AL228" s="11"/>
      <c r="AM228" s="12"/>
    </row>
    <row r="229" s="1" customFormat="1" spans="3:39">
      <c r="C229" s="31"/>
      <c r="D229" s="61"/>
      <c r="E229" s="61"/>
      <c r="F229" s="30"/>
      <c r="G229" s="30"/>
      <c r="H229" s="31"/>
      <c r="I229" s="91"/>
      <c r="J229" s="104"/>
      <c r="K229" s="104"/>
      <c r="L229" s="53"/>
      <c r="M229" s="53"/>
      <c r="N229" s="52"/>
      <c r="O229" s="53"/>
      <c r="P229" s="50"/>
      <c r="V229" s="5"/>
      <c r="AC229" s="79"/>
      <c r="AD229" s="77"/>
      <c r="AE229" s="79"/>
      <c r="AF229" s="79"/>
      <c r="AG229" s="9"/>
      <c r="AH229" s="79"/>
      <c r="AL229" s="11"/>
      <c r="AM229" s="12"/>
    </row>
    <row r="230" s="1" customFormat="1" spans="3:39">
      <c r="C230" s="31"/>
      <c r="D230" s="61"/>
      <c r="E230" s="61"/>
      <c r="F230" s="30"/>
      <c r="G230" s="30"/>
      <c r="H230" s="31"/>
      <c r="I230" s="91"/>
      <c r="J230" s="104"/>
      <c r="K230" s="104"/>
      <c r="L230" s="53"/>
      <c r="M230" s="53"/>
      <c r="N230" s="52"/>
      <c r="O230" s="53"/>
      <c r="P230" s="50"/>
      <c r="V230" s="5"/>
      <c r="AC230" s="79"/>
      <c r="AD230" s="77"/>
      <c r="AE230" s="79"/>
      <c r="AF230" s="79"/>
      <c r="AG230" s="9"/>
      <c r="AH230" s="79"/>
      <c r="AL230" s="11"/>
      <c r="AM230" s="12"/>
    </row>
    <row r="231" s="1" customFormat="1" spans="3:39">
      <c r="C231" s="31"/>
      <c r="D231" s="61"/>
      <c r="E231" s="61"/>
      <c r="F231" s="30"/>
      <c r="G231" s="30"/>
      <c r="H231" s="31"/>
      <c r="I231" s="91"/>
      <c r="J231" s="104"/>
      <c r="K231" s="104"/>
      <c r="L231" s="53"/>
      <c r="M231" s="53"/>
      <c r="N231" s="52"/>
      <c r="O231" s="53"/>
      <c r="P231" s="50"/>
      <c r="V231" s="5"/>
      <c r="AC231" s="79"/>
      <c r="AD231" s="77"/>
      <c r="AE231" s="79"/>
      <c r="AF231" s="79"/>
      <c r="AG231" s="9"/>
      <c r="AH231" s="79"/>
      <c r="AL231" s="11"/>
      <c r="AM231" s="12"/>
    </row>
    <row r="232" s="1" customFormat="1" spans="3:39">
      <c r="C232" s="31"/>
      <c r="D232" s="61"/>
      <c r="E232" s="61"/>
      <c r="F232" s="30"/>
      <c r="G232" s="30"/>
      <c r="H232" s="31"/>
      <c r="I232" s="91"/>
      <c r="J232" s="104"/>
      <c r="K232" s="104"/>
      <c r="L232" s="53"/>
      <c r="M232" s="53"/>
      <c r="N232" s="52"/>
      <c r="O232" s="53"/>
      <c r="P232" s="50"/>
      <c r="V232" s="5"/>
      <c r="AC232" s="79"/>
      <c r="AD232" s="77"/>
      <c r="AE232" s="79"/>
      <c r="AF232" s="79"/>
      <c r="AG232" s="9"/>
      <c r="AH232" s="79"/>
      <c r="AL232" s="11"/>
      <c r="AM232" s="12"/>
    </row>
    <row r="233" s="1" customFormat="1" spans="3:39">
      <c r="C233" s="31"/>
      <c r="D233" s="61"/>
      <c r="E233" s="61"/>
      <c r="F233" s="30"/>
      <c r="G233" s="30"/>
      <c r="H233" s="31"/>
      <c r="I233" s="91"/>
      <c r="J233" s="104"/>
      <c r="K233" s="104"/>
      <c r="L233" s="53"/>
      <c r="M233" s="53"/>
      <c r="N233" s="52"/>
      <c r="O233" s="53"/>
      <c r="P233" s="50"/>
      <c r="V233" s="5"/>
      <c r="AC233" s="79"/>
      <c r="AD233" s="77"/>
      <c r="AE233" s="79"/>
      <c r="AF233" s="79"/>
      <c r="AG233" s="9"/>
      <c r="AH233" s="79"/>
      <c r="AL233" s="11"/>
      <c r="AM233" s="12"/>
    </row>
    <row r="234" s="1" customFormat="1" spans="3:39">
      <c r="C234" s="31"/>
      <c r="D234" s="61"/>
      <c r="E234" s="61"/>
      <c r="F234" s="30"/>
      <c r="G234" s="30"/>
      <c r="H234" s="31"/>
      <c r="I234" s="91"/>
      <c r="J234" s="104"/>
      <c r="K234" s="104"/>
      <c r="L234" s="53"/>
      <c r="M234" s="53"/>
      <c r="N234" s="52"/>
      <c r="O234" s="53"/>
      <c r="P234" s="50"/>
      <c r="V234" s="5"/>
      <c r="AC234" s="79"/>
      <c r="AD234" s="77"/>
      <c r="AE234" s="79"/>
      <c r="AF234" s="79"/>
      <c r="AG234" s="9"/>
      <c r="AH234" s="79"/>
      <c r="AL234" s="11"/>
      <c r="AM234" s="12"/>
    </row>
    <row r="235" s="1" customFormat="1" spans="3:39">
      <c r="C235" s="31"/>
      <c r="D235" s="61"/>
      <c r="E235" s="61"/>
      <c r="F235" s="30"/>
      <c r="G235" s="30"/>
      <c r="H235" s="31"/>
      <c r="I235" s="91"/>
      <c r="J235" s="104"/>
      <c r="K235" s="104"/>
      <c r="L235" s="53"/>
      <c r="M235" s="53"/>
      <c r="N235" s="52"/>
      <c r="O235" s="53"/>
      <c r="P235" s="50"/>
      <c r="V235" s="5"/>
      <c r="AC235" s="79"/>
      <c r="AD235" s="77"/>
      <c r="AE235" s="79"/>
      <c r="AF235" s="79"/>
      <c r="AG235" s="9"/>
      <c r="AH235" s="79"/>
      <c r="AL235" s="11"/>
      <c r="AM235" s="12"/>
    </row>
    <row r="236" s="1" customFormat="1" spans="3:39">
      <c r="C236" s="31"/>
      <c r="D236" s="61"/>
      <c r="E236" s="61"/>
      <c r="F236" s="30"/>
      <c r="G236" s="30"/>
      <c r="H236" s="31"/>
      <c r="I236" s="91"/>
      <c r="J236" s="104"/>
      <c r="K236" s="104"/>
      <c r="L236" s="53"/>
      <c r="M236" s="53"/>
      <c r="N236" s="52"/>
      <c r="O236" s="53"/>
      <c r="P236" s="50"/>
      <c r="V236" s="5"/>
      <c r="AC236" s="79"/>
      <c r="AD236" s="77"/>
      <c r="AE236" s="79"/>
      <c r="AF236" s="79"/>
      <c r="AG236" s="9"/>
      <c r="AH236" s="79"/>
      <c r="AL236" s="11"/>
      <c r="AM236" s="12"/>
    </row>
    <row r="237" s="1" customFormat="1" spans="3:39">
      <c r="C237" s="31"/>
      <c r="D237" s="61"/>
      <c r="E237" s="61"/>
      <c r="F237" s="30"/>
      <c r="G237" s="30"/>
      <c r="H237" s="31"/>
      <c r="I237" s="91"/>
      <c r="J237" s="104"/>
      <c r="K237" s="104"/>
      <c r="L237" s="53"/>
      <c r="M237" s="53"/>
      <c r="N237" s="52"/>
      <c r="O237" s="53"/>
      <c r="P237" s="50"/>
      <c r="V237" s="5"/>
      <c r="AC237" s="79"/>
      <c r="AD237" s="77"/>
      <c r="AE237" s="79"/>
      <c r="AF237" s="79"/>
      <c r="AG237" s="9"/>
      <c r="AH237" s="79"/>
      <c r="AL237" s="11"/>
      <c r="AM237" s="12"/>
    </row>
    <row r="238" s="1" customFormat="1" spans="4:39">
      <c r="D238" s="34"/>
      <c r="E238" s="34"/>
      <c r="F238" s="86"/>
      <c r="G238" s="86"/>
      <c r="H238" s="31"/>
      <c r="I238" s="91"/>
      <c r="J238" s="104"/>
      <c r="K238" s="104"/>
      <c r="L238" s="53"/>
      <c r="M238" s="53"/>
      <c r="N238" s="52"/>
      <c r="O238" s="53"/>
      <c r="P238" s="50"/>
      <c r="V238" s="5"/>
      <c r="AC238" s="79"/>
      <c r="AD238" s="77"/>
      <c r="AE238" s="79"/>
      <c r="AF238" s="79"/>
      <c r="AG238" s="9"/>
      <c r="AH238" s="79"/>
      <c r="AL238" s="11"/>
      <c r="AM238" s="12"/>
    </row>
    <row r="239" s="1" customFormat="1" spans="4:39">
      <c r="D239" s="34"/>
      <c r="E239" s="34"/>
      <c r="F239" s="86"/>
      <c r="G239" s="86"/>
      <c r="H239" s="31"/>
      <c r="I239" s="91"/>
      <c r="J239" s="104"/>
      <c r="K239" s="104"/>
      <c r="L239" s="53"/>
      <c r="M239" s="53"/>
      <c r="N239" s="52"/>
      <c r="O239" s="53"/>
      <c r="P239" s="50"/>
      <c r="V239" s="5"/>
      <c r="AC239" s="79"/>
      <c r="AD239" s="77"/>
      <c r="AE239" s="79"/>
      <c r="AF239" s="79"/>
      <c r="AG239" s="9"/>
      <c r="AH239" s="79"/>
      <c r="AL239" s="11"/>
      <c r="AM239" s="12"/>
    </row>
    <row r="240" s="1" customFormat="1" spans="4:39">
      <c r="D240" s="34"/>
      <c r="E240" s="34"/>
      <c r="F240" s="86"/>
      <c r="G240" s="86"/>
      <c r="H240" s="31"/>
      <c r="I240" s="91"/>
      <c r="J240" s="104"/>
      <c r="K240" s="104"/>
      <c r="L240" s="53"/>
      <c r="M240" s="53"/>
      <c r="N240" s="52"/>
      <c r="O240" s="53"/>
      <c r="P240" s="50"/>
      <c r="V240" s="5"/>
      <c r="AC240" s="79"/>
      <c r="AD240" s="77"/>
      <c r="AE240" s="79"/>
      <c r="AF240" s="79"/>
      <c r="AG240" s="9"/>
      <c r="AH240" s="79"/>
      <c r="AL240" s="11"/>
      <c r="AM240" s="12"/>
    </row>
    <row r="241" s="1" customFormat="1" spans="4:39">
      <c r="D241" s="34"/>
      <c r="E241" s="34"/>
      <c r="F241" s="86"/>
      <c r="G241" s="86"/>
      <c r="H241" s="31"/>
      <c r="I241" s="91"/>
      <c r="J241" s="104"/>
      <c r="K241" s="104"/>
      <c r="L241" s="53"/>
      <c r="M241" s="53"/>
      <c r="N241" s="52"/>
      <c r="O241" s="53"/>
      <c r="P241" s="50"/>
      <c r="V241" s="5"/>
      <c r="AC241" s="79"/>
      <c r="AD241" s="77"/>
      <c r="AE241" s="79"/>
      <c r="AF241" s="79"/>
      <c r="AG241" s="9"/>
      <c r="AH241" s="79"/>
      <c r="AL241" s="11"/>
      <c r="AM241" s="12"/>
    </row>
    <row r="242" s="1" customFormat="1" spans="4:39">
      <c r="D242" s="34"/>
      <c r="E242" s="34"/>
      <c r="F242" s="86"/>
      <c r="G242" s="86"/>
      <c r="H242" s="31"/>
      <c r="I242" s="91"/>
      <c r="J242" s="104"/>
      <c r="K242" s="104"/>
      <c r="L242" s="53"/>
      <c r="M242" s="53"/>
      <c r="N242" s="52"/>
      <c r="O242" s="53"/>
      <c r="P242" s="105"/>
      <c r="V242" s="5"/>
      <c r="AC242" s="79"/>
      <c r="AD242" s="77"/>
      <c r="AE242" s="79"/>
      <c r="AF242" s="79"/>
      <c r="AG242" s="9"/>
      <c r="AH242" s="79"/>
      <c r="AL242" s="11"/>
      <c r="AM242" s="12"/>
    </row>
    <row r="243" s="1" customFormat="1" spans="4:39">
      <c r="D243" s="34"/>
      <c r="E243" s="34"/>
      <c r="F243" s="86"/>
      <c r="G243" s="86"/>
      <c r="H243" s="31"/>
      <c r="I243" s="91"/>
      <c r="J243" s="104"/>
      <c r="K243" s="104"/>
      <c r="L243" s="53"/>
      <c r="M243" s="53"/>
      <c r="N243" s="52"/>
      <c r="O243" s="53"/>
      <c r="P243" s="105"/>
      <c r="V243" s="5"/>
      <c r="AC243" s="79"/>
      <c r="AD243" s="77"/>
      <c r="AE243" s="79"/>
      <c r="AF243" s="79"/>
      <c r="AG243" s="9"/>
      <c r="AH243" s="79"/>
      <c r="AL243" s="11"/>
      <c r="AM243" s="12"/>
    </row>
    <row r="244" s="1" customFormat="1" spans="3:39">
      <c r="C244" s="31"/>
      <c r="D244" s="61"/>
      <c r="E244" s="61"/>
      <c r="F244" s="30"/>
      <c r="G244" s="30"/>
      <c r="H244" s="31"/>
      <c r="I244" s="91"/>
      <c r="J244" s="104"/>
      <c r="K244" s="104"/>
      <c r="L244" s="53"/>
      <c r="M244" s="53"/>
      <c r="N244" s="52"/>
      <c r="O244" s="53"/>
      <c r="P244" s="105"/>
      <c r="V244" s="5"/>
      <c r="AC244" s="79"/>
      <c r="AD244" s="77"/>
      <c r="AE244" s="79"/>
      <c r="AF244" s="79"/>
      <c r="AG244" s="9"/>
      <c r="AH244" s="79"/>
      <c r="AL244" s="11"/>
      <c r="AM244" s="12"/>
    </row>
    <row r="245" s="1" customFormat="1" spans="3:39">
      <c r="C245" s="31"/>
      <c r="D245" s="61"/>
      <c r="E245" s="61"/>
      <c r="F245" s="30"/>
      <c r="G245" s="30"/>
      <c r="H245" s="31"/>
      <c r="I245" s="91"/>
      <c r="J245" s="104"/>
      <c r="K245" s="104"/>
      <c r="L245" s="53"/>
      <c r="M245" s="53"/>
      <c r="N245" s="52"/>
      <c r="O245" s="53"/>
      <c r="P245" s="105"/>
      <c r="V245" s="5"/>
      <c r="AC245" s="79"/>
      <c r="AD245" s="77"/>
      <c r="AE245" s="79"/>
      <c r="AF245" s="79"/>
      <c r="AG245" s="9"/>
      <c r="AH245" s="79"/>
      <c r="AL245" s="11"/>
      <c r="AM245" s="12"/>
    </row>
    <row r="246" s="1" customFormat="1" spans="3:39">
      <c r="C246" s="31"/>
      <c r="D246" s="61"/>
      <c r="E246" s="61"/>
      <c r="F246" s="30"/>
      <c r="G246" s="30"/>
      <c r="H246" s="31"/>
      <c r="I246" s="91"/>
      <c r="J246" s="104"/>
      <c r="K246" s="104"/>
      <c r="L246" s="53"/>
      <c r="M246" s="53"/>
      <c r="N246" s="52"/>
      <c r="O246" s="53"/>
      <c r="P246" s="105"/>
      <c r="V246" s="5"/>
      <c r="AC246" s="79"/>
      <c r="AD246" s="77"/>
      <c r="AE246" s="79"/>
      <c r="AF246" s="79"/>
      <c r="AG246" s="9"/>
      <c r="AH246" s="79"/>
      <c r="AL246" s="11"/>
      <c r="AM246" s="12"/>
    </row>
    <row r="247" s="1" customFormat="1" spans="3:39">
      <c r="C247" s="31"/>
      <c r="D247" s="61"/>
      <c r="E247" s="61"/>
      <c r="F247" s="30"/>
      <c r="G247" s="30"/>
      <c r="H247" s="31"/>
      <c r="I247" s="91"/>
      <c r="J247" s="104"/>
      <c r="K247" s="104"/>
      <c r="L247" s="53"/>
      <c r="M247" s="53"/>
      <c r="N247" s="52"/>
      <c r="O247" s="53"/>
      <c r="P247" s="105"/>
      <c r="V247" s="5"/>
      <c r="AC247" s="79"/>
      <c r="AD247" s="77"/>
      <c r="AE247" s="79"/>
      <c r="AF247" s="79"/>
      <c r="AG247" s="9"/>
      <c r="AH247" s="79"/>
      <c r="AL247" s="11"/>
      <c r="AM247" s="12"/>
    </row>
    <row r="248" s="1" customFormat="1" spans="3:39">
      <c r="C248" s="31"/>
      <c r="D248" s="61"/>
      <c r="E248" s="61"/>
      <c r="F248" s="30"/>
      <c r="G248" s="30"/>
      <c r="H248" s="31"/>
      <c r="I248" s="91"/>
      <c r="J248" s="104"/>
      <c r="K248" s="104"/>
      <c r="L248" s="53"/>
      <c r="M248" s="53"/>
      <c r="N248" s="52"/>
      <c r="O248" s="53"/>
      <c r="P248" s="105"/>
      <c r="V248" s="5"/>
      <c r="AC248" s="79"/>
      <c r="AD248" s="77"/>
      <c r="AE248" s="79"/>
      <c r="AF248" s="79"/>
      <c r="AG248" s="9"/>
      <c r="AH248" s="79"/>
      <c r="AL248" s="11"/>
      <c r="AM248" s="12"/>
    </row>
    <row r="249" s="1" customFormat="1" spans="4:39">
      <c r="D249" s="34"/>
      <c r="E249" s="34"/>
      <c r="F249" s="86"/>
      <c r="G249" s="86"/>
      <c r="H249" s="31"/>
      <c r="I249" s="91"/>
      <c r="J249" s="104"/>
      <c r="K249" s="104"/>
      <c r="L249" s="53"/>
      <c r="M249" s="53"/>
      <c r="N249" s="52"/>
      <c r="O249" s="53"/>
      <c r="P249" s="105"/>
      <c r="V249" s="5"/>
      <c r="AC249" s="79"/>
      <c r="AD249" s="77"/>
      <c r="AE249" s="79"/>
      <c r="AF249" s="79"/>
      <c r="AG249" s="9"/>
      <c r="AH249" s="79"/>
      <c r="AL249" s="11"/>
      <c r="AM249" s="12"/>
    </row>
    <row r="250" s="1" customFormat="1" spans="4:39">
      <c r="D250" s="34"/>
      <c r="E250" s="34"/>
      <c r="F250" s="86"/>
      <c r="G250" s="86"/>
      <c r="H250" s="31"/>
      <c r="I250" s="91"/>
      <c r="J250" s="104"/>
      <c r="K250" s="104"/>
      <c r="L250" s="53"/>
      <c r="M250" s="53"/>
      <c r="N250" s="52"/>
      <c r="O250" s="53"/>
      <c r="P250" s="105"/>
      <c r="V250" s="5"/>
      <c r="AC250" s="79"/>
      <c r="AD250" s="77"/>
      <c r="AE250" s="79"/>
      <c r="AF250" s="79"/>
      <c r="AG250" s="9"/>
      <c r="AH250" s="79"/>
      <c r="AL250" s="11"/>
      <c r="AM250" s="12"/>
    </row>
    <row r="251" s="1" customFormat="1" spans="4:39">
      <c r="D251" s="34"/>
      <c r="E251" s="34"/>
      <c r="F251" s="86"/>
      <c r="G251" s="86"/>
      <c r="H251" s="31"/>
      <c r="I251" s="91"/>
      <c r="J251" s="104"/>
      <c r="K251" s="104"/>
      <c r="L251" s="53"/>
      <c r="M251" s="53"/>
      <c r="N251" s="52"/>
      <c r="O251" s="53"/>
      <c r="P251" s="105"/>
      <c r="V251" s="5"/>
      <c r="AC251" s="79"/>
      <c r="AD251" s="77"/>
      <c r="AE251" s="79"/>
      <c r="AF251" s="79"/>
      <c r="AG251" s="9"/>
      <c r="AH251" s="79"/>
      <c r="AL251" s="11"/>
      <c r="AM251" s="12"/>
    </row>
    <row r="252" s="1" customFormat="1" spans="4:39">
      <c r="D252" s="34"/>
      <c r="E252" s="34"/>
      <c r="F252" s="86"/>
      <c r="G252" s="86"/>
      <c r="H252" s="31"/>
      <c r="I252" s="91"/>
      <c r="J252" s="104"/>
      <c r="K252" s="104"/>
      <c r="L252" s="53"/>
      <c r="M252" s="53"/>
      <c r="N252" s="52"/>
      <c r="O252" s="53"/>
      <c r="P252" s="105"/>
      <c r="V252" s="5"/>
      <c r="AC252" s="79"/>
      <c r="AD252" s="77"/>
      <c r="AE252" s="79"/>
      <c r="AF252" s="79"/>
      <c r="AG252" s="9"/>
      <c r="AH252" s="79"/>
      <c r="AL252" s="11"/>
      <c r="AM252" s="12"/>
    </row>
    <row r="253" s="1" customFormat="1" spans="4:39">
      <c r="D253" s="34"/>
      <c r="E253" s="34"/>
      <c r="F253" s="86"/>
      <c r="G253" s="86"/>
      <c r="H253" s="31"/>
      <c r="I253" s="91"/>
      <c r="J253" s="104"/>
      <c r="K253" s="104"/>
      <c r="L253" s="53"/>
      <c r="M253" s="53"/>
      <c r="N253" s="52"/>
      <c r="O253" s="53"/>
      <c r="P253" s="105"/>
      <c r="V253" s="5"/>
      <c r="AC253" s="79"/>
      <c r="AD253" s="77"/>
      <c r="AE253" s="79"/>
      <c r="AF253" s="79"/>
      <c r="AG253" s="9"/>
      <c r="AH253" s="79"/>
      <c r="AL253" s="11"/>
      <c r="AM253" s="12"/>
    </row>
    <row r="254" s="1" customFormat="1" spans="4:39">
      <c r="D254" s="34"/>
      <c r="E254" s="34"/>
      <c r="F254" s="86"/>
      <c r="G254" s="86"/>
      <c r="H254" s="31"/>
      <c r="I254" s="91"/>
      <c r="J254" s="104"/>
      <c r="K254" s="104"/>
      <c r="L254" s="53"/>
      <c r="M254" s="53"/>
      <c r="N254" s="52"/>
      <c r="O254" s="53"/>
      <c r="P254" s="105"/>
      <c r="V254" s="5"/>
      <c r="AC254" s="79"/>
      <c r="AD254" s="77"/>
      <c r="AE254" s="79"/>
      <c r="AF254" s="79"/>
      <c r="AG254" s="9"/>
      <c r="AH254" s="79"/>
      <c r="AL254" s="11"/>
      <c r="AM254" s="12"/>
    </row>
    <row r="255" s="1" customFormat="1" spans="4:39">
      <c r="D255" s="34"/>
      <c r="E255" s="34"/>
      <c r="F255" s="86"/>
      <c r="G255" s="86"/>
      <c r="H255" s="31"/>
      <c r="I255" s="3"/>
      <c r="J255" s="106"/>
      <c r="K255" s="106"/>
      <c r="L255" s="107"/>
      <c r="M255" s="107"/>
      <c r="N255" s="101"/>
      <c r="O255" s="107"/>
      <c r="P255" s="4"/>
      <c r="V255" s="5"/>
      <c r="AC255" s="79"/>
      <c r="AD255" s="77"/>
      <c r="AE255" s="79"/>
      <c r="AF255" s="79"/>
      <c r="AG255" s="9"/>
      <c r="AH255" s="79"/>
      <c r="AL255" s="11"/>
      <c r="AM255" s="12"/>
    </row>
    <row r="256" s="1" customFormat="1" spans="4:39">
      <c r="D256" s="34"/>
      <c r="E256" s="34"/>
      <c r="F256" s="86"/>
      <c r="G256" s="86"/>
      <c r="H256" s="31"/>
      <c r="I256" s="3"/>
      <c r="J256" s="106"/>
      <c r="K256" s="106"/>
      <c r="L256" s="107"/>
      <c r="M256" s="107"/>
      <c r="N256" s="101"/>
      <c r="O256" s="107"/>
      <c r="P256" s="4"/>
      <c r="V256" s="5"/>
      <c r="AC256" s="79"/>
      <c r="AD256" s="77"/>
      <c r="AE256" s="79"/>
      <c r="AF256" s="79"/>
      <c r="AG256" s="9"/>
      <c r="AH256" s="79"/>
      <c r="AL256" s="11"/>
      <c r="AM256" s="12"/>
    </row>
    <row r="257" s="1" customFormat="1" spans="4:39">
      <c r="D257" s="34"/>
      <c r="E257" s="34"/>
      <c r="F257" s="86"/>
      <c r="G257" s="86"/>
      <c r="H257" s="31"/>
      <c r="I257" s="3"/>
      <c r="J257" s="106"/>
      <c r="K257" s="106"/>
      <c r="L257" s="107"/>
      <c r="M257" s="107"/>
      <c r="N257" s="101"/>
      <c r="O257" s="107"/>
      <c r="P257" s="4"/>
      <c r="V257" s="5"/>
      <c r="AC257" s="79"/>
      <c r="AD257" s="77"/>
      <c r="AE257" s="79"/>
      <c r="AF257" s="79"/>
      <c r="AG257" s="9"/>
      <c r="AH257" s="79"/>
      <c r="AL257" s="11"/>
      <c r="AM257" s="12"/>
    </row>
    <row r="258" s="1" customFormat="1" spans="4:39">
      <c r="D258" s="34"/>
      <c r="E258" s="34"/>
      <c r="F258" s="86"/>
      <c r="G258" s="86"/>
      <c r="H258" s="31"/>
      <c r="I258" s="3"/>
      <c r="J258" s="106"/>
      <c r="K258" s="106"/>
      <c r="L258" s="107"/>
      <c r="M258" s="107"/>
      <c r="N258" s="101"/>
      <c r="O258" s="107"/>
      <c r="P258" s="4"/>
      <c r="V258" s="5"/>
      <c r="AC258" s="79"/>
      <c r="AD258" s="77"/>
      <c r="AE258" s="79"/>
      <c r="AF258" s="79"/>
      <c r="AG258" s="9"/>
      <c r="AH258" s="79"/>
      <c r="AL258" s="11"/>
      <c r="AM258" s="12"/>
    </row>
    <row r="259" s="1" customFormat="1" spans="4:39">
      <c r="D259" s="34"/>
      <c r="E259" s="34"/>
      <c r="F259" s="86"/>
      <c r="G259" s="86"/>
      <c r="H259" s="31"/>
      <c r="I259" s="3"/>
      <c r="J259" s="106"/>
      <c r="K259" s="106"/>
      <c r="L259" s="107"/>
      <c r="M259" s="107"/>
      <c r="N259" s="101"/>
      <c r="O259" s="107"/>
      <c r="P259" s="4"/>
      <c r="V259" s="5"/>
      <c r="AC259" s="79"/>
      <c r="AD259" s="77"/>
      <c r="AE259" s="79"/>
      <c r="AF259" s="79"/>
      <c r="AG259" s="9"/>
      <c r="AH259" s="79"/>
      <c r="AL259" s="11"/>
      <c r="AM259" s="12"/>
    </row>
    <row r="260" s="1" customFormat="1" spans="4:39">
      <c r="D260" s="34"/>
      <c r="E260" s="34"/>
      <c r="F260" s="86"/>
      <c r="G260" s="86"/>
      <c r="H260" s="31"/>
      <c r="I260" s="3"/>
      <c r="J260" s="106"/>
      <c r="K260" s="106"/>
      <c r="L260" s="107"/>
      <c r="M260" s="107"/>
      <c r="N260" s="101"/>
      <c r="O260" s="107"/>
      <c r="P260" s="4"/>
      <c r="V260" s="5"/>
      <c r="AC260" s="79"/>
      <c r="AD260" s="77"/>
      <c r="AE260" s="79"/>
      <c r="AF260" s="79"/>
      <c r="AG260" s="9"/>
      <c r="AH260" s="79"/>
      <c r="AL260" s="11"/>
      <c r="AM260" s="12"/>
    </row>
    <row r="261" s="1" customFormat="1" spans="4:39">
      <c r="D261" s="34"/>
      <c r="E261" s="34"/>
      <c r="F261" s="86"/>
      <c r="G261" s="86"/>
      <c r="H261" s="31"/>
      <c r="I261" s="3"/>
      <c r="J261" s="106"/>
      <c r="K261" s="106"/>
      <c r="L261" s="107"/>
      <c r="M261" s="107"/>
      <c r="N261" s="101"/>
      <c r="O261" s="107"/>
      <c r="P261" s="4"/>
      <c r="V261" s="5"/>
      <c r="AC261" s="79"/>
      <c r="AD261" s="77"/>
      <c r="AE261" s="79"/>
      <c r="AF261" s="79"/>
      <c r="AG261" s="9"/>
      <c r="AH261" s="79"/>
      <c r="AL261" s="11"/>
      <c r="AM261" s="12"/>
    </row>
    <row r="262" s="1" customFormat="1" spans="4:39">
      <c r="D262" s="34"/>
      <c r="E262" s="34"/>
      <c r="F262" s="86"/>
      <c r="G262" s="86"/>
      <c r="H262" s="31"/>
      <c r="I262" s="3"/>
      <c r="J262" s="106"/>
      <c r="K262" s="106"/>
      <c r="L262" s="107"/>
      <c r="M262" s="107"/>
      <c r="N262" s="101"/>
      <c r="O262" s="107"/>
      <c r="P262" s="4"/>
      <c r="V262" s="5"/>
      <c r="AC262" s="79"/>
      <c r="AD262" s="77"/>
      <c r="AE262" s="79"/>
      <c r="AF262" s="79"/>
      <c r="AG262" s="9"/>
      <c r="AH262" s="79"/>
      <c r="AL262" s="11"/>
      <c r="AM262" s="12"/>
    </row>
    <row r="263" s="1" customFormat="1" spans="4:39">
      <c r="D263" s="34"/>
      <c r="E263" s="34"/>
      <c r="F263" s="86"/>
      <c r="G263" s="86"/>
      <c r="H263" s="31"/>
      <c r="I263" s="3"/>
      <c r="J263" s="106"/>
      <c r="K263" s="106"/>
      <c r="L263" s="107"/>
      <c r="M263" s="107"/>
      <c r="N263" s="101"/>
      <c r="O263" s="107"/>
      <c r="P263" s="4"/>
      <c r="V263" s="5"/>
      <c r="AC263" s="79"/>
      <c r="AD263" s="77"/>
      <c r="AE263" s="79"/>
      <c r="AF263" s="79"/>
      <c r="AG263" s="9"/>
      <c r="AH263" s="79"/>
      <c r="AL263" s="11"/>
      <c r="AM263" s="12"/>
    </row>
    <row r="264" s="1" customFormat="1" spans="4:39">
      <c r="D264" s="34"/>
      <c r="E264" s="34"/>
      <c r="F264" s="86"/>
      <c r="G264" s="86"/>
      <c r="H264" s="31"/>
      <c r="I264" s="3"/>
      <c r="J264" s="106"/>
      <c r="K264" s="106"/>
      <c r="L264" s="107"/>
      <c r="M264" s="107"/>
      <c r="N264" s="101"/>
      <c r="O264" s="107"/>
      <c r="P264" s="4"/>
      <c r="V264" s="5"/>
      <c r="AC264" s="79"/>
      <c r="AD264" s="77"/>
      <c r="AE264" s="79"/>
      <c r="AF264" s="79"/>
      <c r="AG264" s="9"/>
      <c r="AH264" s="79"/>
      <c r="AL264" s="11"/>
      <c r="AM264" s="12"/>
    </row>
    <row r="265" s="1" customFormat="1" spans="4:39">
      <c r="D265" s="34"/>
      <c r="E265" s="34"/>
      <c r="F265" s="86"/>
      <c r="G265" s="86"/>
      <c r="H265" s="31"/>
      <c r="I265" s="3"/>
      <c r="J265" s="106"/>
      <c r="K265" s="106"/>
      <c r="L265" s="107"/>
      <c r="M265" s="107"/>
      <c r="N265" s="101"/>
      <c r="O265" s="107"/>
      <c r="P265" s="4"/>
      <c r="V265" s="5"/>
      <c r="AC265" s="79"/>
      <c r="AD265" s="77"/>
      <c r="AE265" s="79"/>
      <c r="AF265" s="79"/>
      <c r="AG265" s="9"/>
      <c r="AH265" s="79"/>
      <c r="AL265" s="11"/>
      <c r="AM265" s="12"/>
    </row>
    <row r="266" s="1" customFormat="1" spans="4:39">
      <c r="D266" s="34"/>
      <c r="E266" s="34"/>
      <c r="F266" s="86"/>
      <c r="G266" s="86"/>
      <c r="H266" s="31"/>
      <c r="I266" s="3"/>
      <c r="J266" s="106"/>
      <c r="K266" s="106"/>
      <c r="L266" s="107"/>
      <c r="M266" s="107"/>
      <c r="N266" s="101"/>
      <c r="O266" s="107"/>
      <c r="P266" s="4"/>
      <c r="V266" s="5"/>
      <c r="AC266" s="79"/>
      <c r="AD266" s="77"/>
      <c r="AE266" s="79"/>
      <c r="AF266" s="79"/>
      <c r="AG266" s="9"/>
      <c r="AH266" s="79"/>
      <c r="AL266" s="11"/>
      <c r="AM266" s="12"/>
    </row>
    <row r="267" s="1" customFormat="1" spans="4:39">
      <c r="D267" s="34"/>
      <c r="E267" s="34"/>
      <c r="F267" s="86"/>
      <c r="G267" s="86"/>
      <c r="H267" s="31"/>
      <c r="I267" s="3"/>
      <c r="J267" s="106"/>
      <c r="K267" s="106"/>
      <c r="L267" s="107"/>
      <c r="M267" s="107"/>
      <c r="N267" s="101"/>
      <c r="O267" s="107"/>
      <c r="P267" s="4"/>
      <c r="V267" s="5"/>
      <c r="AC267" s="79"/>
      <c r="AD267" s="77"/>
      <c r="AE267" s="79"/>
      <c r="AF267" s="79"/>
      <c r="AG267" s="9"/>
      <c r="AH267" s="79"/>
      <c r="AL267" s="11"/>
      <c r="AM267" s="12"/>
    </row>
    <row r="268" s="1" customFormat="1" spans="4:39">
      <c r="D268" s="34"/>
      <c r="E268" s="34"/>
      <c r="F268" s="86"/>
      <c r="G268" s="86"/>
      <c r="H268" s="31"/>
      <c r="I268" s="3"/>
      <c r="J268" s="106"/>
      <c r="K268" s="106"/>
      <c r="L268" s="107"/>
      <c r="M268" s="107"/>
      <c r="N268" s="101"/>
      <c r="O268" s="107"/>
      <c r="P268" s="4"/>
      <c r="V268" s="5"/>
      <c r="AC268" s="79"/>
      <c r="AD268" s="77"/>
      <c r="AE268" s="79"/>
      <c r="AF268" s="79"/>
      <c r="AG268" s="9"/>
      <c r="AH268" s="79"/>
      <c r="AL268" s="11"/>
      <c r="AM268" s="12"/>
    </row>
    <row r="269" s="1" customFormat="1" spans="4:39">
      <c r="D269" s="34"/>
      <c r="E269" s="34"/>
      <c r="F269" s="86"/>
      <c r="G269" s="86"/>
      <c r="H269" s="31"/>
      <c r="I269" s="3"/>
      <c r="J269" s="106"/>
      <c r="K269" s="106"/>
      <c r="L269" s="107"/>
      <c r="M269" s="107"/>
      <c r="N269" s="101"/>
      <c r="O269" s="107"/>
      <c r="P269" s="4"/>
      <c r="V269" s="5"/>
      <c r="AC269" s="79"/>
      <c r="AD269" s="77"/>
      <c r="AE269" s="79"/>
      <c r="AF269" s="79"/>
      <c r="AG269" s="9"/>
      <c r="AH269" s="79"/>
      <c r="AL269" s="11"/>
      <c r="AM269" s="12"/>
    </row>
    <row r="270" s="1" customFormat="1" spans="4:39">
      <c r="D270" s="34"/>
      <c r="E270" s="34"/>
      <c r="F270" s="86"/>
      <c r="G270" s="86"/>
      <c r="H270" s="31"/>
      <c r="I270" s="3"/>
      <c r="J270" s="106"/>
      <c r="K270" s="106"/>
      <c r="L270" s="107"/>
      <c r="M270" s="107"/>
      <c r="N270" s="101"/>
      <c r="O270" s="107"/>
      <c r="P270" s="4"/>
      <c r="V270" s="5"/>
      <c r="AC270" s="79"/>
      <c r="AD270" s="77"/>
      <c r="AE270" s="79"/>
      <c r="AF270" s="79"/>
      <c r="AG270" s="9"/>
      <c r="AH270" s="79"/>
      <c r="AL270" s="11"/>
      <c r="AM270" s="12"/>
    </row>
    <row r="271" s="1" customFormat="1" spans="4:39">
      <c r="D271" s="34"/>
      <c r="E271" s="34"/>
      <c r="F271" s="86"/>
      <c r="G271" s="86"/>
      <c r="H271" s="31"/>
      <c r="I271" s="3"/>
      <c r="J271" s="106"/>
      <c r="K271" s="106"/>
      <c r="L271" s="107"/>
      <c r="M271" s="107"/>
      <c r="N271" s="101"/>
      <c r="O271" s="107"/>
      <c r="P271" s="4"/>
      <c r="V271" s="5"/>
      <c r="AC271" s="79"/>
      <c r="AD271" s="77"/>
      <c r="AE271" s="79"/>
      <c r="AF271" s="79"/>
      <c r="AG271" s="9"/>
      <c r="AH271" s="79"/>
      <c r="AL271" s="11"/>
      <c r="AM271" s="12"/>
    </row>
    <row r="272" s="1" customFormat="1" spans="4:39">
      <c r="D272" s="34"/>
      <c r="E272" s="34"/>
      <c r="F272" s="86"/>
      <c r="G272" s="86"/>
      <c r="H272" s="31"/>
      <c r="I272" s="3"/>
      <c r="J272" s="106"/>
      <c r="K272" s="106"/>
      <c r="L272" s="107"/>
      <c r="M272" s="107"/>
      <c r="N272" s="101"/>
      <c r="O272" s="107"/>
      <c r="P272" s="4"/>
      <c r="V272" s="5"/>
      <c r="AC272" s="79"/>
      <c r="AD272" s="77"/>
      <c r="AE272" s="79"/>
      <c r="AF272" s="79"/>
      <c r="AG272" s="9"/>
      <c r="AH272" s="79"/>
      <c r="AL272" s="11"/>
      <c r="AM272" s="12"/>
    </row>
    <row r="273" s="1" customFormat="1" spans="4:39">
      <c r="D273" s="34"/>
      <c r="E273" s="34"/>
      <c r="F273" s="86"/>
      <c r="G273" s="86"/>
      <c r="H273" s="31"/>
      <c r="I273" s="3"/>
      <c r="J273" s="106"/>
      <c r="K273" s="106"/>
      <c r="L273" s="107"/>
      <c r="M273" s="107"/>
      <c r="N273" s="101"/>
      <c r="O273" s="107"/>
      <c r="P273" s="4"/>
      <c r="V273" s="5"/>
      <c r="AC273" s="79"/>
      <c r="AD273" s="77"/>
      <c r="AE273" s="79"/>
      <c r="AF273" s="79"/>
      <c r="AG273" s="9"/>
      <c r="AH273" s="79"/>
      <c r="AL273" s="11"/>
      <c r="AM273" s="12"/>
    </row>
    <row r="274" s="1" customFormat="1" spans="4:39">
      <c r="D274" s="34"/>
      <c r="E274" s="34"/>
      <c r="F274" s="86"/>
      <c r="G274" s="86"/>
      <c r="H274" s="31"/>
      <c r="I274" s="3"/>
      <c r="J274" s="106"/>
      <c r="K274" s="106"/>
      <c r="L274" s="107"/>
      <c r="M274" s="107"/>
      <c r="N274" s="101"/>
      <c r="O274" s="107"/>
      <c r="P274" s="4"/>
      <c r="V274" s="5"/>
      <c r="AC274" s="79"/>
      <c r="AD274" s="77"/>
      <c r="AE274" s="79"/>
      <c r="AF274" s="79"/>
      <c r="AG274" s="9"/>
      <c r="AH274" s="79"/>
      <c r="AL274" s="11"/>
      <c r="AM274" s="12"/>
    </row>
    <row r="275" s="1" customFormat="1" spans="4:39">
      <c r="D275" s="34"/>
      <c r="E275" s="34"/>
      <c r="F275" s="86"/>
      <c r="G275" s="86"/>
      <c r="H275" s="31"/>
      <c r="I275" s="3"/>
      <c r="J275" s="106"/>
      <c r="K275" s="106"/>
      <c r="L275" s="107"/>
      <c r="M275" s="107"/>
      <c r="N275" s="101"/>
      <c r="O275" s="107"/>
      <c r="P275" s="4"/>
      <c r="V275" s="5"/>
      <c r="AC275" s="79"/>
      <c r="AD275" s="77"/>
      <c r="AE275" s="79"/>
      <c r="AF275" s="79"/>
      <c r="AG275" s="9"/>
      <c r="AH275" s="79"/>
      <c r="AL275" s="11"/>
      <c r="AM275" s="12"/>
    </row>
    <row r="276" s="1" customFormat="1" spans="4:39">
      <c r="D276" s="34"/>
      <c r="E276" s="34"/>
      <c r="F276" s="86"/>
      <c r="G276" s="86"/>
      <c r="H276" s="31"/>
      <c r="I276" s="3"/>
      <c r="J276" s="106"/>
      <c r="K276" s="106"/>
      <c r="L276" s="107"/>
      <c r="M276" s="107"/>
      <c r="N276" s="101"/>
      <c r="O276" s="107"/>
      <c r="P276" s="4"/>
      <c r="V276" s="5"/>
      <c r="AC276" s="79"/>
      <c r="AD276" s="77"/>
      <c r="AE276" s="79"/>
      <c r="AF276" s="79"/>
      <c r="AG276" s="9"/>
      <c r="AH276" s="79"/>
      <c r="AL276" s="11"/>
      <c r="AM276" s="12"/>
    </row>
    <row r="277" s="1" customFormat="1" spans="4:39">
      <c r="D277" s="34"/>
      <c r="E277" s="34"/>
      <c r="F277" s="86"/>
      <c r="G277" s="86"/>
      <c r="H277" s="31"/>
      <c r="I277" s="3"/>
      <c r="J277" s="106"/>
      <c r="K277" s="106"/>
      <c r="L277" s="107"/>
      <c r="M277" s="107"/>
      <c r="N277" s="101"/>
      <c r="O277" s="107"/>
      <c r="P277" s="4"/>
      <c r="V277" s="5"/>
      <c r="AC277" s="79"/>
      <c r="AD277" s="77"/>
      <c r="AE277" s="79"/>
      <c r="AF277" s="79"/>
      <c r="AG277" s="9"/>
      <c r="AH277" s="79"/>
      <c r="AL277" s="11"/>
      <c r="AM277" s="12"/>
    </row>
    <row r="278" s="1" customFormat="1" spans="5:39">
      <c r="E278" s="2"/>
      <c r="F278" s="2"/>
      <c r="G278" s="2"/>
      <c r="H278" s="31"/>
      <c r="I278" s="3"/>
      <c r="J278" s="106"/>
      <c r="K278" s="106"/>
      <c r="L278" s="107"/>
      <c r="M278" s="107"/>
      <c r="N278" s="101"/>
      <c r="O278" s="107"/>
      <c r="P278" s="4"/>
      <c r="V278" s="5"/>
      <c r="AC278" s="79"/>
      <c r="AD278" s="77"/>
      <c r="AE278" s="79"/>
      <c r="AF278" s="79"/>
      <c r="AG278" s="9"/>
      <c r="AH278" s="79"/>
      <c r="AL278" s="11"/>
      <c r="AM278" s="12"/>
    </row>
    <row r="279" s="1" customFormat="1" spans="5:39">
      <c r="E279" s="2"/>
      <c r="F279" s="2"/>
      <c r="G279" s="2"/>
      <c r="H279" s="31"/>
      <c r="I279" s="3"/>
      <c r="J279" s="106"/>
      <c r="K279" s="106"/>
      <c r="L279" s="107"/>
      <c r="M279" s="107"/>
      <c r="N279" s="101"/>
      <c r="O279" s="107"/>
      <c r="P279" s="4"/>
      <c r="V279" s="5"/>
      <c r="AC279" s="79"/>
      <c r="AD279" s="77"/>
      <c r="AE279" s="79"/>
      <c r="AF279" s="79"/>
      <c r="AG279" s="9"/>
      <c r="AH279" s="79"/>
      <c r="AL279" s="11"/>
      <c r="AM279" s="12"/>
    </row>
    <row r="280" s="1" customFormat="1" spans="5:39">
      <c r="E280" s="2"/>
      <c r="F280" s="2"/>
      <c r="G280" s="2"/>
      <c r="H280" s="31"/>
      <c r="I280" s="3"/>
      <c r="J280" s="106"/>
      <c r="K280" s="106"/>
      <c r="L280" s="107"/>
      <c r="M280" s="107"/>
      <c r="N280" s="101"/>
      <c r="O280" s="107"/>
      <c r="P280" s="4"/>
      <c r="V280" s="5"/>
      <c r="AC280" s="79"/>
      <c r="AD280" s="77"/>
      <c r="AE280" s="79"/>
      <c r="AF280" s="79"/>
      <c r="AG280" s="9"/>
      <c r="AH280" s="79"/>
      <c r="AL280" s="11"/>
      <c r="AM280" s="12"/>
    </row>
    <row r="281" s="1" customFormat="1" spans="5:39">
      <c r="E281" s="2"/>
      <c r="F281" s="2"/>
      <c r="G281" s="2"/>
      <c r="H281" s="31"/>
      <c r="I281" s="3"/>
      <c r="J281" s="106"/>
      <c r="K281" s="106"/>
      <c r="L281" s="107"/>
      <c r="M281" s="107"/>
      <c r="N281" s="101"/>
      <c r="O281" s="107"/>
      <c r="P281" s="4"/>
      <c r="V281" s="5"/>
      <c r="AC281" s="79"/>
      <c r="AD281" s="77"/>
      <c r="AE281" s="79"/>
      <c r="AF281" s="79"/>
      <c r="AG281" s="9"/>
      <c r="AH281" s="79"/>
      <c r="AL281" s="11"/>
      <c r="AM281" s="12"/>
    </row>
    <row r="282" s="1" customFormat="1" spans="4:39">
      <c r="D282" s="34"/>
      <c r="E282" s="34"/>
      <c r="F282" s="86"/>
      <c r="G282" s="86"/>
      <c r="H282" s="31"/>
      <c r="I282" s="3"/>
      <c r="J282" s="106"/>
      <c r="K282" s="106"/>
      <c r="L282" s="107"/>
      <c r="M282" s="107"/>
      <c r="N282" s="101"/>
      <c r="O282" s="107"/>
      <c r="P282" s="4"/>
      <c r="V282" s="5"/>
      <c r="AC282" s="79"/>
      <c r="AD282" s="77"/>
      <c r="AE282" s="79"/>
      <c r="AF282" s="79"/>
      <c r="AG282" s="9"/>
      <c r="AH282" s="79"/>
      <c r="AL282" s="11"/>
      <c r="AM282" s="12"/>
    </row>
    <row r="283" s="1" customFormat="1" spans="4:39">
      <c r="D283" s="34"/>
      <c r="E283" s="34"/>
      <c r="F283" s="86"/>
      <c r="G283" s="86"/>
      <c r="H283" s="31"/>
      <c r="I283" s="3"/>
      <c r="J283" s="106"/>
      <c r="K283" s="106"/>
      <c r="L283" s="107"/>
      <c r="M283" s="107"/>
      <c r="N283" s="101"/>
      <c r="O283" s="107"/>
      <c r="P283" s="4"/>
      <c r="V283" s="5"/>
      <c r="AC283" s="79"/>
      <c r="AD283" s="77"/>
      <c r="AE283" s="79"/>
      <c r="AF283" s="79"/>
      <c r="AG283" s="9"/>
      <c r="AH283" s="79"/>
      <c r="AL283" s="11"/>
      <c r="AM283" s="12"/>
    </row>
    <row r="284" s="1" customFormat="1" spans="4:39">
      <c r="D284" s="34"/>
      <c r="E284" s="34"/>
      <c r="F284" s="86"/>
      <c r="G284" s="86"/>
      <c r="H284" s="31"/>
      <c r="I284" s="3"/>
      <c r="J284" s="106"/>
      <c r="K284" s="106"/>
      <c r="L284" s="107"/>
      <c r="M284" s="107"/>
      <c r="N284" s="101"/>
      <c r="O284" s="107"/>
      <c r="P284" s="4"/>
      <c r="V284" s="5"/>
      <c r="AC284" s="79"/>
      <c r="AD284" s="77"/>
      <c r="AE284" s="79"/>
      <c r="AF284" s="79"/>
      <c r="AG284" s="9"/>
      <c r="AH284" s="79"/>
      <c r="AL284" s="11"/>
      <c r="AM284" s="12"/>
    </row>
    <row r="285" s="1" customFormat="1" spans="4:39">
      <c r="D285" s="34"/>
      <c r="E285" s="34"/>
      <c r="F285" s="86"/>
      <c r="G285" s="86"/>
      <c r="H285" s="31"/>
      <c r="I285" s="3"/>
      <c r="J285" s="106"/>
      <c r="K285" s="106"/>
      <c r="L285" s="107"/>
      <c r="M285" s="107"/>
      <c r="N285" s="101"/>
      <c r="O285" s="107"/>
      <c r="P285" s="4"/>
      <c r="V285" s="5"/>
      <c r="AC285" s="79"/>
      <c r="AD285" s="77"/>
      <c r="AE285" s="79"/>
      <c r="AF285" s="79"/>
      <c r="AG285" s="9"/>
      <c r="AH285" s="79"/>
      <c r="AL285" s="11"/>
      <c r="AM285" s="12"/>
    </row>
    <row r="286" s="1" customFormat="1" spans="4:39">
      <c r="D286" s="34"/>
      <c r="E286" s="34"/>
      <c r="F286" s="86"/>
      <c r="G286" s="86"/>
      <c r="H286" s="31"/>
      <c r="I286" s="3"/>
      <c r="J286" s="106"/>
      <c r="K286" s="106"/>
      <c r="L286" s="107"/>
      <c r="M286" s="107"/>
      <c r="N286" s="101"/>
      <c r="O286" s="107"/>
      <c r="P286" s="4"/>
      <c r="V286" s="5"/>
      <c r="AC286" s="79"/>
      <c r="AD286" s="77"/>
      <c r="AE286" s="79"/>
      <c r="AF286" s="79"/>
      <c r="AG286" s="9"/>
      <c r="AH286" s="79"/>
      <c r="AL286" s="11"/>
      <c r="AM286" s="12"/>
    </row>
    <row r="287" s="1" customFormat="1" spans="4:39">
      <c r="D287" s="34"/>
      <c r="E287" s="34"/>
      <c r="F287" s="86"/>
      <c r="G287" s="86"/>
      <c r="H287" s="31"/>
      <c r="I287" s="3"/>
      <c r="J287" s="106"/>
      <c r="K287" s="106"/>
      <c r="L287" s="107"/>
      <c r="M287" s="107"/>
      <c r="N287" s="101"/>
      <c r="O287" s="107"/>
      <c r="P287" s="4"/>
      <c r="V287" s="5"/>
      <c r="AC287" s="79"/>
      <c r="AD287" s="77"/>
      <c r="AE287" s="79"/>
      <c r="AF287" s="79"/>
      <c r="AG287" s="9"/>
      <c r="AH287" s="79"/>
      <c r="AL287" s="11"/>
      <c r="AM287" s="12"/>
    </row>
    <row r="288" s="1" customFormat="1" spans="4:39">
      <c r="D288" s="34"/>
      <c r="E288" s="34"/>
      <c r="F288" s="86"/>
      <c r="G288" s="86"/>
      <c r="H288" s="31"/>
      <c r="I288" s="3"/>
      <c r="J288" s="106"/>
      <c r="K288" s="106"/>
      <c r="L288" s="107"/>
      <c r="M288" s="107"/>
      <c r="N288" s="101"/>
      <c r="O288" s="107"/>
      <c r="P288" s="4"/>
      <c r="V288" s="5"/>
      <c r="AC288" s="79"/>
      <c r="AD288" s="77"/>
      <c r="AE288" s="79"/>
      <c r="AF288" s="79"/>
      <c r="AG288" s="9"/>
      <c r="AH288" s="79"/>
      <c r="AL288" s="11"/>
      <c r="AM288" s="12"/>
    </row>
    <row r="289" s="1" customFormat="1" spans="4:39">
      <c r="D289" s="34"/>
      <c r="E289" s="34"/>
      <c r="F289" s="86"/>
      <c r="G289" s="86"/>
      <c r="H289" s="31"/>
      <c r="I289" s="3"/>
      <c r="J289" s="106"/>
      <c r="K289" s="106"/>
      <c r="L289" s="107"/>
      <c r="M289" s="107"/>
      <c r="N289" s="101"/>
      <c r="O289" s="107"/>
      <c r="P289" s="4"/>
      <c r="V289" s="5"/>
      <c r="AC289" s="79"/>
      <c r="AD289" s="77"/>
      <c r="AE289" s="79"/>
      <c r="AF289" s="79"/>
      <c r="AG289" s="9"/>
      <c r="AH289" s="79"/>
      <c r="AL289" s="11"/>
      <c r="AM289" s="12"/>
    </row>
    <row r="290" s="1" customFormat="1" spans="4:39">
      <c r="D290" s="34"/>
      <c r="E290" s="34"/>
      <c r="F290" s="86"/>
      <c r="G290" s="86"/>
      <c r="H290" s="31"/>
      <c r="I290" s="3"/>
      <c r="J290" s="106"/>
      <c r="K290" s="106"/>
      <c r="L290" s="107"/>
      <c r="M290" s="107"/>
      <c r="N290" s="101"/>
      <c r="O290" s="107"/>
      <c r="P290" s="4"/>
      <c r="V290" s="5"/>
      <c r="AC290" s="79"/>
      <c r="AD290" s="77"/>
      <c r="AE290" s="79"/>
      <c r="AF290" s="79"/>
      <c r="AG290" s="9"/>
      <c r="AH290" s="79"/>
      <c r="AL290" s="11"/>
      <c r="AM290" s="12"/>
    </row>
    <row r="291" s="1" customFormat="1" spans="4:39">
      <c r="D291" s="34"/>
      <c r="E291" s="34"/>
      <c r="F291" s="86"/>
      <c r="G291" s="86"/>
      <c r="H291" s="31"/>
      <c r="I291" s="3"/>
      <c r="J291" s="106"/>
      <c r="K291" s="106"/>
      <c r="L291" s="107"/>
      <c r="M291" s="107"/>
      <c r="N291" s="101"/>
      <c r="O291" s="107"/>
      <c r="P291" s="4"/>
      <c r="V291" s="5"/>
      <c r="AC291" s="79"/>
      <c r="AD291" s="77"/>
      <c r="AE291" s="79"/>
      <c r="AF291" s="79"/>
      <c r="AG291" s="9"/>
      <c r="AH291" s="79"/>
      <c r="AL291" s="11"/>
      <c r="AM291" s="12"/>
    </row>
    <row r="292" s="1" customFormat="1" spans="4:39">
      <c r="D292" s="34"/>
      <c r="E292" s="34"/>
      <c r="F292" s="86"/>
      <c r="G292" s="86"/>
      <c r="H292" s="31"/>
      <c r="I292" s="3"/>
      <c r="J292" s="106"/>
      <c r="K292" s="106"/>
      <c r="L292" s="107"/>
      <c r="M292" s="107"/>
      <c r="N292" s="101"/>
      <c r="O292" s="107"/>
      <c r="P292" s="4"/>
      <c r="V292" s="5"/>
      <c r="AC292" s="79"/>
      <c r="AD292" s="77"/>
      <c r="AE292" s="79"/>
      <c r="AF292" s="79"/>
      <c r="AG292" s="9"/>
      <c r="AH292" s="79"/>
      <c r="AL292" s="11"/>
      <c r="AM292" s="12"/>
    </row>
    <row r="293" s="1" customFormat="1" spans="4:39">
      <c r="D293" s="34"/>
      <c r="E293" s="34"/>
      <c r="F293" s="86"/>
      <c r="G293" s="86"/>
      <c r="H293" s="31"/>
      <c r="I293" s="3"/>
      <c r="J293" s="106"/>
      <c r="K293" s="106"/>
      <c r="L293" s="107"/>
      <c r="M293" s="107"/>
      <c r="N293" s="101"/>
      <c r="O293" s="107"/>
      <c r="P293" s="4"/>
      <c r="V293" s="5"/>
      <c r="AC293" s="79"/>
      <c r="AD293" s="77"/>
      <c r="AE293" s="79"/>
      <c r="AF293" s="79"/>
      <c r="AG293" s="9"/>
      <c r="AH293" s="79"/>
      <c r="AL293" s="11"/>
      <c r="AM293" s="12"/>
    </row>
    <row r="294" s="1" customFormat="1" spans="4:39">
      <c r="D294" s="34"/>
      <c r="E294" s="34"/>
      <c r="F294" s="86"/>
      <c r="G294" s="86"/>
      <c r="H294" s="31"/>
      <c r="I294" s="3"/>
      <c r="J294" s="106"/>
      <c r="K294" s="106"/>
      <c r="L294" s="107"/>
      <c r="M294" s="107"/>
      <c r="N294" s="101"/>
      <c r="O294" s="107"/>
      <c r="P294" s="4"/>
      <c r="V294" s="5"/>
      <c r="AC294" s="79"/>
      <c r="AD294" s="77"/>
      <c r="AE294" s="79"/>
      <c r="AF294" s="79"/>
      <c r="AG294" s="9"/>
      <c r="AH294" s="79"/>
      <c r="AL294" s="11"/>
      <c r="AM294" s="12"/>
    </row>
    <row r="295" s="1" customFormat="1" spans="4:39">
      <c r="D295" s="34"/>
      <c r="E295" s="34"/>
      <c r="F295" s="86"/>
      <c r="G295" s="86"/>
      <c r="H295" s="31"/>
      <c r="I295" s="3"/>
      <c r="J295" s="106"/>
      <c r="K295" s="106"/>
      <c r="L295" s="107"/>
      <c r="M295" s="107"/>
      <c r="N295" s="101"/>
      <c r="O295" s="107"/>
      <c r="P295" s="4"/>
      <c r="V295" s="5"/>
      <c r="AC295" s="79"/>
      <c r="AD295" s="77"/>
      <c r="AE295" s="79"/>
      <c r="AF295" s="79"/>
      <c r="AG295" s="9"/>
      <c r="AH295" s="79"/>
      <c r="AL295" s="11"/>
      <c r="AM295" s="12"/>
    </row>
    <row r="296" s="1" customFormat="1" spans="4:39">
      <c r="D296" s="34"/>
      <c r="E296" s="34"/>
      <c r="F296" s="86"/>
      <c r="G296" s="86"/>
      <c r="H296" s="31"/>
      <c r="I296" s="3"/>
      <c r="J296" s="106"/>
      <c r="K296" s="106"/>
      <c r="L296" s="107"/>
      <c r="M296" s="107"/>
      <c r="N296" s="101"/>
      <c r="O296" s="107"/>
      <c r="P296" s="4"/>
      <c r="V296" s="5"/>
      <c r="AC296" s="79"/>
      <c r="AD296" s="77"/>
      <c r="AE296" s="79"/>
      <c r="AF296" s="79"/>
      <c r="AG296" s="9"/>
      <c r="AH296" s="79"/>
      <c r="AL296" s="11"/>
      <c r="AM296" s="12"/>
    </row>
    <row r="297" s="1" customFormat="1" spans="4:39">
      <c r="D297" s="34"/>
      <c r="E297" s="34"/>
      <c r="F297" s="86"/>
      <c r="G297" s="86"/>
      <c r="H297" s="31"/>
      <c r="I297" s="3"/>
      <c r="J297" s="106"/>
      <c r="K297" s="106"/>
      <c r="L297" s="107"/>
      <c r="M297" s="107"/>
      <c r="N297" s="101"/>
      <c r="O297" s="107"/>
      <c r="P297" s="4"/>
      <c r="V297" s="5"/>
      <c r="AC297" s="79"/>
      <c r="AD297" s="77"/>
      <c r="AE297" s="79"/>
      <c r="AF297" s="79"/>
      <c r="AG297" s="9"/>
      <c r="AH297" s="79"/>
      <c r="AL297" s="11"/>
      <c r="AM297" s="12"/>
    </row>
    <row r="298" s="1" customFormat="1" spans="4:39">
      <c r="D298" s="34"/>
      <c r="E298" s="34"/>
      <c r="F298" s="86"/>
      <c r="G298" s="86"/>
      <c r="H298" s="31"/>
      <c r="I298" s="3"/>
      <c r="J298" s="106"/>
      <c r="K298" s="106"/>
      <c r="L298" s="107"/>
      <c r="M298" s="107"/>
      <c r="N298" s="101"/>
      <c r="O298" s="107"/>
      <c r="P298" s="4"/>
      <c r="V298" s="5"/>
      <c r="AC298" s="79"/>
      <c r="AD298" s="77"/>
      <c r="AE298" s="79"/>
      <c r="AF298" s="79"/>
      <c r="AG298" s="9"/>
      <c r="AH298" s="79"/>
      <c r="AL298" s="11"/>
      <c r="AM298" s="12"/>
    </row>
    <row r="299" s="1" customFormat="1" spans="4:39">
      <c r="D299" s="34"/>
      <c r="E299" s="34"/>
      <c r="F299" s="86"/>
      <c r="G299" s="86"/>
      <c r="H299" s="31"/>
      <c r="I299" s="3"/>
      <c r="J299" s="106"/>
      <c r="K299" s="106"/>
      <c r="L299" s="107"/>
      <c r="M299" s="107"/>
      <c r="N299" s="101"/>
      <c r="O299" s="107"/>
      <c r="P299" s="4"/>
      <c r="V299" s="5"/>
      <c r="AC299" s="79"/>
      <c r="AD299" s="77"/>
      <c r="AE299" s="79"/>
      <c r="AF299" s="79"/>
      <c r="AG299" s="9"/>
      <c r="AH299" s="79"/>
      <c r="AL299" s="11"/>
      <c r="AM299" s="12"/>
    </row>
    <row r="300" s="1" customFormat="1" spans="4:39">
      <c r="D300" s="34"/>
      <c r="E300" s="34"/>
      <c r="F300" s="86"/>
      <c r="G300" s="86"/>
      <c r="H300" s="31"/>
      <c r="I300" s="3"/>
      <c r="J300" s="106"/>
      <c r="K300" s="106"/>
      <c r="L300" s="107"/>
      <c r="M300" s="107"/>
      <c r="N300" s="101"/>
      <c r="O300" s="107"/>
      <c r="P300" s="4"/>
      <c r="V300" s="5"/>
      <c r="AC300" s="79"/>
      <c r="AD300" s="77"/>
      <c r="AE300" s="79"/>
      <c r="AF300" s="79"/>
      <c r="AG300" s="9"/>
      <c r="AH300" s="79"/>
      <c r="AL300" s="11"/>
      <c r="AM300" s="12"/>
    </row>
    <row r="301" s="1" customFormat="1" spans="4:39">
      <c r="D301" s="34"/>
      <c r="E301" s="34"/>
      <c r="F301" s="86"/>
      <c r="G301" s="86"/>
      <c r="H301" s="31"/>
      <c r="I301" s="3"/>
      <c r="J301" s="106"/>
      <c r="K301" s="106"/>
      <c r="L301" s="107"/>
      <c r="M301" s="107"/>
      <c r="N301" s="101"/>
      <c r="O301" s="107"/>
      <c r="P301" s="4"/>
      <c r="V301" s="5"/>
      <c r="AC301" s="79"/>
      <c r="AD301" s="77"/>
      <c r="AE301" s="79"/>
      <c r="AF301" s="79"/>
      <c r="AG301" s="9"/>
      <c r="AH301" s="79"/>
      <c r="AL301" s="11"/>
      <c r="AM301" s="12"/>
    </row>
    <row r="302" s="1" customFormat="1" spans="4:39">
      <c r="D302" s="34"/>
      <c r="E302" s="34"/>
      <c r="F302" s="86"/>
      <c r="G302" s="86"/>
      <c r="H302" s="31"/>
      <c r="I302" s="3"/>
      <c r="J302" s="106"/>
      <c r="K302" s="106"/>
      <c r="L302" s="107"/>
      <c r="M302" s="107"/>
      <c r="N302" s="101"/>
      <c r="O302" s="107"/>
      <c r="P302" s="4"/>
      <c r="V302" s="5"/>
      <c r="AC302" s="79"/>
      <c r="AD302" s="77"/>
      <c r="AE302" s="79"/>
      <c r="AF302" s="79"/>
      <c r="AG302" s="9"/>
      <c r="AH302" s="79"/>
      <c r="AL302" s="11"/>
      <c r="AM302" s="12"/>
    </row>
    <row r="303" s="1" customFormat="1" spans="4:39">
      <c r="D303" s="34"/>
      <c r="E303" s="34"/>
      <c r="F303" s="86"/>
      <c r="G303" s="86"/>
      <c r="H303" s="31"/>
      <c r="I303" s="3"/>
      <c r="J303" s="106"/>
      <c r="K303" s="106"/>
      <c r="L303" s="107"/>
      <c r="M303" s="107"/>
      <c r="N303" s="101"/>
      <c r="O303" s="107"/>
      <c r="P303" s="4"/>
      <c r="V303" s="5"/>
      <c r="AC303" s="79"/>
      <c r="AD303" s="77"/>
      <c r="AE303" s="79"/>
      <c r="AF303" s="79"/>
      <c r="AG303" s="9"/>
      <c r="AH303" s="79"/>
      <c r="AL303" s="11"/>
      <c r="AM303" s="12"/>
    </row>
    <row r="304" s="1" customFormat="1" spans="4:39">
      <c r="D304" s="34"/>
      <c r="E304" s="34"/>
      <c r="F304" s="86"/>
      <c r="G304" s="86"/>
      <c r="H304" s="31"/>
      <c r="I304" s="3"/>
      <c r="J304" s="106"/>
      <c r="K304" s="106"/>
      <c r="L304" s="107"/>
      <c r="M304" s="107"/>
      <c r="N304" s="101"/>
      <c r="O304" s="107"/>
      <c r="P304" s="4"/>
      <c r="V304" s="5"/>
      <c r="AC304" s="79"/>
      <c r="AD304" s="77"/>
      <c r="AE304" s="79"/>
      <c r="AF304" s="79"/>
      <c r="AG304" s="9"/>
      <c r="AH304" s="79"/>
      <c r="AL304" s="11"/>
      <c r="AM304" s="12"/>
    </row>
    <row r="305" s="1" customFormat="1" spans="4:39">
      <c r="D305" s="34"/>
      <c r="E305" s="34"/>
      <c r="F305" s="86"/>
      <c r="G305" s="86"/>
      <c r="H305" s="31"/>
      <c r="I305" s="3"/>
      <c r="J305" s="106"/>
      <c r="K305" s="106"/>
      <c r="L305" s="107"/>
      <c r="M305" s="107"/>
      <c r="N305" s="101"/>
      <c r="O305" s="107"/>
      <c r="P305" s="4"/>
      <c r="V305" s="5"/>
      <c r="AC305" s="79"/>
      <c r="AD305" s="77"/>
      <c r="AE305" s="79"/>
      <c r="AF305" s="79"/>
      <c r="AG305" s="9"/>
      <c r="AH305" s="79"/>
      <c r="AL305" s="11"/>
      <c r="AM305" s="12"/>
    </row>
    <row r="306" s="1" customFormat="1" spans="4:39">
      <c r="D306" s="34"/>
      <c r="E306" s="34"/>
      <c r="F306" s="86"/>
      <c r="G306" s="86"/>
      <c r="H306" s="31"/>
      <c r="I306" s="3"/>
      <c r="J306" s="106"/>
      <c r="K306" s="106"/>
      <c r="L306" s="107"/>
      <c r="M306" s="107"/>
      <c r="N306" s="101"/>
      <c r="O306" s="107"/>
      <c r="P306" s="4"/>
      <c r="V306" s="5"/>
      <c r="AC306" s="79"/>
      <c r="AD306" s="77"/>
      <c r="AE306" s="79"/>
      <c r="AF306" s="79"/>
      <c r="AG306" s="9"/>
      <c r="AH306" s="79"/>
      <c r="AL306" s="11"/>
      <c r="AM306" s="12"/>
    </row>
    <row r="307" s="1" customFormat="1" spans="4:39">
      <c r="D307" s="34"/>
      <c r="E307" s="34"/>
      <c r="F307" s="86"/>
      <c r="G307" s="86"/>
      <c r="H307" s="31"/>
      <c r="I307" s="3"/>
      <c r="J307" s="106"/>
      <c r="K307" s="106"/>
      <c r="L307" s="107"/>
      <c r="M307" s="107"/>
      <c r="N307" s="101"/>
      <c r="O307" s="107"/>
      <c r="P307" s="4"/>
      <c r="V307" s="5"/>
      <c r="AC307" s="79"/>
      <c r="AD307" s="77"/>
      <c r="AE307" s="79"/>
      <c r="AF307" s="79"/>
      <c r="AG307" s="9"/>
      <c r="AH307" s="79"/>
      <c r="AL307" s="11"/>
      <c r="AM307" s="12"/>
    </row>
    <row r="308" s="1" customFormat="1" spans="4:39">
      <c r="D308" s="34"/>
      <c r="E308" s="34"/>
      <c r="F308" s="86"/>
      <c r="G308" s="86"/>
      <c r="H308" s="31"/>
      <c r="I308" s="3"/>
      <c r="J308" s="106"/>
      <c r="K308" s="106"/>
      <c r="L308" s="107"/>
      <c r="M308" s="107"/>
      <c r="N308" s="101"/>
      <c r="O308" s="107"/>
      <c r="P308" s="4"/>
      <c r="V308" s="5"/>
      <c r="AC308" s="79"/>
      <c r="AD308" s="77"/>
      <c r="AE308" s="79"/>
      <c r="AF308" s="79"/>
      <c r="AG308" s="9"/>
      <c r="AH308" s="79"/>
      <c r="AL308" s="11"/>
      <c r="AM308" s="12"/>
    </row>
    <row r="309" s="1" customFormat="1" spans="4:39">
      <c r="D309" s="34"/>
      <c r="E309" s="34"/>
      <c r="F309" s="86"/>
      <c r="G309" s="86"/>
      <c r="H309" s="31"/>
      <c r="I309" s="3"/>
      <c r="J309" s="106"/>
      <c r="K309" s="106"/>
      <c r="L309" s="107"/>
      <c r="M309" s="107"/>
      <c r="N309" s="101"/>
      <c r="O309" s="107"/>
      <c r="P309" s="4"/>
      <c r="V309" s="5"/>
      <c r="AC309" s="79"/>
      <c r="AD309" s="77"/>
      <c r="AE309" s="79"/>
      <c r="AF309" s="79"/>
      <c r="AG309" s="9"/>
      <c r="AH309" s="79"/>
      <c r="AL309" s="11"/>
      <c r="AM309" s="12"/>
    </row>
    <row r="310" s="1" customFormat="1" spans="4:39">
      <c r="D310" s="34"/>
      <c r="E310" s="34"/>
      <c r="F310" s="86"/>
      <c r="G310" s="86"/>
      <c r="H310" s="31"/>
      <c r="I310" s="3"/>
      <c r="J310" s="106"/>
      <c r="K310" s="106"/>
      <c r="L310" s="107"/>
      <c r="M310" s="107"/>
      <c r="N310" s="101"/>
      <c r="O310" s="107"/>
      <c r="P310" s="4"/>
      <c r="V310" s="5"/>
      <c r="AC310" s="79"/>
      <c r="AD310" s="77"/>
      <c r="AE310" s="79"/>
      <c r="AF310" s="79"/>
      <c r="AG310" s="9"/>
      <c r="AH310" s="79"/>
      <c r="AL310" s="11"/>
      <c r="AM310" s="12"/>
    </row>
    <row r="311" s="1" customFormat="1" spans="4:39">
      <c r="D311" s="34"/>
      <c r="E311" s="34"/>
      <c r="F311" s="86"/>
      <c r="G311" s="86"/>
      <c r="H311" s="31"/>
      <c r="I311" s="3"/>
      <c r="J311" s="106"/>
      <c r="K311" s="106"/>
      <c r="L311" s="107"/>
      <c r="M311" s="107"/>
      <c r="N311" s="101"/>
      <c r="O311" s="107"/>
      <c r="P311" s="4"/>
      <c r="V311" s="5"/>
      <c r="AC311" s="79"/>
      <c r="AD311" s="77"/>
      <c r="AE311" s="79"/>
      <c r="AF311" s="79"/>
      <c r="AG311" s="9"/>
      <c r="AH311" s="79"/>
      <c r="AL311" s="11"/>
      <c r="AM311" s="12"/>
    </row>
    <row r="312" s="1" customFormat="1" spans="4:39">
      <c r="D312" s="34"/>
      <c r="E312" s="34"/>
      <c r="F312" s="86"/>
      <c r="G312" s="86"/>
      <c r="H312" s="31"/>
      <c r="I312" s="3"/>
      <c r="J312" s="106"/>
      <c r="K312" s="106"/>
      <c r="L312" s="107"/>
      <c r="M312" s="107"/>
      <c r="N312" s="101"/>
      <c r="O312" s="107"/>
      <c r="P312" s="4"/>
      <c r="V312" s="5"/>
      <c r="AC312" s="79"/>
      <c r="AD312" s="77"/>
      <c r="AE312" s="79"/>
      <c r="AF312" s="79"/>
      <c r="AG312" s="9"/>
      <c r="AH312" s="79"/>
      <c r="AL312" s="11"/>
      <c r="AM312" s="12"/>
    </row>
    <row r="313" s="1" customFormat="1" spans="4:39">
      <c r="D313" s="34"/>
      <c r="E313" s="34"/>
      <c r="F313" s="86"/>
      <c r="G313" s="86"/>
      <c r="H313" s="31"/>
      <c r="I313" s="3"/>
      <c r="J313" s="106"/>
      <c r="K313" s="106"/>
      <c r="L313" s="107"/>
      <c r="M313" s="107"/>
      <c r="N313" s="101"/>
      <c r="O313" s="107"/>
      <c r="P313" s="4"/>
      <c r="V313" s="5"/>
      <c r="AC313" s="79"/>
      <c r="AD313" s="77"/>
      <c r="AE313" s="79"/>
      <c r="AF313" s="79"/>
      <c r="AG313" s="9"/>
      <c r="AH313" s="79"/>
      <c r="AL313" s="11"/>
      <c r="AM313" s="12"/>
    </row>
    <row r="314" s="1" customFormat="1" spans="4:39">
      <c r="D314" s="34"/>
      <c r="E314" s="34"/>
      <c r="F314" s="86"/>
      <c r="G314" s="86"/>
      <c r="H314" s="31"/>
      <c r="I314" s="3"/>
      <c r="J314" s="106"/>
      <c r="K314" s="106"/>
      <c r="L314" s="107"/>
      <c r="M314" s="107"/>
      <c r="N314" s="101"/>
      <c r="O314" s="107"/>
      <c r="P314" s="4"/>
      <c r="V314" s="5"/>
      <c r="AC314" s="79"/>
      <c r="AD314" s="77"/>
      <c r="AE314" s="79"/>
      <c r="AF314" s="79"/>
      <c r="AG314" s="9"/>
      <c r="AH314" s="79"/>
      <c r="AL314" s="11"/>
      <c r="AM314" s="12"/>
    </row>
    <row r="315" s="1" customFormat="1" spans="4:39">
      <c r="D315" s="34"/>
      <c r="E315" s="34"/>
      <c r="F315" s="86"/>
      <c r="G315" s="86"/>
      <c r="H315" s="31"/>
      <c r="I315" s="3"/>
      <c r="J315" s="106"/>
      <c r="K315" s="106"/>
      <c r="L315" s="107"/>
      <c r="M315" s="107"/>
      <c r="N315" s="101"/>
      <c r="O315" s="107"/>
      <c r="P315" s="4"/>
      <c r="V315" s="5"/>
      <c r="AC315" s="79"/>
      <c r="AD315" s="77"/>
      <c r="AE315" s="79"/>
      <c r="AF315" s="79"/>
      <c r="AG315" s="9"/>
      <c r="AH315" s="79"/>
      <c r="AL315" s="11"/>
      <c r="AM315" s="12"/>
    </row>
    <row r="316" s="1" customFormat="1" spans="4:39">
      <c r="D316" s="34"/>
      <c r="E316" s="34"/>
      <c r="F316" s="86"/>
      <c r="G316" s="86"/>
      <c r="H316" s="31"/>
      <c r="I316" s="3"/>
      <c r="J316" s="106"/>
      <c r="K316" s="106"/>
      <c r="L316" s="107"/>
      <c r="M316" s="107"/>
      <c r="N316" s="101"/>
      <c r="O316" s="107"/>
      <c r="P316" s="4"/>
      <c r="V316" s="5"/>
      <c r="AC316" s="79"/>
      <c r="AD316" s="77"/>
      <c r="AE316" s="79"/>
      <c r="AF316" s="79"/>
      <c r="AG316" s="9"/>
      <c r="AH316" s="79"/>
      <c r="AL316" s="11"/>
      <c r="AM316" s="12"/>
    </row>
    <row r="317" s="1" customFormat="1" spans="4:39">
      <c r="D317" s="34"/>
      <c r="E317" s="34"/>
      <c r="F317" s="86"/>
      <c r="G317" s="86"/>
      <c r="H317" s="31"/>
      <c r="I317" s="3"/>
      <c r="J317" s="106"/>
      <c r="K317" s="106"/>
      <c r="L317" s="107"/>
      <c r="M317" s="107"/>
      <c r="N317" s="101"/>
      <c r="O317" s="107"/>
      <c r="P317" s="4"/>
      <c r="V317" s="5"/>
      <c r="AC317" s="79"/>
      <c r="AD317" s="77"/>
      <c r="AE317" s="79"/>
      <c r="AF317" s="79"/>
      <c r="AG317" s="9"/>
      <c r="AH317" s="79"/>
      <c r="AL317" s="11"/>
      <c r="AM317" s="12"/>
    </row>
    <row r="318" s="1" customFormat="1" spans="4:39">
      <c r="D318" s="34"/>
      <c r="E318" s="34"/>
      <c r="F318" s="86"/>
      <c r="G318" s="86"/>
      <c r="H318" s="31"/>
      <c r="I318" s="3"/>
      <c r="J318" s="106"/>
      <c r="K318" s="106"/>
      <c r="L318" s="107"/>
      <c r="M318" s="107"/>
      <c r="N318" s="101"/>
      <c r="O318" s="107"/>
      <c r="P318" s="4"/>
      <c r="V318" s="5"/>
      <c r="AC318" s="79"/>
      <c r="AD318" s="77"/>
      <c r="AE318" s="79"/>
      <c r="AF318" s="79"/>
      <c r="AG318" s="9"/>
      <c r="AH318" s="79"/>
      <c r="AL318" s="11"/>
      <c r="AM318" s="12"/>
    </row>
    <row r="319" s="1" customFormat="1" spans="4:39">
      <c r="D319" s="34"/>
      <c r="E319" s="34"/>
      <c r="F319" s="86"/>
      <c r="G319" s="86"/>
      <c r="H319" s="31"/>
      <c r="I319" s="3"/>
      <c r="J319" s="106"/>
      <c r="K319" s="106"/>
      <c r="L319" s="107"/>
      <c r="M319" s="107"/>
      <c r="N319" s="101"/>
      <c r="O319" s="107"/>
      <c r="P319" s="4"/>
      <c r="V319" s="5"/>
      <c r="AC319" s="79"/>
      <c r="AD319" s="77"/>
      <c r="AE319" s="79"/>
      <c r="AF319" s="79"/>
      <c r="AG319" s="9"/>
      <c r="AH319" s="79"/>
      <c r="AL319" s="11"/>
      <c r="AM319" s="12"/>
    </row>
    <row r="320" s="1" customFormat="1" spans="4:39">
      <c r="D320" s="34"/>
      <c r="E320" s="34"/>
      <c r="F320" s="86"/>
      <c r="G320" s="86"/>
      <c r="H320" s="31"/>
      <c r="I320" s="3"/>
      <c r="J320" s="106"/>
      <c r="K320" s="106"/>
      <c r="L320" s="107"/>
      <c r="M320" s="107"/>
      <c r="N320" s="101"/>
      <c r="O320" s="107"/>
      <c r="P320" s="4"/>
      <c r="V320" s="5"/>
      <c r="AC320" s="79"/>
      <c r="AD320" s="77"/>
      <c r="AE320" s="79"/>
      <c r="AF320" s="79"/>
      <c r="AG320" s="9"/>
      <c r="AH320" s="79"/>
      <c r="AL320" s="11"/>
      <c r="AM320" s="12"/>
    </row>
    <row r="321" s="1" customFormat="1" spans="4:39">
      <c r="D321" s="34"/>
      <c r="E321" s="34"/>
      <c r="F321" s="86"/>
      <c r="G321" s="86"/>
      <c r="H321" s="31"/>
      <c r="I321" s="3"/>
      <c r="J321" s="106"/>
      <c r="K321" s="106"/>
      <c r="L321" s="107"/>
      <c r="M321" s="107"/>
      <c r="N321" s="101"/>
      <c r="O321" s="107"/>
      <c r="P321" s="4"/>
      <c r="V321" s="5"/>
      <c r="AC321" s="79"/>
      <c r="AD321" s="77"/>
      <c r="AE321" s="79"/>
      <c r="AF321" s="79"/>
      <c r="AG321" s="9"/>
      <c r="AH321" s="79"/>
      <c r="AL321" s="11"/>
      <c r="AM321" s="12"/>
    </row>
    <row r="322" s="1" customFormat="1" spans="4:39">
      <c r="D322" s="34"/>
      <c r="E322" s="34"/>
      <c r="F322" s="86"/>
      <c r="G322" s="86"/>
      <c r="H322" s="31"/>
      <c r="I322" s="3"/>
      <c r="J322" s="106"/>
      <c r="K322" s="106"/>
      <c r="L322" s="107"/>
      <c r="M322" s="107"/>
      <c r="N322" s="101"/>
      <c r="O322" s="107"/>
      <c r="P322" s="4"/>
      <c r="V322" s="5"/>
      <c r="AC322" s="79"/>
      <c r="AD322" s="77"/>
      <c r="AE322" s="79"/>
      <c r="AF322" s="79"/>
      <c r="AG322" s="9"/>
      <c r="AH322" s="79"/>
      <c r="AL322" s="11"/>
      <c r="AM322" s="12"/>
    </row>
    <row r="323" s="1" customFormat="1" spans="4:39">
      <c r="D323" s="34"/>
      <c r="E323" s="34"/>
      <c r="F323" s="86"/>
      <c r="G323" s="86"/>
      <c r="H323" s="31"/>
      <c r="I323" s="3"/>
      <c r="J323" s="106"/>
      <c r="K323" s="106"/>
      <c r="L323" s="107"/>
      <c r="M323" s="107"/>
      <c r="N323" s="101"/>
      <c r="O323" s="107"/>
      <c r="P323" s="4"/>
      <c r="V323" s="5"/>
      <c r="AC323" s="79"/>
      <c r="AD323" s="77"/>
      <c r="AE323" s="79"/>
      <c r="AF323" s="79"/>
      <c r="AG323" s="9"/>
      <c r="AH323" s="79"/>
      <c r="AL323" s="11"/>
      <c r="AM323" s="12"/>
    </row>
    <row r="324" s="1" customFormat="1" spans="4:39">
      <c r="D324" s="34"/>
      <c r="E324" s="34"/>
      <c r="F324" s="86"/>
      <c r="G324" s="86"/>
      <c r="H324" s="31"/>
      <c r="I324" s="3"/>
      <c r="J324" s="106"/>
      <c r="K324" s="106"/>
      <c r="L324" s="107"/>
      <c r="M324" s="107"/>
      <c r="N324" s="101"/>
      <c r="O324" s="107"/>
      <c r="P324" s="4"/>
      <c r="V324" s="5"/>
      <c r="AC324" s="79"/>
      <c r="AD324" s="77"/>
      <c r="AE324" s="79"/>
      <c r="AF324" s="79"/>
      <c r="AG324" s="9"/>
      <c r="AH324" s="79"/>
      <c r="AL324" s="11"/>
      <c r="AM324" s="12"/>
    </row>
    <row r="325" s="1" customFormat="1" spans="4:39">
      <c r="D325" s="34"/>
      <c r="E325" s="34"/>
      <c r="F325" s="86"/>
      <c r="G325" s="86"/>
      <c r="H325" s="31"/>
      <c r="I325" s="3"/>
      <c r="J325" s="106"/>
      <c r="K325" s="106"/>
      <c r="L325" s="107"/>
      <c r="M325" s="107"/>
      <c r="N325" s="101"/>
      <c r="O325" s="107"/>
      <c r="P325" s="4"/>
      <c r="V325" s="5"/>
      <c r="AC325" s="79"/>
      <c r="AD325" s="77"/>
      <c r="AE325" s="79"/>
      <c r="AF325" s="79"/>
      <c r="AG325" s="9"/>
      <c r="AH325" s="79"/>
      <c r="AL325" s="11"/>
      <c r="AM325" s="12"/>
    </row>
    <row r="326" s="1" customFormat="1" spans="4:39">
      <c r="D326" s="34"/>
      <c r="E326" s="34"/>
      <c r="F326" s="86"/>
      <c r="G326" s="86"/>
      <c r="H326" s="31"/>
      <c r="I326" s="3"/>
      <c r="J326" s="106"/>
      <c r="K326" s="106"/>
      <c r="L326" s="107"/>
      <c r="M326" s="107"/>
      <c r="N326" s="101"/>
      <c r="O326" s="107"/>
      <c r="P326" s="4"/>
      <c r="V326" s="5"/>
      <c r="AC326" s="79"/>
      <c r="AD326" s="77"/>
      <c r="AE326" s="79"/>
      <c r="AF326" s="79"/>
      <c r="AG326" s="9"/>
      <c r="AH326" s="79"/>
      <c r="AL326" s="11"/>
      <c r="AM326" s="12"/>
    </row>
    <row r="327" s="1" customFormat="1" spans="4:39">
      <c r="D327" s="34"/>
      <c r="E327" s="34"/>
      <c r="F327" s="86"/>
      <c r="G327" s="86"/>
      <c r="H327" s="31"/>
      <c r="I327" s="3"/>
      <c r="J327" s="106"/>
      <c r="K327" s="106"/>
      <c r="L327" s="107"/>
      <c r="M327" s="107"/>
      <c r="N327" s="101"/>
      <c r="O327" s="107"/>
      <c r="P327" s="4"/>
      <c r="V327" s="5"/>
      <c r="AC327" s="79"/>
      <c r="AD327" s="77"/>
      <c r="AE327" s="79"/>
      <c r="AF327" s="79"/>
      <c r="AG327" s="9"/>
      <c r="AH327" s="79"/>
      <c r="AL327" s="11"/>
      <c r="AM327" s="12"/>
    </row>
    <row r="328" s="1" customFormat="1" spans="4:39">
      <c r="D328" s="34"/>
      <c r="E328" s="34"/>
      <c r="F328" s="86"/>
      <c r="G328" s="86"/>
      <c r="H328" s="31"/>
      <c r="I328" s="3"/>
      <c r="J328" s="106"/>
      <c r="K328" s="106"/>
      <c r="L328" s="107"/>
      <c r="M328" s="107"/>
      <c r="N328" s="101"/>
      <c r="O328" s="107"/>
      <c r="P328" s="4"/>
      <c r="V328" s="5"/>
      <c r="AC328" s="79"/>
      <c r="AD328" s="77"/>
      <c r="AE328" s="79"/>
      <c r="AF328" s="79"/>
      <c r="AG328" s="9"/>
      <c r="AH328" s="79"/>
      <c r="AL328" s="11"/>
      <c r="AM328" s="12"/>
    </row>
    <row r="329" s="1" customFormat="1" spans="4:39">
      <c r="D329" s="34"/>
      <c r="E329" s="34"/>
      <c r="F329" s="86"/>
      <c r="G329" s="86"/>
      <c r="H329" s="31"/>
      <c r="I329" s="3"/>
      <c r="J329" s="106"/>
      <c r="K329" s="106"/>
      <c r="L329" s="107"/>
      <c r="M329" s="107"/>
      <c r="N329" s="101"/>
      <c r="O329" s="107"/>
      <c r="P329" s="4"/>
      <c r="V329" s="5"/>
      <c r="AC329" s="79"/>
      <c r="AD329" s="77"/>
      <c r="AE329" s="79"/>
      <c r="AF329" s="79"/>
      <c r="AG329" s="9"/>
      <c r="AH329" s="79"/>
      <c r="AL329" s="11"/>
      <c r="AM329" s="12"/>
    </row>
    <row r="330" s="1" customFormat="1" spans="4:39">
      <c r="D330" s="34"/>
      <c r="E330" s="34"/>
      <c r="F330" s="86"/>
      <c r="G330" s="86"/>
      <c r="H330" s="31"/>
      <c r="I330" s="3"/>
      <c r="J330" s="106"/>
      <c r="K330" s="106"/>
      <c r="L330" s="107"/>
      <c r="M330" s="107"/>
      <c r="N330" s="101"/>
      <c r="O330" s="107"/>
      <c r="P330" s="4"/>
      <c r="V330" s="5"/>
      <c r="AC330" s="79"/>
      <c r="AD330" s="77"/>
      <c r="AE330" s="79"/>
      <c r="AF330" s="79"/>
      <c r="AG330" s="9"/>
      <c r="AH330" s="79"/>
      <c r="AL330" s="11"/>
      <c r="AM330" s="12"/>
    </row>
    <row r="331" s="1" customFormat="1" spans="4:39">
      <c r="D331" s="34"/>
      <c r="E331" s="34"/>
      <c r="F331" s="86"/>
      <c r="G331" s="86"/>
      <c r="H331" s="31"/>
      <c r="I331" s="3"/>
      <c r="J331" s="106"/>
      <c r="K331" s="106"/>
      <c r="L331" s="107"/>
      <c r="M331" s="107"/>
      <c r="N331" s="101"/>
      <c r="O331" s="107"/>
      <c r="P331" s="4"/>
      <c r="V331" s="5"/>
      <c r="AC331" s="79"/>
      <c r="AD331" s="77"/>
      <c r="AE331" s="79"/>
      <c r="AF331" s="79"/>
      <c r="AG331" s="9"/>
      <c r="AH331" s="79"/>
      <c r="AL331" s="11"/>
      <c r="AM331" s="12"/>
    </row>
    <row r="332" s="1" customFormat="1" spans="4:39">
      <c r="D332" s="34"/>
      <c r="E332" s="34"/>
      <c r="F332" s="86"/>
      <c r="G332" s="86"/>
      <c r="H332" s="31"/>
      <c r="I332" s="3"/>
      <c r="J332" s="106"/>
      <c r="K332" s="106"/>
      <c r="L332" s="107"/>
      <c r="M332" s="107"/>
      <c r="N332" s="101"/>
      <c r="O332" s="107"/>
      <c r="P332" s="4"/>
      <c r="V332" s="5"/>
      <c r="AC332" s="79"/>
      <c r="AD332" s="77"/>
      <c r="AE332" s="79"/>
      <c r="AF332" s="79"/>
      <c r="AG332" s="9"/>
      <c r="AH332" s="79"/>
      <c r="AL332" s="11"/>
      <c r="AM332" s="12"/>
    </row>
    <row r="333" s="1" customFormat="1" spans="4:39">
      <c r="D333" s="34"/>
      <c r="E333" s="34"/>
      <c r="F333" s="86"/>
      <c r="G333" s="86"/>
      <c r="H333" s="31"/>
      <c r="I333" s="3"/>
      <c r="J333" s="106"/>
      <c r="K333" s="106"/>
      <c r="L333" s="107"/>
      <c r="M333" s="107"/>
      <c r="N333" s="101"/>
      <c r="O333" s="107"/>
      <c r="P333" s="4"/>
      <c r="V333" s="5"/>
      <c r="AC333" s="79"/>
      <c r="AD333" s="77"/>
      <c r="AE333" s="79"/>
      <c r="AF333" s="79"/>
      <c r="AG333" s="9"/>
      <c r="AH333" s="79"/>
      <c r="AL333" s="11"/>
      <c r="AM333" s="12"/>
    </row>
    <row r="334" s="1" customFormat="1" spans="4:39">
      <c r="D334" s="34"/>
      <c r="E334" s="34"/>
      <c r="F334" s="86"/>
      <c r="G334" s="86"/>
      <c r="H334" s="31"/>
      <c r="I334" s="3"/>
      <c r="J334" s="106"/>
      <c r="K334" s="106"/>
      <c r="L334" s="107"/>
      <c r="M334" s="107"/>
      <c r="N334" s="101"/>
      <c r="O334" s="107"/>
      <c r="P334" s="4"/>
      <c r="V334" s="5"/>
      <c r="AC334" s="79"/>
      <c r="AD334" s="77"/>
      <c r="AE334" s="79"/>
      <c r="AF334" s="79"/>
      <c r="AG334" s="9"/>
      <c r="AH334" s="79"/>
      <c r="AL334" s="11"/>
      <c r="AM334" s="12"/>
    </row>
    <row r="335" s="1" customFormat="1" spans="4:39">
      <c r="D335" s="34"/>
      <c r="E335" s="34"/>
      <c r="F335" s="86"/>
      <c r="G335" s="86"/>
      <c r="H335" s="31"/>
      <c r="I335" s="3"/>
      <c r="J335" s="106"/>
      <c r="K335" s="106"/>
      <c r="L335" s="107"/>
      <c r="M335" s="107"/>
      <c r="N335" s="101"/>
      <c r="O335" s="107"/>
      <c r="P335" s="4"/>
      <c r="V335" s="5"/>
      <c r="AC335" s="79"/>
      <c r="AD335" s="77"/>
      <c r="AE335" s="79"/>
      <c r="AF335" s="79"/>
      <c r="AG335" s="9"/>
      <c r="AH335" s="79"/>
      <c r="AL335" s="11"/>
      <c r="AM335" s="12"/>
    </row>
    <row r="336" s="1" customFormat="1" spans="4:39">
      <c r="D336" s="34"/>
      <c r="E336" s="34"/>
      <c r="F336" s="86"/>
      <c r="G336" s="86"/>
      <c r="H336" s="31"/>
      <c r="I336" s="3"/>
      <c r="J336" s="106"/>
      <c r="K336" s="106"/>
      <c r="L336" s="107"/>
      <c r="M336" s="107"/>
      <c r="N336" s="101"/>
      <c r="O336" s="107"/>
      <c r="P336" s="4"/>
      <c r="V336" s="5"/>
      <c r="AC336" s="79"/>
      <c r="AD336" s="77"/>
      <c r="AE336" s="79"/>
      <c r="AF336" s="79"/>
      <c r="AG336" s="9"/>
      <c r="AH336" s="79"/>
      <c r="AL336" s="11"/>
      <c r="AM336" s="12"/>
    </row>
    <row r="337" s="1" customFormat="1" spans="4:39">
      <c r="D337" s="34"/>
      <c r="E337" s="34"/>
      <c r="F337" s="86"/>
      <c r="G337" s="86"/>
      <c r="H337" s="31"/>
      <c r="I337" s="3"/>
      <c r="J337" s="106"/>
      <c r="K337" s="106"/>
      <c r="L337" s="107"/>
      <c r="M337" s="107"/>
      <c r="N337" s="101"/>
      <c r="O337" s="107"/>
      <c r="P337" s="4"/>
      <c r="V337" s="5"/>
      <c r="AC337" s="79"/>
      <c r="AD337" s="77"/>
      <c r="AE337" s="79"/>
      <c r="AF337" s="79"/>
      <c r="AG337" s="9"/>
      <c r="AH337" s="79"/>
      <c r="AL337" s="11"/>
      <c r="AM337" s="12"/>
    </row>
    <row r="338" s="1" customFormat="1" spans="4:39">
      <c r="D338" s="34"/>
      <c r="E338" s="34"/>
      <c r="F338" s="86"/>
      <c r="G338" s="86"/>
      <c r="H338" s="31"/>
      <c r="I338" s="3"/>
      <c r="J338" s="106"/>
      <c r="K338" s="106"/>
      <c r="L338" s="107"/>
      <c r="M338" s="107"/>
      <c r="N338" s="101"/>
      <c r="O338" s="107"/>
      <c r="P338" s="4"/>
      <c r="V338" s="5"/>
      <c r="AC338" s="79"/>
      <c r="AD338" s="77"/>
      <c r="AE338" s="79"/>
      <c r="AF338" s="79"/>
      <c r="AG338" s="9"/>
      <c r="AH338" s="79"/>
      <c r="AL338" s="11"/>
      <c r="AM338" s="12"/>
    </row>
    <row r="339" s="1" customFormat="1" spans="4:39">
      <c r="D339" s="34"/>
      <c r="E339" s="34"/>
      <c r="F339" s="86"/>
      <c r="G339" s="86"/>
      <c r="H339" s="31"/>
      <c r="I339" s="3"/>
      <c r="J339" s="106"/>
      <c r="K339" s="106"/>
      <c r="L339" s="107"/>
      <c r="M339" s="107"/>
      <c r="N339" s="101"/>
      <c r="O339" s="107"/>
      <c r="P339" s="4"/>
      <c r="V339" s="5"/>
      <c r="AC339" s="79"/>
      <c r="AD339" s="77"/>
      <c r="AE339" s="79"/>
      <c r="AF339" s="79"/>
      <c r="AG339" s="9"/>
      <c r="AH339" s="79"/>
      <c r="AL339" s="11"/>
      <c r="AM339" s="12"/>
    </row>
    <row r="340" s="1" customFormat="1" spans="4:39">
      <c r="D340" s="34"/>
      <c r="E340" s="34"/>
      <c r="F340" s="86"/>
      <c r="G340" s="86"/>
      <c r="H340" s="31"/>
      <c r="I340" s="3"/>
      <c r="J340" s="106"/>
      <c r="K340" s="106"/>
      <c r="L340" s="107"/>
      <c r="M340" s="107"/>
      <c r="N340" s="101"/>
      <c r="O340" s="107"/>
      <c r="P340" s="4"/>
      <c r="V340" s="5"/>
      <c r="AC340" s="79"/>
      <c r="AD340" s="77"/>
      <c r="AE340" s="79"/>
      <c r="AF340" s="79"/>
      <c r="AG340" s="9"/>
      <c r="AH340" s="79"/>
      <c r="AL340" s="11"/>
      <c r="AM340" s="12"/>
    </row>
    <row r="341" s="1" customFormat="1" spans="4:39">
      <c r="D341" s="34"/>
      <c r="E341" s="34"/>
      <c r="F341" s="86"/>
      <c r="G341" s="86"/>
      <c r="H341" s="31"/>
      <c r="I341" s="3"/>
      <c r="J341" s="106"/>
      <c r="K341" s="106"/>
      <c r="L341" s="107"/>
      <c r="M341" s="107"/>
      <c r="N341" s="101"/>
      <c r="O341" s="107"/>
      <c r="P341" s="4"/>
      <c r="V341" s="5"/>
      <c r="AC341" s="79"/>
      <c r="AD341" s="77"/>
      <c r="AE341" s="79"/>
      <c r="AF341" s="79"/>
      <c r="AG341" s="9"/>
      <c r="AH341" s="79"/>
      <c r="AL341" s="11"/>
      <c r="AM341" s="12"/>
    </row>
    <row r="342" s="1" customFormat="1" spans="4:39">
      <c r="D342" s="34"/>
      <c r="E342" s="34"/>
      <c r="F342" s="86"/>
      <c r="G342" s="86"/>
      <c r="H342" s="31"/>
      <c r="I342" s="3"/>
      <c r="J342" s="106"/>
      <c r="K342" s="106"/>
      <c r="L342" s="107"/>
      <c r="M342" s="107"/>
      <c r="N342" s="101"/>
      <c r="O342" s="107"/>
      <c r="P342" s="4"/>
      <c r="V342" s="5"/>
      <c r="AC342" s="79"/>
      <c r="AD342" s="77"/>
      <c r="AE342" s="79"/>
      <c r="AF342" s="79"/>
      <c r="AG342" s="9"/>
      <c r="AH342" s="79"/>
      <c r="AL342" s="11"/>
      <c r="AM342" s="12"/>
    </row>
    <row r="343" s="1" customFormat="1" spans="4:39">
      <c r="D343" s="34"/>
      <c r="E343" s="34"/>
      <c r="F343" s="86"/>
      <c r="G343" s="86"/>
      <c r="H343" s="31"/>
      <c r="I343" s="3"/>
      <c r="J343" s="106"/>
      <c r="K343" s="106"/>
      <c r="L343" s="107"/>
      <c r="M343" s="107"/>
      <c r="N343" s="101"/>
      <c r="O343" s="107"/>
      <c r="P343" s="4"/>
      <c r="V343" s="5"/>
      <c r="AC343" s="79"/>
      <c r="AD343" s="77"/>
      <c r="AE343" s="79"/>
      <c r="AF343" s="79"/>
      <c r="AG343" s="9"/>
      <c r="AH343" s="79"/>
      <c r="AL343" s="11"/>
      <c r="AM343" s="12"/>
    </row>
    <row r="344" s="1" customFormat="1" spans="4:39">
      <c r="D344" s="34"/>
      <c r="E344" s="34"/>
      <c r="F344" s="86"/>
      <c r="G344" s="86"/>
      <c r="H344" s="31"/>
      <c r="I344" s="3"/>
      <c r="J344" s="106"/>
      <c r="K344" s="106"/>
      <c r="L344" s="107"/>
      <c r="M344" s="107"/>
      <c r="N344" s="101"/>
      <c r="O344" s="107"/>
      <c r="P344" s="4"/>
      <c r="V344" s="5"/>
      <c r="AC344" s="79"/>
      <c r="AD344" s="77"/>
      <c r="AE344" s="79"/>
      <c r="AF344" s="79"/>
      <c r="AG344" s="9"/>
      <c r="AH344" s="79"/>
      <c r="AL344" s="11"/>
      <c r="AM344" s="12"/>
    </row>
    <row r="345" s="1" customFormat="1" spans="4:39">
      <c r="D345" s="34"/>
      <c r="E345" s="34"/>
      <c r="F345" s="86"/>
      <c r="G345" s="86"/>
      <c r="H345" s="31"/>
      <c r="I345" s="3"/>
      <c r="J345" s="106"/>
      <c r="K345" s="106"/>
      <c r="L345" s="107"/>
      <c r="M345" s="107"/>
      <c r="N345" s="101"/>
      <c r="O345" s="107"/>
      <c r="P345" s="4"/>
      <c r="V345" s="5"/>
      <c r="AC345" s="79"/>
      <c r="AD345" s="77"/>
      <c r="AE345" s="79"/>
      <c r="AF345" s="79"/>
      <c r="AG345" s="9"/>
      <c r="AH345" s="79"/>
      <c r="AL345" s="11"/>
      <c r="AM345" s="12"/>
    </row>
    <row r="346" s="1" customFormat="1" spans="4:39">
      <c r="D346" s="34"/>
      <c r="E346" s="34"/>
      <c r="F346" s="86"/>
      <c r="G346" s="86"/>
      <c r="H346" s="31"/>
      <c r="I346" s="3"/>
      <c r="J346" s="106"/>
      <c r="K346" s="106"/>
      <c r="L346" s="107"/>
      <c r="M346" s="107"/>
      <c r="N346" s="101"/>
      <c r="O346" s="107"/>
      <c r="P346" s="4"/>
      <c r="V346" s="5"/>
      <c r="AC346" s="79"/>
      <c r="AD346" s="77"/>
      <c r="AE346" s="79"/>
      <c r="AF346" s="79"/>
      <c r="AG346" s="9"/>
      <c r="AH346" s="79"/>
      <c r="AL346" s="11"/>
      <c r="AM346" s="12"/>
    </row>
    <row r="347" s="1" customFormat="1" spans="4:39">
      <c r="D347" s="34"/>
      <c r="E347" s="34"/>
      <c r="F347" s="86"/>
      <c r="G347" s="86"/>
      <c r="H347" s="31"/>
      <c r="I347" s="3"/>
      <c r="J347" s="106"/>
      <c r="K347" s="106"/>
      <c r="L347" s="107"/>
      <c r="M347" s="107"/>
      <c r="N347" s="101"/>
      <c r="O347" s="107"/>
      <c r="P347" s="4"/>
      <c r="V347" s="5"/>
      <c r="AC347" s="79"/>
      <c r="AD347" s="77"/>
      <c r="AE347" s="79"/>
      <c r="AF347" s="79"/>
      <c r="AG347" s="9"/>
      <c r="AH347" s="79"/>
      <c r="AL347" s="11"/>
      <c r="AM347" s="12"/>
    </row>
    <row r="348" s="1" customFormat="1" spans="4:39">
      <c r="D348" s="34"/>
      <c r="E348" s="34"/>
      <c r="F348" s="86"/>
      <c r="G348" s="86"/>
      <c r="H348" s="31"/>
      <c r="I348" s="3"/>
      <c r="J348" s="106"/>
      <c r="K348" s="106"/>
      <c r="L348" s="107"/>
      <c r="M348" s="107"/>
      <c r="N348" s="101"/>
      <c r="O348" s="107"/>
      <c r="P348" s="4"/>
      <c r="V348" s="5"/>
      <c r="AC348" s="79"/>
      <c r="AD348" s="77"/>
      <c r="AE348" s="79"/>
      <c r="AF348" s="79"/>
      <c r="AG348" s="9"/>
      <c r="AH348" s="79"/>
      <c r="AL348" s="11"/>
      <c r="AM348" s="12"/>
    </row>
    <row r="349" s="1" customFormat="1" spans="4:39">
      <c r="D349" s="34"/>
      <c r="E349" s="34"/>
      <c r="F349" s="86"/>
      <c r="G349" s="86"/>
      <c r="H349" s="31"/>
      <c r="I349" s="3"/>
      <c r="J349" s="106"/>
      <c r="K349" s="106"/>
      <c r="L349" s="107"/>
      <c r="M349" s="107"/>
      <c r="N349" s="101"/>
      <c r="O349" s="107"/>
      <c r="P349" s="4"/>
      <c r="V349" s="5"/>
      <c r="AC349" s="79"/>
      <c r="AD349" s="77"/>
      <c r="AE349" s="79"/>
      <c r="AF349" s="79"/>
      <c r="AG349" s="9"/>
      <c r="AH349" s="79"/>
      <c r="AL349" s="11"/>
      <c r="AM349" s="12"/>
    </row>
    <row r="350" s="1" customFormat="1" spans="4:39">
      <c r="D350" s="34"/>
      <c r="E350" s="34"/>
      <c r="F350" s="86"/>
      <c r="G350" s="86"/>
      <c r="H350" s="31"/>
      <c r="I350" s="3"/>
      <c r="J350" s="106"/>
      <c r="K350" s="106"/>
      <c r="L350" s="107"/>
      <c r="M350" s="107"/>
      <c r="N350" s="101"/>
      <c r="O350" s="107"/>
      <c r="P350" s="4"/>
      <c r="V350" s="5"/>
      <c r="AC350" s="79"/>
      <c r="AD350" s="77"/>
      <c r="AE350" s="79"/>
      <c r="AF350" s="79"/>
      <c r="AG350" s="9"/>
      <c r="AH350" s="79"/>
      <c r="AL350" s="11"/>
      <c r="AM350" s="12"/>
    </row>
    <row r="351" s="1" customFormat="1" spans="4:39">
      <c r="D351" s="34"/>
      <c r="E351" s="34"/>
      <c r="F351" s="86"/>
      <c r="G351" s="86"/>
      <c r="H351" s="31"/>
      <c r="I351" s="3"/>
      <c r="J351" s="106"/>
      <c r="K351" s="106"/>
      <c r="L351" s="107"/>
      <c r="M351" s="107"/>
      <c r="N351" s="101"/>
      <c r="O351" s="107"/>
      <c r="P351" s="4"/>
      <c r="V351" s="5"/>
      <c r="AC351" s="79"/>
      <c r="AD351" s="77"/>
      <c r="AE351" s="79"/>
      <c r="AF351" s="79"/>
      <c r="AG351" s="9"/>
      <c r="AH351" s="79"/>
      <c r="AL351" s="11"/>
      <c r="AM351" s="12"/>
    </row>
    <row r="352" s="1" customFormat="1" spans="4:39">
      <c r="D352" s="34"/>
      <c r="E352" s="34"/>
      <c r="F352" s="86"/>
      <c r="G352" s="86"/>
      <c r="H352" s="31"/>
      <c r="I352" s="3"/>
      <c r="J352" s="106"/>
      <c r="K352" s="106"/>
      <c r="L352" s="107"/>
      <c r="M352" s="107"/>
      <c r="N352" s="101"/>
      <c r="O352" s="107"/>
      <c r="P352" s="4"/>
      <c r="V352" s="5"/>
      <c r="AC352" s="79"/>
      <c r="AD352" s="77"/>
      <c r="AE352" s="79"/>
      <c r="AF352" s="79"/>
      <c r="AG352" s="9"/>
      <c r="AH352" s="79"/>
      <c r="AL352" s="11"/>
      <c r="AM352" s="12"/>
    </row>
    <row r="353" s="1" customFormat="1" spans="4:39">
      <c r="D353" s="34"/>
      <c r="E353" s="34"/>
      <c r="F353" s="86"/>
      <c r="G353" s="86"/>
      <c r="H353" s="31"/>
      <c r="I353" s="3"/>
      <c r="J353" s="106"/>
      <c r="K353" s="106"/>
      <c r="L353" s="107"/>
      <c r="M353" s="107"/>
      <c r="N353" s="101"/>
      <c r="O353" s="107"/>
      <c r="P353" s="4"/>
      <c r="V353" s="5"/>
      <c r="AC353" s="79"/>
      <c r="AD353" s="77"/>
      <c r="AE353" s="79"/>
      <c r="AF353" s="79"/>
      <c r="AG353" s="9"/>
      <c r="AH353" s="79"/>
      <c r="AL353" s="11"/>
      <c r="AM353" s="12"/>
    </row>
    <row r="354" s="1" customFormat="1" spans="4:39">
      <c r="D354" s="34"/>
      <c r="E354" s="34"/>
      <c r="F354" s="86"/>
      <c r="G354" s="86"/>
      <c r="H354" s="31"/>
      <c r="I354" s="3"/>
      <c r="J354" s="106"/>
      <c r="K354" s="106"/>
      <c r="L354" s="107"/>
      <c r="M354" s="107"/>
      <c r="N354" s="101"/>
      <c r="O354" s="107"/>
      <c r="P354" s="4"/>
      <c r="V354" s="5"/>
      <c r="AC354" s="79"/>
      <c r="AD354" s="77"/>
      <c r="AE354" s="79"/>
      <c r="AF354" s="79"/>
      <c r="AG354" s="9"/>
      <c r="AH354" s="79"/>
      <c r="AL354" s="11"/>
      <c r="AM354" s="12"/>
    </row>
    <row r="355" s="1" customFormat="1" spans="4:39">
      <c r="D355" s="34"/>
      <c r="E355" s="34"/>
      <c r="F355" s="86"/>
      <c r="G355" s="86"/>
      <c r="H355" s="31"/>
      <c r="I355" s="3"/>
      <c r="J355" s="106"/>
      <c r="K355" s="106"/>
      <c r="L355" s="107"/>
      <c r="M355" s="107"/>
      <c r="N355" s="101"/>
      <c r="O355" s="107"/>
      <c r="P355" s="4"/>
      <c r="V355" s="5"/>
      <c r="AC355" s="79"/>
      <c r="AD355" s="77"/>
      <c r="AE355" s="79"/>
      <c r="AF355" s="79"/>
      <c r="AG355" s="9"/>
      <c r="AH355" s="79"/>
      <c r="AL355" s="11"/>
      <c r="AM355" s="12"/>
    </row>
    <row r="356" s="1" customFormat="1" spans="4:39">
      <c r="D356" s="34"/>
      <c r="E356" s="34"/>
      <c r="F356" s="86"/>
      <c r="G356" s="86"/>
      <c r="H356" s="31"/>
      <c r="I356" s="3"/>
      <c r="J356" s="106"/>
      <c r="K356" s="106"/>
      <c r="L356" s="107"/>
      <c r="M356" s="107"/>
      <c r="N356" s="101"/>
      <c r="O356" s="107"/>
      <c r="P356" s="4"/>
      <c r="V356" s="5"/>
      <c r="AC356" s="79"/>
      <c r="AD356" s="77"/>
      <c r="AE356" s="79"/>
      <c r="AF356" s="79"/>
      <c r="AG356" s="9"/>
      <c r="AH356" s="79"/>
      <c r="AL356" s="11"/>
      <c r="AM356" s="12"/>
    </row>
    <row r="357" s="1" customFormat="1" spans="4:39">
      <c r="D357" s="34"/>
      <c r="E357" s="34"/>
      <c r="F357" s="86"/>
      <c r="G357" s="86"/>
      <c r="H357" s="31"/>
      <c r="I357" s="3"/>
      <c r="J357" s="106"/>
      <c r="K357" s="106"/>
      <c r="L357" s="107"/>
      <c r="M357" s="107"/>
      <c r="N357" s="101"/>
      <c r="O357" s="107"/>
      <c r="P357" s="4"/>
      <c r="V357" s="5"/>
      <c r="AC357" s="79"/>
      <c r="AD357" s="77"/>
      <c r="AE357" s="79"/>
      <c r="AF357" s="79"/>
      <c r="AG357" s="9"/>
      <c r="AH357" s="79"/>
      <c r="AL357" s="11"/>
      <c r="AM357" s="12"/>
    </row>
    <row r="358" s="1" customFormat="1" spans="4:39">
      <c r="D358" s="34"/>
      <c r="E358" s="34"/>
      <c r="F358" s="86"/>
      <c r="G358" s="86"/>
      <c r="H358" s="31"/>
      <c r="I358" s="3"/>
      <c r="J358" s="106"/>
      <c r="K358" s="106"/>
      <c r="L358" s="107"/>
      <c r="M358" s="107"/>
      <c r="N358" s="101"/>
      <c r="O358" s="107"/>
      <c r="P358" s="4"/>
      <c r="V358" s="5"/>
      <c r="AC358" s="79"/>
      <c r="AD358" s="77"/>
      <c r="AE358" s="79"/>
      <c r="AF358" s="79"/>
      <c r="AG358" s="9"/>
      <c r="AH358" s="79"/>
      <c r="AL358" s="11"/>
      <c r="AM358" s="12"/>
    </row>
    <row r="359" s="1" customFormat="1" spans="4:39">
      <c r="D359" s="34"/>
      <c r="E359" s="34"/>
      <c r="F359" s="86"/>
      <c r="G359" s="86"/>
      <c r="H359" s="31"/>
      <c r="I359" s="3"/>
      <c r="J359" s="106"/>
      <c r="K359" s="106"/>
      <c r="L359" s="107"/>
      <c r="M359" s="107"/>
      <c r="N359" s="101"/>
      <c r="O359" s="107"/>
      <c r="P359" s="4"/>
      <c r="V359" s="5"/>
      <c r="AC359" s="79"/>
      <c r="AD359" s="77"/>
      <c r="AE359" s="79"/>
      <c r="AF359" s="79"/>
      <c r="AG359" s="9"/>
      <c r="AH359" s="79"/>
      <c r="AL359" s="11"/>
      <c r="AM359" s="12"/>
    </row>
    <row r="360" s="1" customFormat="1" spans="4:39">
      <c r="D360" s="34"/>
      <c r="E360" s="34"/>
      <c r="F360" s="86"/>
      <c r="G360" s="86"/>
      <c r="H360" s="31"/>
      <c r="I360" s="3"/>
      <c r="J360" s="106"/>
      <c r="K360" s="106"/>
      <c r="L360" s="107"/>
      <c r="M360" s="107"/>
      <c r="N360" s="101"/>
      <c r="O360" s="107"/>
      <c r="P360" s="4"/>
      <c r="V360" s="5"/>
      <c r="AC360" s="79"/>
      <c r="AD360" s="77"/>
      <c r="AE360" s="79"/>
      <c r="AF360" s="79"/>
      <c r="AG360" s="9"/>
      <c r="AH360" s="79"/>
      <c r="AL360" s="11"/>
      <c r="AM360" s="12"/>
    </row>
    <row r="361" s="1" customFormat="1" spans="4:39">
      <c r="D361" s="34"/>
      <c r="E361" s="34"/>
      <c r="F361" s="86"/>
      <c r="G361" s="86"/>
      <c r="H361" s="31"/>
      <c r="I361" s="3"/>
      <c r="J361" s="106"/>
      <c r="K361" s="106"/>
      <c r="L361" s="107"/>
      <c r="M361" s="107"/>
      <c r="N361" s="101"/>
      <c r="O361" s="107"/>
      <c r="P361" s="4"/>
      <c r="V361" s="5"/>
      <c r="AC361" s="79"/>
      <c r="AD361" s="77"/>
      <c r="AE361" s="79"/>
      <c r="AF361" s="79"/>
      <c r="AG361" s="9"/>
      <c r="AH361" s="79"/>
      <c r="AL361" s="11"/>
      <c r="AM361" s="12"/>
    </row>
    <row r="362" s="1" customFormat="1" spans="4:39">
      <c r="D362" s="34"/>
      <c r="E362" s="34"/>
      <c r="F362" s="86"/>
      <c r="G362" s="86"/>
      <c r="H362" s="31"/>
      <c r="I362" s="3"/>
      <c r="J362" s="106"/>
      <c r="K362" s="106"/>
      <c r="L362" s="107"/>
      <c r="M362" s="107"/>
      <c r="N362" s="101"/>
      <c r="O362" s="107"/>
      <c r="P362" s="4"/>
      <c r="V362" s="5"/>
      <c r="AC362" s="79"/>
      <c r="AD362" s="77"/>
      <c r="AE362" s="79"/>
      <c r="AF362" s="79"/>
      <c r="AG362" s="9"/>
      <c r="AH362" s="79"/>
      <c r="AL362" s="11"/>
      <c r="AM362" s="12"/>
    </row>
    <row r="363" s="1" customFormat="1" spans="4:39">
      <c r="D363" s="34"/>
      <c r="E363" s="34"/>
      <c r="F363" s="86"/>
      <c r="G363" s="86"/>
      <c r="H363" s="31"/>
      <c r="I363" s="3"/>
      <c r="J363" s="106"/>
      <c r="K363" s="106"/>
      <c r="L363" s="107"/>
      <c r="M363" s="107"/>
      <c r="N363" s="101"/>
      <c r="O363" s="107"/>
      <c r="P363" s="4"/>
      <c r="V363" s="5"/>
      <c r="AC363" s="79"/>
      <c r="AD363" s="77"/>
      <c r="AE363" s="79"/>
      <c r="AF363" s="79"/>
      <c r="AG363" s="9"/>
      <c r="AH363" s="79"/>
      <c r="AL363" s="11"/>
      <c r="AM363" s="12"/>
    </row>
    <row r="364" s="1" customFormat="1" spans="4:39">
      <c r="D364" s="34"/>
      <c r="E364" s="34"/>
      <c r="F364" s="86"/>
      <c r="G364" s="86"/>
      <c r="H364" s="31"/>
      <c r="I364" s="3"/>
      <c r="J364" s="106"/>
      <c r="K364" s="106"/>
      <c r="L364" s="107"/>
      <c r="M364" s="107"/>
      <c r="N364" s="101"/>
      <c r="O364" s="107"/>
      <c r="P364" s="4"/>
      <c r="V364" s="5"/>
      <c r="AC364" s="79"/>
      <c r="AD364" s="77"/>
      <c r="AE364" s="79"/>
      <c r="AF364" s="79"/>
      <c r="AG364" s="9"/>
      <c r="AH364" s="79"/>
      <c r="AL364" s="11"/>
      <c r="AM364" s="12"/>
    </row>
    <row r="365" s="1" customFormat="1" spans="4:39">
      <c r="D365" s="34"/>
      <c r="E365" s="34"/>
      <c r="F365" s="86"/>
      <c r="G365" s="86"/>
      <c r="H365" s="31"/>
      <c r="I365" s="3"/>
      <c r="J365" s="106"/>
      <c r="K365" s="106"/>
      <c r="L365" s="107"/>
      <c r="M365" s="107"/>
      <c r="N365" s="101"/>
      <c r="O365" s="107"/>
      <c r="P365" s="4"/>
      <c r="V365" s="5"/>
      <c r="AC365" s="79"/>
      <c r="AD365" s="77"/>
      <c r="AE365" s="79"/>
      <c r="AF365" s="79"/>
      <c r="AG365" s="9"/>
      <c r="AH365" s="79"/>
      <c r="AL365" s="11"/>
      <c r="AM365" s="12"/>
    </row>
    <row r="366" s="1" customFormat="1" spans="4:39">
      <c r="D366" s="34"/>
      <c r="E366" s="34"/>
      <c r="F366" s="86"/>
      <c r="G366" s="86"/>
      <c r="H366" s="31"/>
      <c r="I366" s="3"/>
      <c r="J366" s="106"/>
      <c r="K366" s="106"/>
      <c r="L366" s="107"/>
      <c r="M366" s="107"/>
      <c r="N366" s="101"/>
      <c r="O366" s="107"/>
      <c r="P366" s="4"/>
      <c r="V366" s="5"/>
      <c r="AC366" s="79"/>
      <c r="AD366" s="77"/>
      <c r="AE366" s="79"/>
      <c r="AF366" s="79"/>
      <c r="AG366" s="9"/>
      <c r="AH366" s="79"/>
      <c r="AL366" s="11"/>
      <c r="AM366" s="12"/>
    </row>
    <row r="367" s="1" customFormat="1" spans="4:39">
      <c r="D367" s="34"/>
      <c r="E367" s="34"/>
      <c r="F367" s="86"/>
      <c r="G367" s="86"/>
      <c r="H367" s="31"/>
      <c r="I367" s="3"/>
      <c r="J367" s="106"/>
      <c r="K367" s="106"/>
      <c r="L367" s="107"/>
      <c r="M367" s="107"/>
      <c r="N367" s="101"/>
      <c r="O367" s="107"/>
      <c r="P367" s="4"/>
      <c r="V367" s="5"/>
      <c r="AC367" s="79"/>
      <c r="AD367" s="77"/>
      <c r="AE367" s="79"/>
      <c r="AF367" s="79"/>
      <c r="AG367" s="9"/>
      <c r="AH367" s="79"/>
      <c r="AL367" s="11"/>
      <c r="AM367" s="12"/>
    </row>
    <row r="368" s="1" customFormat="1" spans="4:39">
      <c r="D368" s="34"/>
      <c r="E368" s="34"/>
      <c r="F368" s="86"/>
      <c r="G368" s="86"/>
      <c r="H368" s="31"/>
      <c r="I368" s="3"/>
      <c r="J368" s="106"/>
      <c r="K368" s="106"/>
      <c r="L368" s="107"/>
      <c r="M368" s="107"/>
      <c r="N368" s="101"/>
      <c r="O368" s="107"/>
      <c r="P368" s="4"/>
      <c r="V368" s="5"/>
      <c r="AC368" s="79"/>
      <c r="AD368" s="77"/>
      <c r="AE368" s="79"/>
      <c r="AF368" s="79"/>
      <c r="AG368" s="9"/>
      <c r="AH368" s="79"/>
      <c r="AL368" s="11"/>
      <c r="AM368" s="12"/>
    </row>
    <row r="369" s="1" customFormat="1" spans="4:39">
      <c r="D369" s="34"/>
      <c r="E369" s="34"/>
      <c r="F369" s="86"/>
      <c r="G369" s="86"/>
      <c r="H369" s="31"/>
      <c r="I369" s="3"/>
      <c r="J369" s="106"/>
      <c r="K369" s="106"/>
      <c r="L369" s="107"/>
      <c r="M369" s="107"/>
      <c r="N369" s="101"/>
      <c r="O369" s="107"/>
      <c r="P369" s="4"/>
      <c r="V369" s="5"/>
      <c r="AC369" s="79"/>
      <c r="AD369" s="77"/>
      <c r="AE369" s="79"/>
      <c r="AF369" s="79"/>
      <c r="AG369" s="9"/>
      <c r="AH369" s="79"/>
      <c r="AL369" s="11"/>
      <c r="AM369" s="12"/>
    </row>
    <row r="370" s="1" customFormat="1" spans="4:39">
      <c r="D370" s="34"/>
      <c r="E370" s="34"/>
      <c r="F370" s="86"/>
      <c r="G370" s="86"/>
      <c r="H370" s="31"/>
      <c r="I370" s="3"/>
      <c r="J370" s="106"/>
      <c r="K370" s="106"/>
      <c r="L370" s="107"/>
      <c r="M370" s="107"/>
      <c r="N370" s="101"/>
      <c r="O370" s="107"/>
      <c r="P370" s="4"/>
      <c r="V370" s="5"/>
      <c r="AC370" s="79"/>
      <c r="AD370" s="77"/>
      <c r="AE370" s="79"/>
      <c r="AF370" s="79"/>
      <c r="AG370" s="9"/>
      <c r="AH370" s="79"/>
      <c r="AL370" s="11"/>
      <c r="AM370" s="12"/>
    </row>
    <row r="371" s="1" customFormat="1" spans="4:39">
      <c r="D371" s="34"/>
      <c r="E371" s="34"/>
      <c r="F371" s="86"/>
      <c r="G371" s="86"/>
      <c r="H371" s="31"/>
      <c r="I371" s="3"/>
      <c r="J371" s="106"/>
      <c r="K371" s="106"/>
      <c r="L371" s="107"/>
      <c r="M371" s="107"/>
      <c r="N371" s="101"/>
      <c r="O371" s="107"/>
      <c r="P371" s="4"/>
      <c r="V371" s="5"/>
      <c r="AC371" s="79"/>
      <c r="AD371" s="77"/>
      <c r="AE371" s="79"/>
      <c r="AF371" s="79"/>
      <c r="AG371" s="9"/>
      <c r="AH371" s="79"/>
      <c r="AL371" s="11"/>
      <c r="AM371" s="12"/>
    </row>
    <row r="372" s="1" customFormat="1" spans="4:39">
      <c r="D372" s="34"/>
      <c r="E372" s="34"/>
      <c r="F372" s="86"/>
      <c r="G372" s="86"/>
      <c r="H372" s="31"/>
      <c r="I372" s="3"/>
      <c r="J372" s="106"/>
      <c r="K372" s="106"/>
      <c r="L372" s="107"/>
      <c r="M372" s="107"/>
      <c r="N372" s="101"/>
      <c r="O372" s="107"/>
      <c r="P372" s="4"/>
      <c r="V372" s="5"/>
      <c r="AC372" s="79"/>
      <c r="AD372" s="77"/>
      <c r="AE372" s="79"/>
      <c r="AF372" s="79"/>
      <c r="AG372" s="9"/>
      <c r="AH372" s="79"/>
      <c r="AL372" s="11"/>
      <c r="AM372" s="12"/>
    </row>
    <row r="373" s="1" customFormat="1" spans="4:39">
      <c r="D373" s="34"/>
      <c r="E373" s="34"/>
      <c r="F373" s="86"/>
      <c r="G373" s="86"/>
      <c r="H373" s="31"/>
      <c r="I373" s="3"/>
      <c r="J373" s="106"/>
      <c r="K373" s="106"/>
      <c r="L373" s="107"/>
      <c r="M373" s="107"/>
      <c r="N373" s="101"/>
      <c r="O373" s="107"/>
      <c r="P373" s="4"/>
      <c r="V373" s="5"/>
      <c r="AC373" s="79"/>
      <c r="AD373" s="77"/>
      <c r="AE373" s="79"/>
      <c r="AF373" s="79"/>
      <c r="AG373" s="9"/>
      <c r="AH373" s="79"/>
      <c r="AL373" s="11"/>
      <c r="AM373" s="12"/>
    </row>
    <row r="374" s="1" customFormat="1" spans="4:39">
      <c r="D374" s="34"/>
      <c r="E374" s="34"/>
      <c r="F374" s="86"/>
      <c r="G374" s="86"/>
      <c r="H374" s="31"/>
      <c r="I374" s="3"/>
      <c r="J374" s="106"/>
      <c r="K374" s="106"/>
      <c r="L374" s="107"/>
      <c r="M374" s="107"/>
      <c r="N374" s="101"/>
      <c r="O374" s="107"/>
      <c r="P374" s="4"/>
      <c r="V374" s="5"/>
      <c r="AC374" s="79"/>
      <c r="AD374" s="77"/>
      <c r="AE374" s="79"/>
      <c r="AF374" s="79"/>
      <c r="AG374" s="9"/>
      <c r="AH374" s="79"/>
      <c r="AL374" s="11"/>
      <c r="AM374" s="12"/>
    </row>
    <row r="375" s="1" customFormat="1" spans="4:39">
      <c r="D375" s="34"/>
      <c r="E375" s="34"/>
      <c r="F375" s="86"/>
      <c r="G375" s="86"/>
      <c r="H375" s="31"/>
      <c r="I375" s="3"/>
      <c r="J375" s="106"/>
      <c r="K375" s="106"/>
      <c r="L375" s="107"/>
      <c r="M375" s="107"/>
      <c r="N375" s="101"/>
      <c r="O375" s="107"/>
      <c r="P375" s="4"/>
      <c r="V375" s="5"/>
      <c r="AC375" s="79"/>
      <c r="AD375" s="77"/>
      <c r="AE375" s="79"/>
      <c r="AF375" s="79"/>
      <c r="AG375" s="9"/>
      <c r="AH375" s="79"/>
      <c r="AL375" s="11"/>
      <c r="AM375" s="12"/>
    </row>
    <row r="376" s="1" customFormat="1" spans="4:39">
      <c r="D376" s="34"/>
      <c r="E376" s="34"/>
      <c r="F376" s="86"/>
      <c r="G376" s="86"/>
      <c r="H376" s="31"/>
      <c r="I376" s="3"/>
      <c r="J376" s="106"/>
      <c r="K376" s="106"/>
      <c r="L376" s="107"/>
      <c r="M376" s="107"/>
      <c r="N376" s="101"/>
      <c r="O376" s="107"/>
      <c r="P376" s="4"/>
      <c r="V376" s="5"/>
      <c r="AC376" s="79"/>
      <c r="AD376" s="77"/>
      <c r="AE376" s="79"/>
      <c r="AF376" s="79"/>
      <c r="AG376" s="9"/>
      <c r="AH376" s="79"/>
      <c r="AL376" s="11"/>
      <c r="AM376" s="12"/>
    </row>
    <row r="377" s="1" customFormat="1" spans="4:39">
      <c r="D377" s="34"/>
      <c r="E377" s="34"/>
      <c r="F377" s="86"/>
      <c r="G377" s="86"/>
      <c r="H377" s="31"/>
      <c r="I377" s="3"/>
      <c r="J377" s="106"/>
      <c r="K377" s="106"/>
      <c r="L377" s="107"/>
      <c r="M377" s="107"/>
      <c r="N377" s="101"/>
      <c r="O377" s="107"/>
      <c r="P377" s="4"/>
      <c r="V377" s="5"/>
      <c r="AC377" s="79"/>
      <c r="AD377" s="77"/>
      <c r="AE377" s="79"/>
      <c r="AF377" s="79"/>
      <c r="AG377" s="9"/>
      <c r="AH377" s="79"/>
      <c r="AL377" s="11"/>
      <c r="AM377" s="12"/>
    </row>
    <row r="378" s="1" customFormat="1" spans="4:39">
      <c r="D378" s="34"/>
      <c r="E378" s="34"/>
      <c r="F378" s="86"/>
      <c r="G378" s="86"/>
      <c r="H378" s="31"/>
      <c r="I378" s="3"/>
      <c r="J378" s="106"/>
      <c r="K378" s="106"/>
      <c r="L378" s="107"/>
      <c r="M378" s="107"/>
      <c r="N378" s="101"/>
      <c r="O378" s="107"/>
      <c r="P378" s="4"/>
      <c r="V378" s="5"/>
      <c r="AC378" s="79"/>
      <c r="AD378" s="77"/>
      <c r="AE378" s="79"/>
      <c r="AF378" s="79"/>
      <c r="AG378" s="9"/>
      <c r="AH378" s="79"/>
      <c r="AL378" s="11"/>
      <c r="AM378" s="12"/>
    </row>
    <row r="379" s="1" customFormat="1" spans="4:39">
      <c r="D379" s="34"/>
      <c r="E379" s="34"/>
      <c r="F379" s="86"/>
      <c r="G379" s="86"/>
      <c r="H379" s="31"/>
      <c r="I379" s="3"/>
      <c r="J379" s="106"/>
      <c r="K379" s="106"/>
      <c r="L379" s="107"/>
      <c r="M379" s="107"/>
      <c r="N379" s="101"/>
      <c r="O379" s="107"/>
      <c r="P379" s="4"/>
      <c r="V379" s="5"/>
      <c r="AC379" s="79"/>
      <c r="AD379" s="77"/>
      <c r="AE379" s="79"/>
      <c r="AF379" s="79"/>
      <c r="AG379" s="9"/>
      <c r="AH379" s="79"/>
      <c r="AL379" s="11"/>
      <c r="AM379" s="12"/>
    </row>
    <row r="380" s="1" customFormat="1" spans="4:39">
      <c r="D380" s="34"/>
      <c r="E380" s="34"/>
      <c r="F380" s="86"/>
      <c r="G380" s="86"/>
      <c r="H380" s="31"/>
      <c r="I380" s="3"/>
      <c r="J380" s="106"/>
      <c r="K380" s="106"/>
      <c r="L380" s="107"/>
      <c r="M380" s="107"/>
      <c r="N380" s="101"/>
      <c r="O380" s="107"/>
      <c r="P380" s="4"/>
      <c r="V380" s="5"/>
      <c r="AC380" s="79"/>
      <c r="AD380" s="77"/>
      <c r="AE380" s="79"/>
      <c r="AF380" s="79"/>
      <c r="AG380" s="9"/>
      <c r="AH380" s="79"/>
      <c r="AL380" s="11"/>
      <c r="AM380" s="12"/>
    </row>
    <row r="381" s="1" customFormat="1" spans="4:39">
      <c r="D381" s="34"/>
      <c r="E381" s="34"/>
      <c r="F381" s="86"/>
      <c r="G381" s="86"/>
      <c r="H381" s="31"/>
      <c r="I381" s="3"/>
      <c r="J381" s="106"/>
      <c r="K381" s="106"/>
      <c r="L381" s="107"/>
      <c r="M381" s="107"/>
      <c r="N381" s="101"/>
      <c r="O381" s="107"/>
      <c r="P381" s="4"/>
      <c r="V381" s="5"/>
      <c r="AC381" s="79"/>
      <c r="AD381" s="77"/>
      <c r="AE381" s="79"/>
      <c r="AF381" s="79"/>
      <c r="AG381" s="9"/>
      <c r="AH381" s="79"/>
      <c r="AL381" s="11"/>
      <c r="AM381" s="12"/>
    </row>
    <row r="382" s="1" customFormat="1" spans="4:39">
      <c r="D382" s="34"/>
      <c r="E382" s="34"/>
      <c r="F382" s="86"/>
      <c r="G382" s="86"/>
      <c r="H382" s="31"/>
      <c r="I382" s="3"/>
      <c r="J382" s="106"/>
      <c r="K382" s="106"/>
      <c r="L382" s="107"/>
      <c r="M382" s="107"/>
      <c r="N382" s="101"/>
      <c r="O382" s="107"/>
      <c r="P382" s="4"/>
      <c r="V382" s="5"/>
      <c r="AC382" s="79"/>
      <c r="AD382" s="77"/>
      <c r="AE382" s="79"/>
      <c r="AF382" s="79"/>
      <c r="AG382" s="9"/>
      <c r="AH382" s="79"/>
      <c r="AL382" s="11"/>
      <c r="AM382" s="12"/>
    </row>
    <row r="383" s="1" customFormat="1" spans="4:39">
      <c r="D383" s="34"/>
      <c r="E383" s="34"/>
      <c r="F383" s="86"/>
      <c r="G383" s="86"/>
      <c r="H383" s="31"/>
      <c r="I383" s="3"/>
      <c r="J383" s="106"/>
      <c r="K383" s="106"/>
      <c r="L383" s="107"/>
      <c r="M383" s="107"/>
      <c r="N383" s="101"/>
      <c r="O383" s="107"/>
      <c r="P383" s="4"/>
      <c r="V383" s="5"/>
      <c r="AC383" s="79"/>
      <c r="AD383" s="77"/>
      <c r="AE383" s="79"/>
      <c r="AF383" s="79"/>
      <c r="AG383" s="9"/>
      <c r="AH383" s="79"/>
      <c r="AL383" s="11"/>
      <c r="AM383" s="12"/>
    </row>
    <row r="384" s="1" customFormat="1" spans="4:39">
      <c r="D384" s="34"/>
      <c r="E384" s="34"/>
      <c r="F384" s="86"/>
      <c r="G384" s="86"/>
      <c r="H384" s="31"/>
      <c r="I384" s="3"/>
      <c r="J384" s="106"/>
      <c r="K384" s="106"/>
      <c r="L384" s="107"/>
      <c r="M384" s="107"/>
      <c r="N384" s="101"/>
      <c r="O384" s="107"/>
      <c r="P384" s="4"/>
      <c r="V384" s="5"/>
      <c r="AC384" s="79"/>
      <c r="AD384" s="77"/>
      <c r="AE384" s="79"/>
      <c r="AF384" s="79"/>
      <c r="AG384" s="9"/>
      <c r="AH384" s="79"/>
      <c r="AL384" s="11"/>
      <c r="AM384" s="12"/>
    </row>
    <row r="385" s="1" customFormat="1" spans="4:39">
      <c r="D385" s="34"/>
      <c r="E385" s="34"/>
      <c r="F385" s="86"/>
      <c r="G385" s="86"/>
      <c r="H385" s="31"/>
      <c r="I385" s="3"/>
      <c r="J385" s="106"/>
      <c r="K385" s="106"/>
      <c r="L385" s="107"/>
      <c r="M385" s="107"/>
      <c r="N385" s="101"/>
      <c r="O385" s="107"/>
      <c r="P385" s="4"/>
      <c r="V385" s="5"/>
      <c r="AC385" s="79"/>
      <c r="AD385" s="77"/>
      <c r="AE385" s="79"/>
      <c r="AF385" s="79"/>
      <c r="AG385" s="9"/>
      <c r="AH385" s="79"/>
      <c r="AL385" s="11"/>
      <c r="AM385" s="12"/>
    </row>
    <row r="386" s="1" customFormat="1" spans="4:39">
      <c r="D386" s="34"/>
      <c r="E386" s="34"/>
      <c r="F386" s="86"/>
      <c r="G386" s="86"/>
      <c r="H386" s="31"/>
      <c r="I386" s="3"/>
      <c r="J386" s="106"/>
      <c r="K386" s="106"/>
      <c r="L386" s="107"/>
      <c r="M386" s="107"/>
      <c r="N386" s="101"/>
      <c r="O386" s="107"/>
      <c r="P386" s="4"/>
      <c r="V386" s="5"/>
      <c r="AC386" s="79"/>
      <c r="AD386" s="77"/>
      <c r="AE386" s="79"/>
      <c r="AF386" s="79"/>
      <c r="AG386" s="9"/>
      <c r="AH386" s="79"/>
      <c r="AL386" s="11"/>
      <c r="AM386" s="12"/>
    </row>
    <row r="387" s="1" customFormat="1" spans="4:39">
      <c r="D387" s="34"/>
      <c r="E387" s="34"/>
      <c r="F387" s="86"/>
      <c r="G387" s="86"/>
      <c r="H387" s="31"/>
      <c r="I387" s="3"/>
      <c r="J387" s="106"/>
      <c r="K387" s="106"/>
      <c r="L387" s="107"/>
      <c r="M387" s="107"/>
      <c r="N387" s="101"/>
      <c r="O387" s="107"/>
      <c r="P387" s="4"/>
      <c r="V387" s="5"/>
      <c r="AC387" s="79"/>
      <c r="AD387" s="77"/>
      <c r="AE387" s="79"/>
      <c r="AF387" s="79"/>
      <c r="AG387" s="9"/>
      <c r="AH387" s="79"/>
      <c r="AL387" s="11"/>
      <c r="AM387" s="12"/>
    </row>
    <row r="388" s="1" customFormat="1" spans="4:39">
      <c r="D388" s="34"/>
      <c r="E388" s="34"/>
      <c r="F388" s="86"/>
      <c r="G388" s="86"/>
      <c r="H388" s="31"/>
      <c r="I388" s="3"/>
      <c r="J388" s="106"/>
      <c r="K388" s="106"/>
      <c r="L388" s="107"/>
      <c r="M388" s="107"/>
      <c r="N388" s="101"/>
      <c r="O388" s="107"/>
      <c r="P388" s="4"/>
      <c r="V388" s="5"/>
      <c r="AC388" s="79"/>
      <c r="AD388" s="77"/>
      <c r="AE388" s="79"/>
      <c r="AF388" s="79"/>
      <c r="AG388" s="9"/>
      <c r="AH388" s="79"/>
      <c r="AL388" s="11"/>
      <c r="AM388" s="12"/>
    </row>
    <row r="389" s="1" customFormat="1" spans="4:39">
      <c r="D389" s="34"/>
      <c r="E389" s="34"/>
      <c r="F389" s="86"/>
      <c r="G389" s="86"/>
      <c r="H389" s="31"/>
      <c r="I389" s="3"/>
      <c r="J389" s="106"/>
      <c r="K389" s="106"/>
      <c r="L389" s="107"/>
      <c r="M389" s="107"/>
      <c r="N389" s="101"/>
      <c r="O389" s="107"/>
      <c r="P389" s="4"/>
      <c r="V389" s="5"/>
      <c r="AC389" s="79"/>
      <c r="AD389" s="77"/>
      <c r="AE389" s="79"/>
      <c r="AF389" s="79"/>
      <c r="AG389" s="9"/>
      <c r="AH389" s="79"/>
      <c r="AL389" s="11"/>
      <c r="AM389" s="12"/>
    </row>
    <row r="390" s="1" customFormat="1" spans="4:39">
      <c r="D390" s="34"/>
      <c r="E390" s="34"/>
      <c r="F390" s="86"/>
      <c r="G390" s="86"/>
      <c r="H390" s="31"/>
      <c r="I390" s="3"/>
      <c r="J390" s="106"/>
      <c r="K390" s="106"/>
      <c r="L390" s="107"/>
      <c r="M390" s="107"/>
      <c r="N390" s="101"/>
      <c r="O390" s="107"/>
      <c r="P390" s="4"/>
      <c r="V390" s="5"/>
      <c r="AC390" s="79"/>
      <c r="AD390" s="77"/>
      <c r="AE390" s="79"/>
      <c r="AF390" s="79"/>
      <c r="AG390" s="9"/>
      <c r="AH390" s="79"/>
      <c r="AL390" s="11"/>
      <c r="AM390" s="12"/>
    </row>
    <row r="391" s="1" customFormat="1" spans="4:39">
      <c r="D391" s="34"/>
      <c r="E391" s="34"/>
      <c r="F391" s="86"/>
      <c r="G391" s="86"/>
      <c r="H391" s="31"/>
      <c r="I391" s="3"/>
      <c r="J391" s="106"/>
      <c r="K391" s="106"/>
      <c r="L391" s="107"/>
      <c r="M391" s="107"/>
      <c r="N391" s="101"/>
      <c r="O391" s="107"/>
      <c r="P391" s="4"/>
      <c r="V391" s="5"/>
      <c r="AC391" s="79"/>
      <c r="AD391" s="77"/>
      <c r="AE391" s="79"/>
      <c r="AF391" s="79"/>
      <c r="AG391" s="9"/>
      <c r="AH391" s="79"/>
      <c r="AL391" s="11"/>
      <c r="AM391" s="12"/>
    </row>
    <row r="392" s="1" customFormat="1" spans="4:39">
      <c r="D392" s="34"/>
      <c r="E392" s="34"/>
      <c r="F392" s="86"/>
      <c r="G392" s="86"/>
      <c r="H392" s="31"/>
      <c r="I392" s="3"/>
      <c r="J392" s="106"/>
      <c r="K392" s="106"/>
      <c r="L392" s="107"/>
      <c r="M392" s="107"/>
      <c r="N392" s="101"/>
      <c r="O392" s="107"/>
      <c r="P392" s="4"/>
      <c r="V392" s="5"/>
      <c r="AC392" s="79"/>
      <c r="AD392" s="77"/>
      <c r="AE392" s="79"/>
      <c r="AF392" s="79"/>
      <c r="AG392" s="9"/>
      <c r="AH392" s="79"/>
      <c r="AL392" s="11"/>
      <c r="AM392" s="12"/>
    </row>
    <row r="393" s="1" customFormat="1" spans="4:39">
      <c r="D393" s="34"/>
      <c r="E393" s="34"/>
      <c r="F393" s="86"/>
      <c r="G393" s="86"/>
      <c r="H393" s="31"/>
      <c r="I393" s="3"/>
      <c r="J393" s="106"/>
      <c r="K393" s="106"/>
      <c r="L393" s="107"/>
      <c r="M393" s="107"/>
      <c r="N393" s="101"/>
      <c r="O393" s="107"/>
      <c r="P393" s="4"/>
      <c r="V393" s="5"/>
      <c r="AC393" s="79"/>
      <c r="AD393" s="77"/>
      <c r="AE393" s="79"/>
      <c r="AF393" s="79"/>
      <c r="AG393" s="9"/>
      <c r="AH393" s="79"/>
      <c r="AL393" s="11"/>
      <c r="AM393" s="12"/>
    </row>
    <row r="394" s="1" customFormat="1" spans="4:39">
      <c r="D394" s="34"/>
      <c r="E394" s="34"/>
      <c r="F394" s="86"/>
      <c r="G394" s="86"/>
      <c r="H394" s="31"/>
      <c r="I394" s="3"/>
      <c r="J394" s="106"/>
      <c r="K394" s="106"/>
      <c r="L394" s="107"/>
      <c r="M394" s="107"/>
      <c r="N394" s="101"/>
      <c r="O394" s="107"/>
      <c r="P394" s="4"/>
      <c r="V394" s="5"/>
      <c r="AC394" s="79"/>
      <c r="AD394" s="77"/>
      <c r="AE394" s="79"/>
      <c r="AF394" s="79"/>
      <c r="AG394" s="9"/>
      <c r="AH394" s="79"/>
      <c r="AL394" s="11"/>
      <c r="AM394" s="12"/>
    </row>
    <row r="395" s="1" customFormat="1" spans="4:39">
      <c r="D395" s="34"/>
      <c r="E395" s="34"/>
      <c r="F395" s="86"/>
      <c r="G395" s="86"/>
      <c r="H395" s="31"/>
      <c r="I395" s="3"/>
      <c r="J395" s="106"/>
      <c r="K395" s="106"/>
      <c r="L395" s="107"/>
      <c r="M395" s="107"/>
      <c r="N395" s="101"/>
      <c r="O395" s="107"/>
      <c r="P395" s="4"/>
      <c r="V395" s="5"/>
      <c r="AC395" s="79"/>
      <c r="AD395" s="77"/>
      <c r="AE395" s="79"/>
      <c r="AF395" s="79"/>
      <c r="AG395" s="9"/>
      <c r="AH395" s="79"/>
      <c r="AL395" s="11"/>
      <c r="AM395" s="12"/>
    </row>
    <row r="396" s="1" customFormat="1" spans="4:39">
      <c r="D396" s="34"/>
      <c r="E396" s="34"/>
      <c r="F396" s="86"/>
      <c r="G396" s="86"/>
      <c r="H396" s="31"/>
      <c r="I396" s="3"/>
      <c r="J396" s="106"/>
      <c r="K396" s="106"/>
      <c r="L396" s="107"/>
      <c r="M396" s="107"/>
      <c r="N396" s="101"/>
      <c r="O396" s="107"/>
      <c r="P396" s="4"/>
      <c r="V396" s="5"/>
      <c r="AC396" s="79"/>
      <c r="AD396" s="77"/>
      <c r="AE396" s="79"/>
      <c r="AF396" s="79"/>
      <c r="AG396" s="9"/>
      <c r="AH396" s="79"/>
      <c r="AL396" s="11"/>
      <c r="AM396" s="12"/>
    </row>
    <row r="397" s="1" customFormat="1" spans="4:39">
      <c r="D397" s="34"/>
      <c r="E397" s="34"/>
      <c r="F397" s="86"/>
      <c r="G397" s="86"/>
      <c r="H397" s="31"/>
      <c r="I397" s="3"/>
      <c r="J397" s="106"/>
      <c r="K397" s="106"/>
      <c r="L397" s="107"/>
      <c r="M397" s="107"/>
      <c r="N397" s="101"/>
      <c r="O397" s="107"/>
      <c r="P397" s="4"/>
      <c r="V397" s="5"/>
      <c r="AC397" s="79"/>
      <c r="AD397" s="77"/>
      <c r="AE397" s="79"/>
      <c r="AF397" s="79"/>
      <c r="AG397" s="9"/>
      <c r="AH397" s="79"/>
      <c r="AL397" s="11"/>
      <c r="AM397" s="12"/>
    </row>
    <row r="398" s="1" customFormat="1" spans="4:39">
      <c r="D398" s="34"/>
      <c r="E398" s="34"/>
      <c r="F398" s="86"/>
      <c r="G398" s="86"/>
      <c r="H398" s="31"/>
      <c r="I398" s="3"/>
      <c r="J398" s="106"/>
      <c r="K398" s="106"/>
      <c r="L398" s="107"/>
      <c r="M398" s="107"/>
      <c r="N398" s="101"/>
      <c r="O398" s="107"/>
      <c r="P398" s="4"/>
      <c r="V398" s="5"/>
      <c r="AC398" s="79"/>
      <c r="AD398" s="77"/>
      <c r="AE398" s="79"/>
      <c r="AF398" s="79"/>
      <c r="AG398" s="9"/>
      <c r="AH398" s="79"/>
      <c r="AL398" s="11"/>
      <c r="AM398" s="12"/>
    </row>
    <row r="399" s="1" customFormat="1" spans="4:39">
      <c r="D399" s="34"/>
      <c r="E399" s="34"/>
      <c r="F399" s="86"/>
      <c r="G399" s="86"/>
      <c r="H399" s="31"/>
      <c r="I399" s="3"/>
      <c r="J399" s="106"/>
      <c r="K399" s="106"/>
      <c r="L399" s="107"/>
      <c r="M399" s="107"/>
      <c r="N399" s="101"/>
      <c r="O399" s="107"/>
      <c r="P399" s="4"/>
      <c r="V399" s="5"/>
      <c r="AC399" s="79"/>
      <c r="AD399" s="77"/>
      <c r="AE399" s="79"/>
      <c r="AF399" s="79"/>
      <c r="AG399" s="9"/>
      <c r="AH399" s="79"/>
      <c r="AL399" s="11"/>
      <c r="AM399" s="12"/>
    </row>
    <row r="400" s="1" customFormat="1" spans="4:39">
      <c r="D400" s="34"/>
      <c r="E400" s="34"/>
      <c r="F400" s="86"/>
      <c r="G400" s="86"/>
      <c r="H400" s="31"/>
      <c r="I400" s="3"/>
      <c r="J400" s="106"/>
      <c r="K400" s="106"/>
      <c r="L400" s="107"/>
      <c r="M400" s="107"/>
      <c r="N400" s="101"/>
      <c r="O400" s="107"/>
      <c r="P400" s="4"/>
      <c r="V400" s="5"/>
      <c r="AC400" s="79"/>
      <c r="AD400" s="77"/>
      <c r="AE400" s="79"/>
      <c r="AF400" s="79"/>
      <c r="AG400" s="9"/>
      <c r="AH400" s="79"/>
      <c r="AL400" s="11"/>
      <c r="AM400" s="12"/>
    </row>
    <row r="401" s="1" customFormat="1" spans="4:39">
      <c r="D401" s="34"/>
      <c r="E401" s="34"/>
      <c r="F401" s="86"/>
      <c r="G401" s="86"/>
      <c r="H401" s="31"/>
      <c r="I401" s="3"/>
      <c r="J401" s="106"/>
      <c r="K401" s="106"/>
      <c r="L401" s="107"/>
      <c r="M401" s="107"/>
      <c r="N401" s="101"/>
      <c r="O401" s="107"/>
      <c r="P401" s="4"/>
      <c r="V401" s="5"/>
      <c r="AC401" s="79"/>
      <c r="AD401" s="77"/>
      <c r="AE401" s="79"/>
      <c r="AF401" s="79"/>
      <c r="AG401" s="9"/>
      <c r="AH401" s="79"/>
      <c r="AL401" s="11"/>
      <c r="AM401" s="12"/>
    </row>
    <row r="402" s="1" customFormat="1" spans="4:39">
      <c r="D402" s="34"/>
      <c r="E402" s="34"/>
      <c r="F402" s="86"/>
      <c r="G402" s="86"/>
      <c r="H402" s="31"/>
      <c r="I402" s="3"/>
      <c r="J402" s="106"/>
      <c r="K402" s="106"/>
      <c r="L402" s="107"/>
      <c r="M402" s="107"/>
      <c r="N402" s="101"/>
      <c r="O402" s="107"/>
      <c r="P402" s="4"/>
      <c r="V402" s="5"/>
      <c r="AC402" s="79"/>
      <c r="AD402" s="77"/>
      <c r="AE402" s="79"/>
      <c r="AF402" s="79"/>
      <c r="AG402" s="9"/>
      <c r="AH402" s="79"/>
      <c r="AL402" s="11"/>
      <c r="AM402" s="12"/>
    </row>
    <row r="403" s="1" customFormat="1" spans="4:39">
      <c r="D403" s="34"/>
      <c r="E403" s="34"/>
      <c r="F403" s="86"/>
      <c r="G403" s="86"/>
      <c r="H403" s="31"/>
      <c r="I403" s="3"/>
      <c r="J403" s="106"/>
      <c r="K403" s="106"/>
      <c r="L403" s="107"/>
      <c r="M403" s="107"/>
      <c r="N403" s="101"/>
      <c r="O403" s="107"/>
      <c r="P403" s="4"/>
      <c r="V403" s="5"/>
      <c r="AC403" s="79"/>
      <c r="AD403" s="77"/>
      <c r="AE403" s="79"/>
      <c r="AF403" s="79"/>
      <c r="AG403" s="9"/>
      <c r="AH403" s="79"/>
      <c r="AL403" s="11"/>
      <c r="AM403" s="12"/>
    </row>
    <row r="404" s="1" customFormat="1" spans="4:39">
      <c r="D404" s="34"/>
      <c r="E404" s="34"/>
      <c r="F404" s="86"/>
      <c r="G404" s="86"/>
      <c r="H404" s="31"/>
      <c r="I404" s="3"/>
      <c r="J404" s="106"/>
      <c r="K404" s="106"/>
      <c r="L404" s="107"/>
      <c r="M404" s="107"/>
      <c r="N404" s="101"/>
      <c r="O404" s="107"/>
      <c r="P404" s="4"/>
      <c r="V404" s="5"/>
      <c r="AC404" s="79"/>
      <c r="AD404" s="77"/>
      <c r="AE404" s="79"/>
      <c r="AF404" s="79"/>
      <c r="AG404" s="9"/>
      <c r="AH404" s="79"/>
      <c r="AL404" s="11"/>
      <c r="AM404" s="12"/>
    </row>
    <row r="405" s="1" customFormat="1" spans="4:39">
      <c r="D405" s="34"/>
      <c r="E405" s="34"/>
      <c r="F405" s="86"/>
      <c r="G405" s="86"/>
      <c r="H405" s="31"/>
      <c r="I405" s="3"/>
      <c r="J405" s="106"/>
      <c r="K405" s="106"/>
      <c r="L405" s="107"/>
      <c r="M405" s="107"/>
      <c r="N405" s="101"/>
      <c r="O405" s="107"/>
      <c r="P405" s="4"/>
      <c r="V405" s="5"/>
      <c r="AC405" s="79"/>
      <c r="AD405" s="77"/>
      <c r="AE405" s="79"/>
      <c r="AF405" s="79"/>
      <c r="AG405" s="9"/>
      <c r="AH405" s="79"/>
      <c r="AL405" s="11"/>
      <c r="AM405" s="12"/>
    </row>
    <row r="406" s="1" customFormat="1" spans="4:39">
      <c r="D406" s="34"/>
      <c r="E406" s="34"/>
      <c r="F406" s="86"/>
      <c r="G406" s="86"/>
      <c r="H406" s="31"/>
      <c r="I406" s="3"/>
      <c r="J406" s="106"/>
      <c r="K406" s="106"/>
      <c r="L406" s="107"/>
      <c r="M406" s="107"/>
      <c r="N406" s="101"/>
      <c r="O406" s="107"/>
      <c r="P406" s="4"/>
      <c r="V406" s="5"/>
      <c r="AC406" s="79"/>
      <c r="AD406" s="77"/>
      <c r="AE406" s="79"/>
      <c r="AF406" s="79"/>
      <c r="AG406" s="9"/>
      <c r="AH406" s="79"/>
      <c r="AL406" s="11"/>
      <c r="AM406" s="12"/>
    </row>
    <row r="407" s="1" customFormat="1" spans="4:39">
      <c r="D407" s="34"/>
      <c r="E407" s="34"/>
      <c r="F407" s="86"/>
      <c r="G407" s="86"/>
      <c r="H407" s="31"/>
      <c r="I407" s="3"/>
      <c r="J407" s="106"/>
      <c r="K407" s="106"/>
      <c r="L407" s="107"/>
      <c r="M407" s="107"/>
      <c r="N407" s="101"/>
      <c r="O407" s="107"/>
      <c r="P407" s="4"/>
      <c r="V407" s="5"/>
      <c r="AC407" s="79"/>
      <c r="AD407" s="77"/>
      <c r="AE407" s="79"/>
      <c r="AF407" s="79"/>
      <c r="AG407" s="9"/>
      <c r="AH407" s="79"/>
      <c r="AL407" s="11"/>
      <c r="AM407" s="12"/>
    </row>
    <row r="408" s="1" customFormat="1" spans="4:39">
      <c r="D408" s="34"/>
      <c r="E408" s="34"/>
      <c r="F408" s="86"/>
      <c r="G408" s="86"/>
      <c r="H408" s="31"/>
      <c r="I408" s="3"/>
      <c r="J408" s="106"/>
      <c r="K408" s="106"/>
      <c r="L408" s="107"/>
      <c r="M408" s="107"/>
      <c r="N408" s="101"/>
      <c r="O408" s="107"/>
      <c r="P408" s="4"/>
      <c r="V408" s="5"/>
      <c r="AC408" s="79"/>
      <c r="AD408" s="77"/>
      <c r="AE408" s="79"/>
      <c r="AF408" s="79"/>
      <c r="AG408" s="9"/>
      <c r="AH408" s="79"/>
      <c r="AL408" s="11"/>
      <c r="AM408" s="12"/>
    </row>
    <row r="409" s="1" customFormat="1" spans="4:39">
      <c r="D409" s="34"/>
      <c r="E409" s="34"/>
      <c r="F409" s="86"/>
      <c r="G409" s="86"/>
      <c r="H409" s="31"/>
      <c r="I409" s="3"/>
      <c r="J409" s="106"/>
      <c r="K409" s="106"/>
      <c r="L409" s="107"/>
      <c r="M409" s="107"/>
      <c r="N409" s="101"/>
      <c r="O409" s="107"/>
      <c r="P409" s="4"/>
      <c r="V409" s="5"/>
      <c r="AC409" s="79"/>
      <c r="AD409" s="77"/>
      <c r="AE409" s="79"/>
      <c r="AF409" s="79"/>
      <c r="AG409" s="9"/>
      <c r="AH409" s="79"/>
      <c r="AL409" s="11"/>
      <c r="AM409" s="12"/>
    </row>
    <row r="410" s="1" customFormat="1" spans="4:39">
      <c r="D410" s="34"/>
      <c r="E410" s="34"/>
      <c r="F410" s="86"/>
      <c r="G410" s="86"/>
      <c r="H410" s="31"/>
      <c r="I410" s="3"/>
      <c r="J410" s="106"/>
      <c r="K410" s="106"/>
      <c r="L410" s="107"/>
      <c r="M410" s="107"/>
      <c r="N410" s="101"/>
      <c r="O410" s="107"/>
      <c r="P410" s="4"/>
      <c r="V410" s="5"/>
      <c r="AC410" s="79"/>
      <c r="AD410" s="77"/>
      <c r="AE410" s="79"/>
      <c r="AF410" s="79"/>
      <c r="AG410" s="9"/>
      <c r="AH410" s="79"/>
      <c r="AL410" s="11"/>
      <c r="AM410" s="12"/>
    </row>
    <row r="411" s="1" customFormat="1" spans="4:39">
      <c r="D411" s="34"/>
      <c r="E411" s="34"/>
      <c r="F411" s="86"/>
      <c r="G411" s="86"/>
      <c r="H411" s="31"/>
      <c r="I411" s="3"/>
      <c r="J411" s="106"/>
      <c r="K411" s="106"/>
      <c r="L411" s="107"/>
      <c r="M411" s="107"/>
      <c r="N411" s="101"/>
      <c r="O411" s="107"/>
      <c r="P411" s="4"/>
      <c r="V411" s="5"/>
      <c r="AC411" s="79"/>
      <c r="AD411" s="77"/>
      <c r="AE411" s="79"/>
      <c r="AF411" s="79"/>
      <c r="AG411" s="9"/>
      <c r="AH411" s="79"/>
      <c r="AL411" s="11"/>
      <c r="AM411" s="12"/>
    </row>
    <row r="412" s="1" customFormat="1" spans="4:39">
      <c r="D412" s="34"/>
      <c r="E412" s="34"/>
      <c r="F412" s="86"/>
      <c r="G412" s="86"/>
      <c r="H412" s="31"/>
      <c r="I412" s="3"/>
      <c r="J412" s="106"/>
      <c r="K412" s="106"/>
      <c r="L412" s="107"/>
      <c r="M412" s="107"/>
      <c r="N412" s="101"/>
      <c r="O412" s="107"/>
      <c r="P412" s="4"/>
      <c r="V412" s="5"/>
      <c r="AC412" s="79"/>
      <c r="AD412" s="77"/>
      <c r="AE412" s="79"/>
      <c r="AF412" s="79"/>
      <c r="AG412" s="9"/>
      <c r="AH412" s="79"/>
      <c r="AL412" s="11"/>
      <c r="AM412" s="12"/>
    </row>
    <row r="413" s="1" customFormat="1" spans="4:39">
      <c r="D413" s="34"/>
      <c r="E413" s="34"/>
      <c r="F413" s="86"/>
      <c r="G413" s="86"/>
      <c r="H413" s="31"/>
      <c r="I413" s="3"/>
      <c r="J413" s="106"/>
      <c r="K413" s="106"/>
      <c r="L413" s="107"/>
      <c r="M413" s="107"/>
      <c r="N413" s="101"/>
      <c r="O413" s="107"/>
      <c r="P413" s="4"/>
      <c r="V413" s="5"/>
      <c r="AC413" s="79"/>
      <c r="AD413" s="77"/>
      <c r="AE413" s="79"/>
      <c r="AF413" s="79"/>
      <c r="AG413" s="9"/>
      <c r="AH413" s="79"/>
      <c r="AL413" s="11"/>
      <c r="AM413" s="12"/>
    </row>
    <row r="414" s="1" customFormat="1" spans="4:39">
      <c r="D414" s="34"/>
      <c r="E414" s="34"/>
      <c r="F414" s="86"/>
      <c r="G414" s="86"/>
      <c r="H414" s="31"/>
      <c r="I414" s="3"/>
      <c r="J414" s="106"/>
      <c r="K414" s="106"/>
      <c r="L414" s="107"/>
      <c r="M414" s="107"/>
      <c r="N414" s="101"/>
      <c r="O414" s="107"/>
      <c r="P414" s="4"/>
      <c r="V414" s="5"/>
      <c r="AC414" s="79"/>
      <c r="AD414" s="77"/>
      <c r="AE414" s="79"/>
      <c r="AF414" s="79"/>
      <c r="AG414" s="9"/>
      <c r="AH414" s="79"/>
      <c r="AL414" s="11"/>
      <c r="AM414" s="12"/>
    </row>
    <row r="415" s="1" customFormat="1" spans="4:39">
      <c r="D415" s="34"/>
      <c r="E415" s="34"/>
      <c r="F415" s="86"/>
      <c r="G415" s="86"/>
      <c r="H415" s="31"/>
      <c r="I415" s="3"/>
      <c r="J415" s="106"/>
      <c r="K415" s="106"/>
      <c r="L415" s="107"/>
      <c r="M415" s="107"/>
      <c r="N415" s="101"/>
      <c r="O415" s="107"/>
      <c r="P415" s="4"/>
      <c r="V415" s="5"/>
      <c r="AC415" s="79"/>
      <c r="AD415" s="77"/>
      <c r="AE415" s="79"/>
      <c r="AF415" s="79"/>
      <c r="AG415" s="9"/>
      <c r="AH415" s="79"/>
      <c r="AL415" s="11"/>
      <c r="AM415" s="12"/>
    </row>
    <row r="416" s="1" customFormat="1" spans="4:39">
      <c r="D416" s="34"/>
      <c r="E416" s="34"/>
      <c r="F416" s="86"/>
      <c r="G416" s="86"/>
      <c r="H416" s="31"/>
      <c r="I416" s="3"/>
      <c r="J416" s="106"/>
      <c r="K416" s="106"/>
      <c r="L416" s="107"/>
      <c r="M416" s="107"/>
      <c r="N416" s="101"/>
      <c r="O416" s="107"/>
      <c r="P416" s="4"/>
      <c r="V416" s="5"/>
      <c r="AC416" s="79"/>
      <c r="AD416" s="77"/>
      <c r="AE416" s="79"/>
      <c r="AF416" s="79"/>
      <c r="AG416" s="9"/>
      <c r="AH416" s="79"/>
      <c r="AL416" s="11"/>
      <c r="AM416" s="12"/>
    </row>
    <row r="417" s="1" customFormat="1" spans="4:39">
      <c r="D417" s="34"/>
      <c r="E417" s="34"/>
      <c r="F417" s="86"/>
      <c r="G417" s="86"/>
      <c r="H417" s="31"/>
      <c r="I417" s="3"/>
      <c r="J417" s="106"/>
      <c r="K417" s="106"/>
      <c r="L417" s="107"/>
      <c r="M417" s="107"/>
      <c r="N417" s="101"/>
      <c r="O417" s="107"/>
      <c r="P417" s="4"/>
      <c r="V417" s="5"/>
      <c r="AC417" s="79"/>
      <c r="AD417" s="77"/>
      <c r="AE417" s="79"/>
      <c r="AF417" s="79"/>
      <c r="AG417" s="9"/>
      <c r="AH417" s="79"/>
      <c r="AL417" s="11"/>
      <c r="AM417" s="12"/>
    </row>
    <row r="418" s="1" customFormat="1" spans="4:39">
      <c r="D418" s="34"/>
      <c r="E418" s="34"/>
      <c r="F418" s="86"/>
      <c r="G418" s="86"/>
      <c r="H418" s="31"/>
      <c r="I418" s="3"/>
      <c r="J418" s="106"/>
      <c r="K418" s="106"/>
      <c r="L418" s="107"/>
      <c r="M418" s="107"/>
      <c r="N418" s="101"/>
      <c r="O418" s="107"/>
      <c r="P418" s="4"/>
      <c r="V418" s="5"/>
      <c r="AC418" s="79"/>
      <c r="AD418" s="77"/>
      <c r="AE418" s="79"/>
      <c r="AF418" s="79"/>
      <c r="AG418" s="9"/>
      <c r="AH418" s="79"/>
      <c r="AL418" s="11"/>
      <c r="AM418" s="12"/>
    </row>
    <row r="419" s="1" customFormat="1" spans="4:39">
      <c r="D419" s="34"/>
      <c r="E419" s="34"/>
      <c r="F419" s="86"/>
      <c r="G419" s="86"/>
      <c r="H419" s="31"/>
      <c r="I419" s="3"/>
      <c r="J419" s="106"/>
      <c r="K419" s="106"/>
      <c r="L419" s="107"/>
      <c r="M419" s="107"/>
      <c r="N419" s="101"/>
      <c r="O419" s="107"/>
      <c r="P419" s="4"/>
      <c r="V419" s="5"/>
      <c r="AC419" s="79"/>
      <c r="AD419" s="77"/>
      <c r="AE419" s="79"/>
      <c r="AF419" s="79"/>
      <c r="AG419" s="9"/>
      <c r="AH419" s="79"/>
      <c r="AL419" s="11"/>
      <c r="AM419" s="12"/>
    </row>
    <row r="420" s="1" customFormat="1" spans="4:39">
      <c r="D420" s="34"/>
      <c r="E420" s="34"/>
      <c r="F420" s="86"/>
      <c r="G420" s="86"/>
      <c r="H420" s="31"/>
      <c r="I420" s="3"/>
      <c r="J420" s="106"/>
      <c r="K420" s="106"/>
      <c r="L420" s="107"/>
      <c r="M420" s="107"/>
      <c r="N420" s="101"/>
      <c r="O420" s="107"/>
      <c r="P420" s="4"/>
      <c r="V420" s="5"/>
      <c r="AC420" s="79"/>
      <c r="AD420" s="77"/>
      <c r="AE420" s="79"/>
      <c r="AF420" s="79"/>
      <c r="AG420" s="9"/>
      <c r="AH420" s="79"/>
      <c r="AL420" s="11"/>
      <c r="AM420" s="12"/>
    </row>
    <row r="421" s="1" customFormat="1" spans="4:39">
      <c r="D421" s="34"/>
      <c r="E421" s="34"/>
      <c r="F421" s="86"/>
      <c r="G421" s="86"/>
      <c r="H421" s="31"/>
      <c r="I421" s="3"/>
      <c r="J421" s="106"/>
      <c r="K421" s="106"/>
      <c r="L421" s="107"/>
      <c r="M421" s="107"/>
      <c r="N421" s="101"/>
      <c r="O421" s="107"/>
      <c r="P421" s="4"/>
      <c r="V421" s="5"/>
      <c r="AC421" s="79"/>
      <c r="AD421" s="77"/>
      <c r="AE421" s="79"/>
      <c r="AF421" s="79"/>
      <c r="AG421" s="9"/>
      <c r="AH421" s="79"/>
      <c r="AL421" s="11"/>
      <c r="AM421" s="12"/>
    </row>
    <row r="422" s="1" customFormat="1" spans="4:39">
      <c r="D422" s="34"/>
      <c r="E422" s="34"/>
      <c r="F422" s="86"/>
      <c r="G422" s="86"/>
      <c r="H422" s="31"/>
      <c r="I422" s="3"/>
      <c r="J422" s="106"/>
      <c r="K422" s="106"/>
      <c r="L422" s="107"/>
      <c r="M422" s="107"/>
      <c r="N422" s="101"/>
      <c r="O422" s="107"/>
      <c r="P422" s="4"/>
      <c r="V422" s="5"/>
      <c r="AC422" s="79"/>
      <c r="AD422" s="77"/>
      <c r="AE422" s="79"/>
      <c r="AF422" s="79"/>
      <c r="AG422" s="9"/>
      <c r="AH422" s="79"/>
      <c r="AL422" s="11"/>
      <c r="AM422" s="12"/>
    </row>
    <row r="423" s="1" customFormat="1" spans="4:39">
      <c r="D423" s="34"/>
      <c r="E423" s="34"/>
      <c r="F423" s="86"/>
      <c r="G423" s="86"/>
      <c r="H423" s="31"/>
      <c r="I423" s="3"/>
      <c r="J423" s="106"/>
      <c r="K423" s="106"/>
      <c r="L423" s="107"/>
      <c r="M423" s="107"/>
      <c r="N423" s="101"/>
      <c r="O423" s="107"/>
      <c r="P423" s="4"/>
      <c r="V423" s="5"/>
      <c r="AC423" s="79"/>
      <c r="AD423" s="77"/>
      <c r="AE423" s="79"/>
      <c r="AF423" s="79"/>
      <c r="AG423" s="9"/>
      <c r="AH423" s="79"/>
      <c r="AL423" s="11"/>
      <c r="AM423" s="12"/>
    </row>
    <row r="424" s="1" customFormat="1" spans="4:39">
      <c r="D424" s="34"/>
      <c r="E424" s="34"/>
      <c r="F424" s="86"/>
      <c r="G424" s="86"/>
      <c r="H424" s="31"/>
      <c r="I424" s="3"/>
      <c r="J424" s="106"/>
      <c r="K424" s="106"/>
      <c r="L424" s="107"/>
      <c r="M424" s="107"/>
      <c r="N424" s="101"/>
      <c r="O424" s="107"/>
      <c r="P424" s="4"/>
      <c r="V424" s="5"/>
      <c r="AC424" s="79"/>
      <c r="AD424" s="77"/>
      <c r="AE424" s="79"/>
      <c r="AF424" s="79"/>
      <c r="AG424" s="9"/>
      <c r="AH424" s="79"/>
      <c r="AL424" s="11"/>
      <c r="AM424" s="12"/>
    </row>
    <row r="425" s="1" customFormat="1" spans="4:39">
      <c r="D425" s="34"/>
      <c r="E425" s="34"/>
      <c r="F425" s="86"/>
      <c r="G425" s="86"/>
      <c r="H425" s="31"/>
      <c r="I425" s="3"/>
      <c r="J425" s="106"/>
      <c r="K425" s="106"/>
      <c r="L425" s="107"/>
      <c r="M425" s="107"/>
      <c r="N425" s="101"/>
      <c r="O425" s="107"/>
      <c r="P425" s="4"/>
      <c r="V425" s="5"/>
      <c r="AC425" s="79"/>
      <c r="AD425" s="77"/>
      <c r="AE425" s="79"/>
      <c r="AF425" s="79"/>
      <c r="AG425" s="9"/>
      <c r="AH425" s="79"/>
      <c r="AL425" s="11"/>
      <c r="AM425" s="12"/>
    </row>
    <row r="426" s="1" customFormat="1" spans="4:39">
      <c r="D426" s="34"/>
      <c r="E426" s="34"/>
      <c r="F426" s="86"/>
      <c r="G426" s="86"/>
      <c r="H426" s="31"/>
      <c r="I426" s="3"/>
      <c r="J426" s="106"/>
      <c r="K426" s="106"/>
      <c r="L426" s="107"/>
      <c r="M426" s="107"/>
      <c r="N426" s="101"/>
      <c r="O426" s="107"/>
      <c r="P426" s="4"/>
      <c r="V426" s="5"/>
      <c r="AC426" s="79"/>
      <c r="AD426" s="77"/>
      <c r="AE426" s="79"/>
      <c r="AF426" s="79"/>
      <c r="AG426" s="9"/>
      <c r="AH426" s="79"/>
      <c r="AL426" s="11"/>
      <c r="AM426" s="12"/>
    </row>
    <row r="427" s="1" customFormat="1" spans="4:39">
      <c r="D427" s="34"/>
      <c r="E427" s="34"/>
      <c r="F427" s="86"/>
      <c r="G427" s="86"/>
      <c r="H427" s="31"/>
      <c r="I427" s="3"/>
      <c r="J427" s="106"/>
      <c r="K427" s="106"/>
      <c r="L427" s="107"/>
      <c r="M427" s="107"/>
      <c r="N427" s="101"/>
      <c r="O427" s="107"/>
      <c r="P427" s="4"/>
      <c r="V427" s="5"/>
      <c r="AC427" s="79"/>
      <c r="AD427" s="77"/>
      <c r="AE427" s="79"/>
      <c r="AF427" s="79"/>
      <c r="AG427" s="9"/>
      <c r="AH427" s="79"/>
      <c r="AL427" s="11"/>
      <c r="AM427" s="12"/>
    </row>
    <row r="428" s="1" customFormat="1" spans="4:39">
      <c r="D428" s="34"/>
      <c r="E428" s="34"/>
      <c r="F428" s="86"/>
      <c r="G428" s="86"/>
      <c r="H428" s="31"/>
      <c r="I428" s="3"/>
      <c r="J428" s="106"/>
      <c r="K428" s="106"/>
      <c r="L428" s="107"/>
      <c r="M428" s="107"/>
      <c r="N428" s="101"/>
      <c r="O428" s="107"/>
      <c r="P428" s="4"/>
      <c r="V428" s="5"/>
      <c r="AC428" s="79"/>
      <c r="AD428" s="77"/>
      <c r="AE428" s="79"/>
      <c r="AF428" s="79"/>
      <c r="AG428" s="9"/>
      <c r="AH428" s="79"/>
      <c r="AL428" s="11"/>
      <c r="AM428" s="12"/>
    </row>
    <row r="429" s="1" customFormat="1" spans="4:39">
      <c r="D429" s="34"/>
      <c r="E429" s="34"/>
      <c r="F429" s="86"/>
      <c r="G429" s="86"/>
      <c r="H429" s="31"/>
      <c r="I429" s="3"/>
      <c r="J429" s="106"/>
      <c r="K429" s="106"/>
      <c r="L429" s="107"/>
      <c r="M429" s="107"/>
      <c r="N429" s="101"/>
      <c r="O429" s="107"/>
      <c r="P429" s="4"/>
      <c r="V429" s="5"/>
      <c r="AC429" s="79"/>
      <c r="AD429" s="77"/>
      <c r="AE429" s="79"/>
      <c r="AF429" s="79"/>
      <c r="AG429" s="9"/>
      <c r="AH429" s="79"/>
      <c r="AL429" s="11"/>
      <c r="AM429" s="12"/>
    </row>
    <row r="430" s="1" customFormat="1" spans="4:39">
      <c r="D430" s="34"/>
      <c r="E430" s="34"/>
      <c r="F430" s="86"/>
      <c r="G430" s="86"/>
      <c r="H430" s="31"/>
      <c r="I430" s="3"/>
      <c r="J430" s="106"/>
      <c r="K430" s="106"/>
      <c r="L430" s="107"/>
      <c r="M430" s="107"/>
      <c r="N430" s="101"/>
      <c r="O430" s="107"/>
      <c r="P430" s="4"/>
      <c r="V430" s="5"/>
      <c r="AC430" s="79"/>
      <c r="AD430" s="77"/>
      <c r="AE430" s="79"/>
      <c r="AF430" s="79"/>
      <c r="AG430" s="9"/>
      <c r="AH430" s="79"/>
      <c r="AL430" s="11"/>
      <c r="AM430" s="12"/>
    </row>
    <row r="431" s="1" customFormat="1" spans="4:39">
      <c r="D431" s="34"/>
      <c r="E431" s="34"/>
      <c r="F431" s="86"/>
      <c r="G431" s="86"/>
      <c r="H431" s="31"/>
      <c r="I431" s="3"/>
      <c r="J431" s="106"/>
      <c r="K431" s="106"/>
      <c r="L431" s="107"/>
      <c r="M431" s="107"/>
      <c r="N431" s="101"/>
      <c r="O431" s="107"/>
      <c r="P431" s="4"/>
      <c r="V431" s="5"/>
      <c r="AC431" s="79"/>
      <c r="AD431" s="77"/>
      <c r="AE431" s="79"/>
      <c r="AF431" s="79"/>
      <c r="AG431" s="9"/>
      <c r="AH431" s="79"/>
      <c r="AL431" s="11"/>
      <c r="AM431" s="12"/>
    </row>
    <row r="432" s="1" customFormat="1" spans="4:39">
      <c r="D432" s="34"/>
      <c r="E432" s="34"/>
      <c r="F432" s="86"/>
      <c r="G432" s="86"/>
      <c r="H432" s="31"/>
      <c r="I432" s="3"/>
      <c r="J432" s="106"/>
      <c r="K432" s="106"/>
      <c r="L432" s="107"/>
      <c r="M432" s="107"/>
      <c r="N432" s="101"/>
      <c r="O432" s="107"/>
      <c r="P432" s="4"/>
      <c r="V432" s="5"/>
      <c r="AC432" s="79"/>
      <c r="AD432" s="77"/>
      <c r="AE432" s="79"/>
      <c r="AF432" s="79"/>
      <c r="AG432" s="9"/>
      <c r="AH432" s="79"/>
      <c r="AL432" s="11"/>
      <c r="AM432" s="12"/>
    </row>
    <row r="433" s="1" customFormat="1" spans="4:39">
      <c r="D433" s="34"/>
      <c r="E433" s="34"/>
      <c r="F433" s="86"/>
      <c r="G433" s="86"/>
      <c r="H433" s="31"/>
      <c r="I433" s="3"/>
      <c r="J433" s="106"/>
      <c r="K433" s="106"/>
      <c r="L433" s="107"/>
      <c r="M433" s="107"/>
      <c r="N433" s="101"/>
      <c r="O433" s="107"/>
      <c r="P433" s="4"/>
      <c r="V433" s="5"/>
      <c r="AC433" s="79"/>
      <c r="AD433" s="77"/>
      <c r="AE433" s="79"/>
      <c r="AF433" s="79"/>
      <c r="AG433" s="9"/>
      <c r="AH433" s="79"/>
      <c r="AL433" s="11"/>
      <c r="AM433" s="12"/>
    </row>
    <row r="434" s="1" customFormat="1" spans="4:39">
      <c r="D434" s="34"/>
      <c r="E434" s="34"/>
      <c r="F434" s="86"/>
      <c r="G434" s="86"/>
      <c r="H434" s="31"/>
      <c r="I434" s="3"/>
      <c r="J434" s="106"/>
      <c r="K434" s="106"/>
      <c r="L434" s="107"/>
      <c r="M434" s="107"/>
      <c r="N434" s="101"/>
      <c r="O434" s="107"/>
      <c r="P434" s="4"/>
      <c r="V434" s="5"/>
      <c r="AC434" s="79"/>
      <c r="AD434" s="77"/>
      <c r="AE434" s="79"/>
      <c r="AF434" s="79"/>
      <c r="AG434" s="9"/>
      <c r="AH434" s="79"/>
      <c r="AL434" s="11"/>
      <c r="AM434" s="12"/>
    </row>
    <row r="435" s="1" customFormat="1" spans="4:39">
      <c r="D435" s="34"/>
      <c r="E435" s="34"/>
      <c r="F435" s="86"/>
      <c r="G435" s="86"/>
      <c r="H435" s="31"/>
      <c r="I435" s="3"/>
      <c r="J435" s="106"/>
      <c r="K435" s="106"/>
      <c r="L435" s="107"/>
      <c r="M435" s="107"/>
      <c r="N435" s="101"/>
      <c r="O435" s="107"/>
      <c r="P435" s="4"/>
      <c r="V435" s="5"/>
      <c r="AC435" s="79"/>
      <c r="AD435" s="77"/>
      <c r="AE435" s="79"/>
      <c r="AF435" s="79"/>
      <c r="AG435" s="9"/>
      <c r="AH435" s="79"/>
      <c r="AL435" s="11"/>
      <c r="AM435" s="12"/>
    </row>
    <row r="436" s="1" customFormat="1" spans="4:39">
      <c r="D436" s="34"/>
      <c r="E436" s="34"/>
      <c r="F436" s="86"/>
      <c r="G436" s="86"/>
      <c r="H436" s="31"/>
      <c r="I436" s="3"/>
      <c r="J436" s="106"/>
      <c r="K436" s="106"/>
      <c r="L436" s="107"/>
      <c r="M436" s="107"/>
      <c r="N436" s="101"/>
      <c r="O436" s="107"/>
      <c r="P436" s="4"/>
      <c r="V436" s="5"/>
      <c r="AC436" s="79"/>
      <c r="AD436" s="77"/>
      <c r="AE436" s="79"/>
      <c r="AF436" s="79"/>
      <c r="AG436" s="9"/>
      <c r="AH436" s="79"/>
      <c r="AL436" s="11"/>
      <c r="AM436" s="12"/>
    </row>
    <row r="437" s="1" customFormat="1" spans="4:39">
      <c r="D437" s="34"/>
      <c r="E437" s="34"/>
      <c r="F437" s="86"/>
      <c r="G437" s="86"/>
      <c r="H437" s="31"/>
      <c r="I437" s="3"/>
      <c r="J437" s="106"/>
      <c r="K437" s="106"/>
      <c r="L437" s="107"/>
      <c r="M437" s="107"/>
      <c r="N437" s="101"/>
      <c r="O437" s="107"/>
      <c r="P437" s="4"/>
      <c r="V437" s="5"/>
      <c r="AC437" s="79"/>
      <c r="AD437" s="77"/>
      <c r="AE437" s="79"/>
      <c r="AF437" s="79"/>
      <c r="AG437" s="9"/>
      <c r="AH437" s="79"/>
      <c r="AL437" s="11"/>
      <c r="AM437" s="12"/>
    </row>
    <row r="438" s="1" customFormat="1" spans="4:39">
      <c r="D438" s="34"/>
      <c r="E438" s="34"/>
      <c r="F438" s="86"/>
      <c r="G438" s="86"/>
      <c r="H438" s="31"/>
      <c r="I438" s="3"/>
      <c r="J438" s="106"/>
      <c r="K438" s="106"/>
      <c r="L438" s="107"/>
      <c r="M438" s="107"/>
      <c r="N438" s="101"/>
      <c r="O438" s="107"/>
      <c r="P438" s="4"/>
      <c r="V438" s="5"/>
      <c r="AC438" s="79"/>
      <c r="AD438" s="77"/>
      <c r="AE438" s="79"/>
      <c r="AF438" s="79"/>
      <c r="AG438" s="9"/>
      <c r="AH438" s="79"/>
      <c r="AL438" s="11"/>
      <c r="AM438" s="12"/>
    </row>
    <row r="439" s="1" customFormat="1" spans="4:39">
      <c r="D439" s="34"/>
      <c r="E439" s="34"/>
      <c r="F439" s="86"/>
      <c r="G439" s="86"/>
      <c r="H439" s="31"/>
      <c r="I439" s="3"/>
      <c r="J439" s="106"/>
      <c r="K439" s="106"/>
      <c r="L439" s="107"/>
      <c r="M439" s="107"/>
      <c r="N439" s="101"/>
      <c r="O439" s="107"/>
      <c r="P439" s="4"/>
      <c r="V439" s="5"/>
      <c r="AC439" s="79"/>
      <c r="AD439" s="77"/>
      <c r="AE439" s="79"/>
      <c r="AF439" s="79"/>
      <c r="AG439" s="9"/>
      <c r="AH439" s="79"/>
      <c r="AL439" s="11"/>
      <c r="AM439" s="12"/>
    </row>
    <row r="440" s="1" customFormat="1" spans="4:39">
      <c r="D440" s="34"/>
      <c r="E440" s="34"/>
      <c r="F440" s="86"/>
      <c r="G440" s="86"/>
      <c r="H440" s="31"/>
      <c r="I440" s="3"/>
      <c r="J440" s="106"/>
      <c r="K440" s="106"/>
      <c r="L440" s="107"/>
      <c r="M440" s="107"/>
      <c r="N440" s="101"/>
      <c r="O440" s="107"/>
      <c r="P440" s="4"/>
      <c r="V440" s="5"/>
      <c r="AC440" s="79"/>
      <c r="AD440" s="77"/>
      <c r="AE440" s="79"/>
      <c r="AF440" s="79"/>
      <c r="AG440" s="9"/>
      <c r="AH440" s="79"/>
      <c r="AL440" s="11"/>
      <c r="AM440" s="12"/>
    </row>
    <row r="441" s="1" customFormat="1" spans="4:39">
      <c r="D441" s="34"/>
      <c r="E441" s="34"/>
      <c r="F441" s="86"/>
      <c r="G441" s="86"/>
      <c r="H441" s="31"/>
      <c r="I441" s="3"/>
      <c r="J441" s="106"/>
      <c r="K441" s="106"/>
      <c r="L441" s="107"/>
      <c r="M441" s="107"/>
      <c r="N441" s="101"/>
      <c r="O441" s="107"/>
      <c r="P441" s="4"/>
      <c r="V441" s="5"/>
      <c r="AC441" s="79"/>
      <c r="AD441" s="77"/>
      <c r="AE441" s="79"/>
      <c r="AF441" s="79"/>
      <c r="AG441" s="9"/>
      <c r="AH441" s="79"/>
      <c r="AL441" s="11"/>
      <c r="AM441" s="12"/>
    </row>
    <row r="442" s="1" customFormat="1" spans="4:39">
      <c r="D442" s="34"/>
      <c r="E442" s="34"/>
      <c r="F442" s="86"/>
      <c r="G442" s="86"/>
      <c r="H442" s="31"/>
      <c r="I442" s="3"/>
      <c r="J442" s="106"/>
      <c r="K442" s="106"/>
      <c r="L442" s="107"/>
      <c r="M442" s="107"/>
      <c r="N442" s="101"/>
      <c r="O442" s="107"/>
      <c r="P442" s="4"/>
      <c r="V442" s="5"/>
      <c r="AC442" s="79"/>
      <c r="AD442" s="77"/>
      <c r="AE442" s="79"/>
      <c r="AF442" s="79"/>
      <c r="AG442" s="9"/>
      <c r="AH442" s="79"/>
      <c r="AL442" s="11"/>
      <c r="AM442" s="12"/>
    </row>
    <row r="443" s="1" customFormat="1" spans="4:39">
      <c r="D443" s="34"/>
      <c r="E443" s="34"/>
      <c r="F443" s="86"/>
      <c r="G443" s="86"/>
      <c r="H443" s="31"/>
      <c r="I443" s="3"/>
      <c r="J443" s="106"/>
      <c r="K443" s="106"/>
      <c r="L443" s="107"/>
      <c r="M443" s="107"/>
      <c r="N443" s="101"/>
      <c r="O443" s="107"/>
      <c r="P443" s="4"/>
      <c r="V443" s="5"/>
      <c r="AC443" s="79"/>
      <c r="AD443" s="77"/>
      <c r="AE443" s="79"/>
      <c r="AF443" s="79"/>
      <c r="AG443" s="9"/>
      <c r="AH443" s="79"/>
      <c r="AL443" s="11"/>
      <c r="AM443" s="12"/>
    </row>
    <row r="444" s="1" customFormat="1" spans="4:39">
      <c r="D444" s="34"/>
      <c r="E444" s="34"/>
      <c r="F444" s="86"/>
      <c r="G444" s="86"/>
      <c r="H444" s="31"/>
      <c r="I444" s="3"/>
      <c r="J444" s="106"/>
      <c r="K444" s="106"/>
      <c r="L444" s="107"/>
      <c r="M444" s="107"/>
      <c r="N444" s="101"/>
      <c r="O444" s="107"/>
      <c r="P444" s="4"/>
      <c r="V444" s="5"/>
      <c r="AC444" s="79"/>
      <c r="AD444" s="77"/>
      <c r="AE444" s="79"/>
      <c r="AF444" s="79"/>
      <c r="AG444" s="9"/>
      <c r="AH444" s="79"/>
      <c r="AL444" s="11"/>
      <c r="AM444" s="12"/>
    </row>
    <row r="445" s="1" customFormat="1" spans="4:39">
      <c r="D445" s="34"/>
      <c r="E445" s="34"/>
      <c r="F445" s="86"/>
      <c r="G445" s="86"/>
      <c r="H445" s="31"/>
      <c r="I445" s="3"/>
      <c r="J445" s="106"/>
      <c r="K445" s="106"/>
      <c r="L445" s="107"/>
      <c r="M445" s="107"/>
      <c r="N445" s="101"/>
      <c r="O445" s="107"/>
      <c r="P445" s="4"/>
      <c r="V445" s="5"/>
      <c r="AC445" s="79"/>
      <c r="AD445" s="77"/>
      <c r="AE445" s="79"/>
      <c r="AF445" s="79"/>
      <c r="AG445" s="9"/>
      <c r="AH445" s="79"/>
      <c r="AL445" s="11"/>
      <c r="AM445" s="12"/>
    </row>
    <row r="446" s="1" customFormat="1" spans="4:39">
      <c r="D446" s="34"/>
      <c r="E446" s="34"/>
      <c r="F446" s="86"/>
      <c r="G446" s="86"/>
      <c r="H446" s="31"/>
      <c r="I446" s="3"/>
      <c r="J446" s="106"/>
      <c r="K446" s="106"/>
      <c r="L446" s="107"/>
      <c r="M446" s="107"/>
      <c r="N446" s="101"/>
      <c r="O446" s="107"/>
      <c r="P446" s="4"/>
      <c r="V446" s="5"/>
      <c r="AC446" s="79"/>
      <c r="AD446" s="77"/>
      <c r="AE446" s="79"/>
      <c r="AF446" s="79"/>
      <c r="AG446" s="9"/>
      <c r="AH446" s="79"/>
      <c r="AL446" s="11"/>
      <c r="AM446" s="12"/>
    </row>
    <row r="447" s="1" customFormat="1" spans="4:39">
      <c r="D447" s="34"/>
      <c r="E447" s="34"/>
      <c r="F447" s="86"/>
      <c r="G447" s="86"/>
      <c r="H447" s="31"/>
      <c r="I447" s="3"/>
      <c r="J447" s="106"/>
      <c r="K447" s="106"/>
      <c r="L447" s="107"/>
      <c r="M447" s="107"/>
      <c r="N447" s="101"/>
      <c r="O447" s="107"/>
      <c r="P447" s="4"/>
      <c r="V447" s="5"/>
      <c r="AC447" s="79"/>
      <c r="AD447" s="77"/>
      <c r="AE447" s="79"/>
      <c r="AF447" s="79"/>
      <c r="AG447" s="9"/>
      <c r="AH447" s="79"/>
      <c r="AL447" s="11"/>
      <c r="AM447" s="12"/>
    </row>
    <row r="448" s="1" customFormat="1" spans="4:39">
      <c r="D448" s="34"/>
      <c r="E448" s="34"/>
      <c r="F448" s="86"/>
      <c r="G448" s="86"/>
      <c r="H448" s="31"/>
      <c r="I448" s="3"/>
      <c r="J448" s="106"/>
      <c r="K448" s="106"/>
      <c r="L448" s="107"/>
      <c r="M448" s="107"/>
      <c r="N448" s="101"/>
      <c r="O448" s="107"/>
      <c r="P448" s="4"/>
      <c r="V448" s="5"/>
      <c r="AC448" s="79"/>
      <c r="AD448" s="77"/>
      <c r="AE448" s="79"/>
      <c r="AF448" s="79"/>
      <c r="AG448" s="9"/>
      <c r="AH448" s="79"/>
      <c r="AL448" s="11"/>
      <c r="AM448" s="12"/>
    </row>
    <row r="449" s="1" customFormat="1" spans="4:39">
      <c r="D449" s="34"/>
      <c r="E449" s="34"/>
      <c r="F449" s="86"/>
      <c r="G449" s="86"/>
      <c r="H449" s="31"/>
      <c r="I449" s="3"/>
      <c r="J449" s="106"/>
      <c r="K449" s="106"/>
      <c r="L449" s="107"/>
      <c r="M449" s="107"/>
      <c r="N449" s="101"/>
      <c r="O449" s="107"/>
      <c r="P449" s="4"/>
      <c r="V449" s="5"/>
      <c r="AC449" s="79"/>
      <c r="AD449" s="77"/>
      <c r="AE449" s="79"/>
      <c r="AF449" s="79"/>
      <c r="AG449" s="9"/>
      <c r="AH449" s="79"/>
      <c r="AL449" s="11"/>
      <c r="AM449" s="12"/>
    </row>
    <row r="450" s="1" customFormat="1" spans="4:39">
      <c r="D450" s="34"/>
      <c r="E450" s="34"/>
      <c r="F450" s="86"/>
      <c r="G450" s="86"/>
      <c r="H450" s="31"/>
      <c r="I450" s="3"/>
      <c r="J450" s="106"/>
      <c r="K450" s="106"/>
      <c r="L450" s="107"/>
      <c r="M450" s="107"/>
      <c r="N450" s="101"/>
      <c r="O450" s="107"/>
      <c r="P450" s="4"/>
      <c r="V450" s="5"/>
      <c r="AC450" s="79"/>
      <c r="AD450" s="77"/>
      <c r="AE450" s="79"/>
      <c r="AF450" s="79"/>
      <c r="AG450" s="9"/>
      <c r="AH450" s="79"/>
      <c r="AL450" s="11"/>
      <c r="AM450" s="12"/>
    </row>
    <row r="451" s="1" customFormat="1" spans="4:39">
      <c r="D451" s="34"/>
      <c r="E451" s="34"/>
      <c r="F451" s="86"/>
      <c r="G451" s="86"/>
      <c r="H451" s="31"/>
      <c r="I451" s="3"/>
      <c r="J451" s="106"/>
      <c r="K451" s="106"/>
      <c r="L451" s="107"/>
      <c r="M451" s="107"/>
      <c r="N451" s="101"/>
      <c r="O451" s="107"/>
      <c r="P451" s="4"/>
      <c r="V451" s="5"/>
      <c r="AC451" s="79"/>
      <c r="AD451" s="77"/>
      <c r="AE451" s="79"/>
      <c r="AF451" s="79"/>
      <c r="AG451" s="9"/>
      <c r="AH451" s="79"/>
      <c r="AL451" s="11"/>
      <c r="AM451" s="12"/>
    </row>
    <row r="452" s="1" customFormat="1" spans="4:39">
      <c r="D452" s="34"/>
      <c r="E452" s="34"/>
      <c r="F452" s="86"/>
      <c r="G452" s="86"/>
      <c r="H452" s="31"/>
      <c r="I452" s="3"/>
      <c r="J452" s="106"/>
      <c r="K452" s="106"/>
      <c r="L452" s="107"/>
      <c r="M452" s="107"/>
      <c r="N452" s="101"/>
      <c r="O452" s="107"/>
      <c r="P452" s="4"/>
      <c r="V452" s="5"/>
      <c r="AC452" s="79"/>
      <c r="AD452" s="77"/>
      <c r="AE452" s="79"/>
      <c r="AF452" s="79"/>
      <c r="AG452" s="9"/>
      <c r="AH452" s="79"/>
      <c r="AL452" s="11"/>
      <c r="AM452" s="12"/>
    </row>
    <row r="453" s="1" customFormat="1" spans="4:39">
      <c r="D453" s="34"/>
      <c r="E453" s="34"/>
      <c r="F453" s="86"/>
      <c r="G453" s="86"/>
      <c r="H453" s="31"/>
      <c r="I453" s="3"/>
      <c r="J453" s="106"/>
      <c r="K453" s="106"/>
      <c r="L453" s="107"/>
      <c r="M453" s="107"/>
      <c r="N453" s="101"/>
      <c r="O453" s="107"/>
      <c r="P453" s="4"/>
      <c r="V453" s="5"/>
      <c r="AC453" s="79"/>
      <c r="AD453" s="77"/>
      <c r="AE453" s="79"/>
      <c r="AF453" s="79"/>
      <c r="AG453" s="9"/>
      <c r="AH453" s="79"/>
      <c r="AL453" s="11"/>
      <c r="AM453" s="12"/>
    </row>
    <row r="454" s="1" customFormat="1" spans="4:39">
      <c r="D454" s="34"/>
      <c r="E454" s="34"/>
      <c r="F454" s="86"/>
      <c r="G454" s="86"/>
      <c r="H454" s="31"/>
      <c r="I454" s="3"/>
      <c r="J454" s="106"/>
      <c r="K454" s="106"/>
      <c r="L454" s="107"/>
      <c r="M454" s="107"/>
      <c r="N454" s="101"/>
      <c r="O454" s="107"/>
      <c r="P454" s="4"/>
      <c r="V454" s="5"/>
      <c r="AC454" s="79"/>
      <c r="AD454" s="77"/>
      <c r="AE454" s="79"/>
      <c r="AF454" s="79"/>
      <c r="AG454" s="9"/>
      <c r="AH454" s="79"/>
      <c r="AL454" s="11"/>
      <c r="AM454" s="12"/>
    </row>
    <row r="455" s="1" customFormat="1" spans="4:39">
      <c r="D455" s="34"/>
      <c r="E455" s="34"/>
      <c r="F455" s="86"/>
      <c r="G455" s="86"/>
      <c r="H455" s="31"/>
      <c r="I455" s="3"/>
      <c r="J455" s="106"/>
      <c r="K455" s="106"/>
      <c r="L455" s="107"/>
      <c r="M455" s="107"/>
      <c r="N455" s="101"/>
      <c r="O455" s="107"/>
      <c r="P455" s="4"/>
      <c r="V455" s="5"/>
      <c r="AC455" s="79"/>
      <c r="AD455" s="77"/>
      <c r="AE455" s="79"/>
      <c r="AF455" s="79"/>
      <c r="AG455" s="9"/>
      <c r="AH455" s="79"/>
      <c r="AL455" s="11"/>
      <c r="AM455" s="12"/>
    </row>
    <row r="456" s="1" customFormat="1" spans="4:39">
      <c r="D456" s="34"/>
      <c r="E456" s="34"/>
      <c r="F456" s="86"/>
      <c r="G456" s="86"/>
      <c r="H456" s="31"/>
      <c r="I456" s="3"/>
      <c r="J456" s="106"/>
      <c r="K456" s="106"/>
      <c r="L456" s="107"/>
      <c r="M456" s="107"/>
      <c r="N456" s="101"/>
      <c r="O456" s="107"/>
      <c r="P456" s="4"/>
      <c r="V456" s="5"/>
      <c r="AC456" s="79"/>
      <c r="AD456" s="77"/>
      <c r="AE456" s="79"/>
      <c r="AF456" s="79"/>
      <c r="AG456" s="9"/>
      <c r="AH456" s="79"/>
      <c r="AL456" s="11"/>
      <c r="AM456" s="12"/>
    </row>
    <row r="457" s="1" customFormat="1" spans="4:39">
      <c r="D457" s="34"/>
      <c r="E457" s="34"/>
      <c r="F457" s="86"/>
      <c r="G457" s="86"/>
      <c r="H457" s="31"/>
      <c r="I457" s="3"/>
      <c r="J457" s="106"/>
      <c r="K457" s="106"/>
      <c r="L457" s="107"/>
      <c r="M457" s="107"/>
      <c r="N457" s="101"/>
      <c r="O457" s="107"/>
      <c r="P457" s="4"/>
      <c r="V457" s="5"/>
      <c r="AC457" s="79"/>
      <c r="AD457" s="77"/>
      <c r="AE457" s="79"/>
      <c r="AF457" s="79"/>
      <c r="AG457" s="9"/>
      <c r="AH457" s="79"/>
      <c r="AL457" s="11"/>
      <c r="AM457" s="12"/>
    </row>
    <row r="458" s="1" customFormat="1" spans="4:39">
      <c r="D458" s="34"/>
      <c r="E458" s="34"/>
      <c r="F458" s="86"/>
      <c r="G458" s="86"/>
      <c r="H458" s="31"/>
      <c r="I458" s="3"/>
      <c r="J458" s="106"/>
      <c r="K458" s="106"/>
      <c r="L458" s="107"/>
      <c r="M458" s="107"/>
      <c r="N458" s="101"/>
      <c r="O458" s="107"/>
      <c r="P458" s="4"/>
      <c r="V458" s="5"/>
      <c r="AC458" s="79"/>
      <c r="AD458" s="77"/>
      <c r="AE458" s="79"/>
      <c r="AF458" s="79"/>
      <c r="AG458" s="9"/>
      <c r="AH458" s="79"/>
      <c r="AL458" s="11"/>
      <c r="AM458" s="12"/>
    </row>
    <row r="459" s="1" customFormat="1" spans="4:39">
      <c r="D459" s="34"/>
      <c r="E459" s="34"/>
      <c r="F459" s="86"/>
      <c r="G459" s="86"/>
      <c r="H459" s="31"/>
      <c r="I459" s="3"/>
      <c r="J459" s="106"/>
      <c r="K459" s="106"/>
      <c r="L459" s="107"/>
      <c r="M459" s="107"/>
      <c r="N459" s="101"/>
      <c r="O459" s="107"/>
      <c r="P459" s="4"/>
      <c r="V459" s="5"/>
      <c r="AC459" s="79"/>
      <c r="AD459" s="77"/>
      <c r="AE459" s="79"/>
      <c r="AF459" s="79"/>
      <c r="AG459" s="9"/>
      <c r="AH459" s="79"/>
      <c r="AL459" s="11"/>
      <c r="AM459" s="12"/>
    </row>
    <row r="460" s="1" customFormat="1" spans="4:39">
      <c r="D460" s="34"/>
      <c r="E460" s="34"/>
      <c r="F460" s="86"/>
      <c r="G460" s="86"/>
      <c r="H460" s="31"/>
      <c r="I460" s="3"/>
      <c r="J460" s="106"/>
      <c r="K460" s="106"/>
      <c r="L460" s="107"/>
      <c r="M460" s="107"/>
      <c r="N460" s="101"/>
      <c r="O460" s="107"/>
      <c r="P460" s="4"/>
      <c r="V460" s="5"/>
      <c r="AC460" s="79"/>
      <c r="AD460" s="77"/>
      <c r="AE460" s="79"/>
      <c r="AF460" s="79"/>
      <c r="AG460" s="9"/>
      <c r="AH460" s="79"/>
      <c r="AL460" s="11"/>
      <c r="AM460" s="12"/>
    </row>
    <row r="461" s="1" customFormat="1" spans="4:39">
      <c r="D461" s="34"/>
      <c r="E461" s="34"/>
      <c r="F461" s="86"/>
      <c r="G461" s="86"/>
      <c r="H461" s="31"/>
      <c r="I461" s="3"/>
      <c r="J461" s="106"/>
      <c r="K461" s="106"/>
      <c r="L461" s="107"/>
      <c r="M461" s="107"/>
      <c r="N461" s="101"/>
      <c r="O461" s="107"/>
      <c r="P461" s="4"/>
      <c r="V461" s="5"/>
      <c r="AC461" s="79"/>
      <c r="AD461" s="77"/>
      <c r="AE461" s="79"/>
      <c r="AF461" s="79"/>
      <c r="AG461" s="9"/>
      <c r="AH461" s="79"/>
      <c r="AL461" s="11"/>
      <c r="AM461" s="12"/>
    </row>
    <row r="462" s="1" customFormat="1" spans="4:39">
      <c r="D462" s="34"/>
      <c r="E462" s="34"/>
      <c r="F462" s="86"/>
      <c r="G462" s="86"/>
      <c r="H462" s="31"/>
      <c r="I462" s="3"/>
      <c r="J462" s="106"/>
      <c r="K462" s="106"/>
      <c r="L462" s="107"/>
      <c r="M462" s="107"/>
      <c r="N462" s="101"/>
      <c r="O462" s="107"/>
      <c r="P462" s="4"/>
      <c r="V462" s="5"/>
      <c r="AC462" s="79"/>
      <c r="AD462" s="77"/>
      <c r="AE462" s="79"/>
      <c r="AF462" s="79"/>
      <c r="AG462" s="9"/>
      <c r="AH462" s="79"/>
      <c r="AL462" s="11"/>
      <c r="AM462" s="12"/>
    </row>
    <row r="463" s="1" customFormat="1" spans="4:39">
      <c r="D463" s="34"/>
      <c r="E463" s="34"/>
      <c r="F463" s="86"/>
      <c r="G463" s="86"/>
      <c r="H463" s="31"/>
      <c r="I463" s="3"/>
      <c r="J463" s="106"/>
      <c r="K463" s="106"/>
      <c r="L463" s="107"/>
      <c r="M463" s="107"/>
      <c r="N463" s="101"/>
      <c r="O463" s="107"/>
      <c r="P463" s="4"/>
      <c r="V463" s="5"/>
      <c r="AC463" s="79"/>
      <c r="AD463" s="77"/>
      <c r="AE463" s="79"/>
      <c r="AF463" s="79"/>
      <c r="AG463" s="9"/>
      <c r="AH463" s="79"/>
      <c r="AL463" s="11"/>
      <c r="AM463" s="12"/>
    </row>
    <row r="464" s="1" customFormat="1" spans="4:39">
      <c r="D464" s="34"/>
      <c r="E464" s="34"/>
      <c r="F464" s="86"/>
      <c r="G464" s="86"/>
      <c r="H464" s="31"/>
      <c r="I464" s="3"/>
      <c r="J464" s="106"/>
      <c r="K464" s="106"/>
      <c r="L464" s="107"/>
      <c r="M464" s="107"/>
      <c r="N464" s="101"/>
      <c r="O464" s="107"/>
      <c r="P464" s="4"/>
      <c r="V464" s="5"/>
      <c r="AC464" s="79"/>
      <c r="AD464" s="77"/>
      <c r="AE464" s="79"/>
      <c r="AF464" s="79"/>
      <c r="AG464" s="9"/>
      <c r="AH464" s="79"/>
      <c r="AL464" s="11"/>
      <c r="AM464" s="12"/>
    </row>
    <row r="465" s="1" customFormat="1" spans="4:39">
      <c r="D465" s="34"/>
      <c r="E465" s="34"/>
      <c r="F465" s="86"/>
      <c r="G465" s="86"/>
      <c r="H465" s="31"/>
      <c r="I465" s="3"/>
      <c r="J465" s="106"/>
      <c r="K465" s="106"/>
      <c r="L465" s="107"/>
      <c r="M465" s="107"/>
      <c r="N465" s="101"/>
      <c r="O465" s="107"/>
      <c r="P465" s="4"/>
      <c r="V465" s="5"/>
      <c r="AC465" s="79"/>
      <c r="AD465" s="77"/>
      <c r="AE465" s="79"/>
      <c r="AF465" s="79"/>
      <c r="AG465" s="9"/>
      <c r="AH465" s="79"/>
      <c r="AL465" s="11"/>
      <c r="AM465" s="12"/>
    </row>
    <row r="466" s="1" customFormat="1" spans="4:39">
      <c r="D466" s="34"/>
      <c r="E466" s="34"/>
      <c r="F466" s="86"/>
      <c r="G466" s="86"/>
      <c r="H466" s="31"/>
      <c r="I466" s="3"/>
      <c r="J466" s="106"/>
      <c r="K466" s="106"/>
      <c r="L466" s="107"/>
      <c r="M466" s="107"/>
      <c r="N466" s="101"/>
      <c r="O466" s="107"/>
      <c r="P466" s="4"/>
      <c r="V466" s="5"/>
      <c r="AC466" s="79"/>
      <c r="AD466" s="77"/>
      <c r="AE466" s="79"/>
      <c r="AF466" s="79"/>
      <c r="AG466" s="9"/>
      <c r="AH466" s="79"/>
      <c r="AL466" s="11"/>
      <c r="AM466" s="12"/>
    </row>
    <row r="467" s="1" customFormat="1" spans="4:39">
      <c r="D467" s="34"/>
      <c r="E467" s="34"/>
      <c r="F467" s="86"/>
      <c r="G467" s="86"/>
      <c r="H467" s="31"/>
      <c r="I467" s="3"/>
      <c r="J467" s="106"/>
      <c r="K467" s="106"/>
      <c r="L467" s="107"/>
      <c r="M467" s="107"/>
      <c r="N467" s="101"/>
      <c r="O467" s="107"/>
      <c r="P467" s="4"/>
      <c r="V467" s="5"/>
      <c r="AC467" s="79"/>
      <c r="AD467" s="77"/>
      <c r="AE467" s="79"/>
      <c r="AF467" s="79"/>
      <c r="AG467" s="9"/>
      <c r="AH467" s="79"/>
      <c r="AL467" s="11"/>
      <c r="AM467" s="12"/>
    </row>
    <row r="468" s="1" customFormat="1" spans="4:39">
      <c r="D468" s="34"/>
      <c r="E468" s="34"/>
      <c r="F468" s="86"/>
      <c r="G468" s="86"/>
      <c r="H468" s="31"/>
      <c r="I468" s="3"/>
      <c r="J468" s="106"/>
      <c r="K468" s="106"/>
      <c r="L468" s="107"/>
      <c r="M468" s="107"/>
      <c r="N468" s="101"/>
      <c r="O468" s="107"/>
      <c r="P468" s="4"/>
      <c r="V468" s="5"/>
      <c r="AC468" s="79"/>
      <c r="AD468" s="77"/>
      <c r="AE468" s="79"/>
      <c r="AF468" s="79"/>
      <c r="AG468" s="9"/>
      <c r="AH468" s="79"/>
      <c r="AL468" s="11"/>
      <c r="AM468" s="12"/>
    </row>
    <row r="469" s="1" customFormat="1" spans="4:39">
      <c r="D469" s="34"/>
      <c r="E469" s="34"/>
      <c r="F469" s="86"/>
      <c r="G469" s="86"/>
      <c r="H469" s="31"/>
      <c r="I469" s="3"/>
      <c r="J469" s="106"/>
      <c r="K469" s="106"/>
      <c r="L469" s="107"/>
      <c r="M469" s="107"/>
      <c r="N469" s="101"/>
      <c r="O469" s="107"/>
      <c r="P469" s="4"/>
      <c r="V469" s="5"/>
      <c r="AC469" s="79"/>
      <c r="AD469" s="77"/>
      <c r="AE469" s="79"/>
      <c r="AF469" s="79"/>
      <c r="AG469" s="9"/>
      <c r="AH469" s="79"/>
      <c r="AL469" s="11"/>
      <c r="AM469" s="12"/>
    </row>
    <row r="470" s="1" customFormat="1" spans="4:39">
      <c r="D470" s="34"/>
      <c r="E470" s="34"/>
      <c r="F470" s="86"/>
      <c r="G470" s="86"/>
      <c r="H470" s="31"/>
      <c r="I470" s="3"/>
      <c r="J470" s="106"/>
      <c r="K470" s="106"/>
      <c r="L470" s="107"/>
      <c r="M470" s="107"/>
      <c r="N470" s="101"/>
      <c r="O470" s="107"/>
      <c r="P470" s="4"/>
      <c r="V470" s="5"/>
      <c r="AC470" s="79"/>
      <c r="AD470" s="77"/>
      <c r="AE470" s="79"/>
      <c r="AF470" s="79"/>
      <c r="AG470" s="9"/>
      <c r="AH470" s="79"/>
      <c r="AL470" s="11"/>
      <c r="AM470" s="12"/>
    </row>
    <row r="471" s="1" customFormat="1" spans="4:39">
      <c r="D471" s="34"/>
      <c r="E471" s="34"/>
      <c r="F471" s="86"/>
      <c r="G471" s="86"/>
      <c r="H471" s="31"/>
      <c r="I471" s="3"/>
      <c r="J471" s="106"/>
      <c r="K471" s="106"/>
      <c r="L471" s="107"/>
      <c r="M471" s="107"/>
      <c r="N471" s="101"/>
      <c r="O471" s="107"/>
      <c r="P471" s="4"/>
      <c r="V471" s="5"/>
      <c r="AC471" s="79"/>
      <c r="AD471" s="77"/>
      <c r="AE471" s="79"/>
      <c r="AF471" s="79"/>
      <c r="AG471" s="9"/>
      <c r="AH471" s="79"/>
      <c r="AL471" s="11"/>
      <c r="AM471" s="12"/>
    </row>
    <row r="472" s="1" customFormat="1" spans="4:39">
      <c r="D472" s="34"/>
      <c r="E472" s="34"/>
      <c r="F472" s="86"/>
      <c r="G472" s="86"/>
      <c r="H472" s="31"/>
      <c r="I472" s="3"/>
      <c r="J472" s="106"/>
      <c r="K472" s="106"/>
      <c r="L472" s="107"/>
      <c r="M472" s="107"/>
      <c r="N472" s="101"/>
      <c r="O472" s="107"/>
      <c r="P472" s="4"/>
      <c r="V472" s="5"/>
      <c r="AC472" s="79"/>
      <c r="AD472" s="77"/>
      <c r="AE472" s="79"/>
      <c r="AF472" s="79"/>
      <c r="AG472" s="9"/>
      <c r="AH472" s="79"/>
      <c r="AL472" s="11"/>
      <c r="AM472" s="12"/>
    </row>
    <row r="473" s="1" customFormat="1" spans="4:39">
      <c r="D473" s="34"/>
      <c r="E473" s="34"/>
      <c r="F473" s="86"/>
      <c r="G473" s="86"/>
      <c r="H473" s="31"/>
      <c r="I473" s="3"/>
      <c r="J473" s="106"/>
      <c r="K473" s="106"/>
      <c r="L473" s="107"/>
      <c r="M473" s="107"/>
      <c r="N473" s="101"/>
      <c r="O473" s="107"/>
      <c r="P473" s="4"/>
      <c r="V473" s="5"/>
      <c r="AC473" s="79"/>
      <c r="AD473" s="77"/>
      <c r="AE473" s="79"/>
      <c r="AF473" s="79"/>
      <c r="AG473" s="9"/>
      <c r="AH473" s="79"/>
      <c r="AL473" s="11"/>
      <c r="AM473" s="12"/>
    </row>
    <row r="474" s="1" customFormat="1" spans="4:39">
      <c r="D474" s="34"/>
      <c r="E474" s="34"/>
      <c r="F474" s="86"/>
      <c r="G474" s="86"/>
      <c r="H474" s="31"/>
      <c r="I474" s="3"/>
      <c r="J474" s="106"/>
      <c r="K474" s="106"/>
      <c r="L474" s="107"/>
      <c r="M474" s="107"/>
      <c r="N474" s="101"/>
      <c r="O474" s="107"/>
      <c r="P474" s="4"/>
      <c r="V474" s="5"/>
      <c r="AC474" s="79"/>
      <c r="AD474" s="77"/>
      <c r="AE474" s="79"/>
      <c r="AF474" s="79"/>
      <c r="AG474" s="9"/>
      <c r="AH474" s="79"/>
      <c r="AL474" s="11"/>
      <c r="AM474" s="12"/>
    </row>
    <row r="475" s="1" customFormat="1" spans="4:39">
      <c r="D475" s="34"/>
      <c r="E475" s="34"/>
      <c r="F475" s="86"/>
      <c r="G475" s="86"/>
      <c r="H475" s="31"/>
      <c r="I475" s="3"/>
      <c r="J475" s="106"/>
      <c r="K475" s="106"/>
      <c r="L475" s="107"/>
      <c r="M475" s="107"/>
      <c r="N475" s="101"/>
      <c r="O475" s="107"/>
      <c r="P475" s="4"/>
      <c r="V475" s="5"/>
      <c r="AC475" s="79"/>
      <c r="AD475" s="77"/>
      <c r="AE475" s="79"/>
      <c r="AF475" s="79"/>
      <c r="AG475" s="9"/>
      <c r="AH475" s="79"/>
      <c r="AL475" s="11"/>
      <c r="AM475" s="12"/>
    </row>
    <row r="476" s="1" customFormat="1" spans="4:39">
      <c r="D476" s="34"/>
      <c r="E476" s="34"/>
      <c r="F476" s="86"/>
      <c r="G476" s="86"/>
      <c r="H476" s="31"/>
      <c r="I476" s="3"/>
      <c r="J476" s="106"/>
      <c r="K476" s="106"/>
      <c r="L476" s="107"/>
      <c r="M476" s="107"/>
      <c r="N476" s="101"/>
      <c r="O476" s="107"/>
      <c r="P476" s="4"/>
      <c r="V476" s="5"/>
      <c r="AC476" s="79"/>
      <c r="AD476" s="77"/>
      <c r="AE476" s="79"/>
      <c r="AF476" s="79"/>
      <c r="AG476" s="9"/>
      <c r="AH476" s="79"/>
      <c r="AL476" s="11"/>
      <c r="AM476" s="12"/>
    </row>
    <row r="477" s="1" customFormat="1" spans="4:39">
      <c r="D477" s="34"/>
      <c r="E477" s="34"/>
      <c r="F477" s="86"/>
      <c r="G477" s="86"/>
      <c r="H477" s="31"/>
      <c r="I477" s="3"/>
      <c r="J477" s="106"/>
      <c r="K477" s="106"/>
      <c r="L477" s="107"/>
      <c r="M477" s="107"/>
      <c r="N477" s="101"/>
      <c r="O477" s="107"/>
      <c r="P477" s="4"/>
      <c r="V477" s="5"/>
      <c r="AC477" s="79"/>
      <c r="AD477" s="77"/>
      <c r="AE477" s="79"/>
      <c r="AF477" s="79"/>
      <c r="AG477" s="9"/>
      <c r="AH477" s="79"/>
      <c r="AL477" s="11"/>
      <c r="AM477" s="12"/>
    </row>
    <row r="478" s="1" customFormat="1" spans="4:39">
      <c r="D478" s="34"/>
      <c r="E478" s="34"/>
      <c r="F478" s="86"/>
      <c r="G478" s="86"/>
      <c r="H478" s="31"/>
      <c r="I478" s="3"/>
      <c r="J478" s="106"/>
      <c r="K478" s="106"/>
      <c r="L478" s="107"/>
      <c r="M478" s="107"/>
      <c r="N478" s="101"/>
      <c r="O478" s="107"/>
      <c r="P478" s="4"/>
      <c r="V478" s="5"/>
      <c r="AC478" s="79"/>
      <c r="AD478" s="77"/>
      <c r="AE478" s="79"/>
      <c r="AF478" s="79"/>
      <c r="AG478" s="9"/>
      <c r="AH478" s="79"/>
      <c r="AL478" s="11"/>
      <c r="AM478" s="12"/>
    </row>
    <row r="479" s="1" customFormat="1" spans="4:39">
      <c r="D479" s="34"/>
      <c r="E479" s="34"/>
      <c r="F479" s="86"/>
      <c r="G479" s="86"/>
      <c r="H479" s="31"/>
      <c r="I479" s="3"/>
      <c r="J479" s="106"/>
      <c r="K479" s="106"/>
      <c r="L479" s="107"/>
      <c r="M479" s="107"/>
      <c r="N479" s="101"/>
      <c r="O479" s="107"/>
      <c r="P479" s="4"/>
      <c r="V479" s="5"/>
      <c r="AC479" s="79"/>
      <c r="AD479" s="77"/>
      <c r="AE479" s="79"/>
      <c r="AF479" s="79"/>
      <c r="AG479" s="9"/>
      <c r="AH479" s="79"/>
      <c r="AL479" s="11"/>
      <c r="AM479" s="12"/>
    </row>
    <row r="480" s="1" customFormat="1" spans="4:39">
      <c r="D480" s="34"/>
      <c r="E480" s="34"/>
      <c r="F480" s="86"/>
      <c r="G480" s="86"/>
      <c r="H480" s="31"/>
      <c r="I480" s="3"/>
      <c r="J480" s="106"/>
      <c r="K480" s="106"/>
      <c r="L480" s="107"/>
      <c r="M480" s="107"/>
      <c r="N480" s="101"/>
      <c r="O480" s="107"/>
      <c r="P480" s="4"/>
      <c r="V480" s="5"/>
      <c r="AC480" s="79"/>
      <c r="AD480" s="77"/>
      <c r="AE480" s="79"/>
      <c r="AF480" s="79"/>
      <c r="AG480" s="9"/>
      <c r="AH480" s="79"/>
      <c r="AL480" s="11"/>
      <c r="AM480" s="12"/>
    </row>
    <row r="481" s="1" customFormat="1" spans="4:39">
      <c r="D481" s="34"/>
      <c r="E481" s="34"/>
      <c r="F481" s="86"/>
      <c r="G481" s="86"/>
      <c r="H481" s="31"/>
      <c r="I481" s="3"/>
      <c r="J481" s="106"/>
      <c r="K481" s="106"/>
      <c r="L481" s="107"/>
      <c r="M481" s="107"/>
      <c r="N481" s="101"/>
      <c r="O481" s="107"/>
      <c r="P481" s="4"/>
      <c r="V481" s="5"/>
      <c r="AC481" s="79"/>
      <c r="AD481" s="77"/>
      <c r="AE481" s="79"/>
      <c r="AF481" s="79"/>
      <c r="AG481" s="9"/>
      <c r="AH481" s="79"/>
      <c r="AL481" s="11"/>
      <c r="AM481" s="12"/>
    </row>
    <row r="482" s="1" customFormat="1" spans="4:39">
      <c r="D482" s="34"/>
      <c r="E482" s="34"/>
      <c r="F482" s="86"/>
      <c r="G482" s="86"/>
      <c r="H482" s="31"/>
      <c r="I482" s="3"/>
      <c r="J482" s="106"/>
      <c r="K482" s="106"/>
      <c r="L482" s="107"/>
      <c r="M482" s="107"/>
      <c r="N482" s="101"/>
      <c r="O482" s="107"/>
      <c r="P482" s="4"/>
      <c r="V482" s="5"/>
      <c r="AC482" s="79"/>
      <c r="AD482" s="77"/>
      <c r="AE482" s="79"/>
      <c r="AF482" s="79"/>
      <c r="AG482" s="9"/>
      <c r="AH482" s="79"/>
      <c r="AL482" s="11"/>
      <c r="AM482" s="12"/>
    </row>
    <row r="483" s="1" customFormat="1" spans="4:39">
      <c r="D483" s="34"/>
      <c r="E483" s="34"/>
      <c r="F483" s="86"/>
      <c r="G483" s="86"/>
      <c r="H483" s="31"/>
      <c r="I483" s="3"/>
      <c r="J483" s="106"/>
      <c r="K483" s="106"/>
      <c r="L483" s="107"/>
      <c r="M483" s="107"/>
      <c r="N483" s="101"/>
      <c r="O483" s="107"/>
      <c r="P483" s="4"/>
      <c r="V483" s="5"/>
      <c r="AC483" s="79"/>
      <c r="AD483" s="77"/>
      <c r="AE483" s="79"/>
      <c r="AF483" s="79"/>
      <c r="AG483" s="9"/>
      <c r="AH483" s="79"/>
      <c r="AL483" s="11"/>
      <c r="AM483" s="12"/>
    </row>
    <row r="484" s="1" customFormat="1" spans="4:39">
      <c r="D484" s="34"/>
      <c r="E484" s="34"/>
      <c r="F484" s="86"/>
      <c r="G484" s="86"/>
      <c r="H484" s="31"/>
      <c r="I484" s="3"/>
      <c r="J484" s="106"/>
      <c r="K484" s="106"/>
      <c r="L484" s="107"/>
      <c r="M484" s="107"/>
      <c r="N484" s="101"/>
      <c r="O484" s="107"/>
      <c r="P484" s="4"/>
      <c r="V484" s="5"/>
      <c r="AC484" s="79"/>
      <c r="AD484" s="77"/>
      <c r="AE484" s="79"/>
      <c r="AF484" s="79"/>
      <c r="AG484" s="9"/>
      <c r="AH484" s="79"/>
      <c r="AL484" s="11"/>
      <c r="AM484" s="12"/>
    </row>
    <row r="485" s="1" customFormat="1" spans="4:39">
      <c r="D485" s="34"/>
      <c r="E485" s="34"/>
      <c r="F485" s="86"/>
      <c r="G485" s="86"/>
      <c r="H485" s="31"/>
      <c r="I485" s="3"/>
      <c r="J485" s="106"/>
      <c r="K485" s="106"/>
      <c r="L485" s="107"/>
      <c r="M485" s="107"/>
      <c r="N485" s="101"/>
      <c r="O485" s="107"/>
      <c r="P485" s="4"/>
      <c r="V485" s="5"/>
      <c r="AC485" s="79"/>
      <c r="AD485" s="77"/>
      <c r="AE485" s="79"/>
      <c r="AF485" s="79"/>
      <c r="AG485" s="9"/>
      <c r="AH485" s="79"/>
      <c r="AL485" s="11"/>
      <c r="AM485" s="12"/>
    </row>
    <row r="486" s="1" customFormat="1" spans="4:39">
      <c r="D486" s="34"/>
      <c r="E486" s="34"/>
      <c r="F486" s="86"/>
      <c r="G486" s="86"/>
      <c r="H486" s="31"/>
      <c r="I486" s="3"/>
      <c r="J486" s="106"/>
      <c r="K486" s="106"/>
      <c r="L486" s="107"/>
      <c r="M486" s="107"/>
      <c r="N486" s="101"/>
      <c r="O486" s="107"/>
      <c r="P486" s="4"/>
      <c r="V486" s="5"/>
      <c r="AC486" s="79"/>
      <c r="AD486" s="77"/>
      <c r="AE486" s="79"/>
      <c r="AF486" s="79"/>
      <c r="AG486" s="9"/>
      <c r="AH486" s="79"/>
      <c r="AL486" s="11"/>
      <c r="AM486" s="12"/>
    </row>
    <row r="487" s="1" customFormat="1" spans="4:39">
      <c r="D487" s="34"/>
      <c r="E487" s="34"/>
      <c r="F487" s="86"/>
      <c r="G487" s="86"/>
      <c r="H487" s="31"/>
      <c r="I487" s="3"/>
      <c r="J487" s="106"/>
      <c r="K487" s="106"/>
      <c r="L487" s="107"/>
      <c r="M487" s="107"/>
      <c r="N487" s="101"/>
      <c r="O487" s="107"/>
      <c r="P487" s="4"/>
      <c r="V487" s="5"/>
      <c r="AC487" s="79"/>
      <c r="AD487" s="77"/>
      <c r="AE487" s="79"/>
      <c r="AF487" s="79"/>
      <c r="AG487" s="9"/>
      <c r="AH487" s="79"/>
      <c r="AL487" s="11"/>
      <c r="AM487" s="12"/>
    </row>
    <row r="488" s="1" customFormat="1" spans="4:39">
      <c r="D488" s="34"/>
      <c r="E488" s="34"/>
      <c r="F488" s="86"/>
      <c r="G488" s="86"/>
      <c r="H488" s="31"/>
      <c r="I488" s="3"/>
      <c r="J488" s="106"/>
      <c r="K488" s="106"/>
      <c r="L488" s="107"/>
      <c r="M488" s="107"/>
      <c r="N488" s="101"/>
      <c r="O488" s="107"/>
      <c r="P488" s="4"/>
      <c r="V488" s="5"/>
      <c r="AC488" s="79"/>
      <c r="AD488" s="77"/>
      <c r="AE488" s="79"/>
      <c r="AF488" s="79"/>
      <c r="AG488" s="9"/>
      <c r="AH488" s="79"/>
      <c r="AL488" s="11"/>
      <c r="AM488" s="12"/>
    </row>
    <row r="489" s="1" customFormat="1" spans="4:39">
      <c r="D489" s="34"/>
      <c r="E489" s="34"/>
      <c r="F489" s="86"/>
      <c r="G489" s="86"/>
      <c r="H489" s="31"/>
      <c r="I489" s="3"/>
      <c r="J489" s="106"/>
      <c r="K489" s="106"/>
      <c r="L489" s="107"/>
      <c r="M489" s="107"/>
      <c r="N489" s="101"/>
      <c r="O489" s="107"/>
      <c r="P489" s="4"/>
      <c r="V489" s="5"/>
      <c r="AC489" s="79"/>
      <c r="AD489" s="77"/>
      <c r="AE489" s="79"/>
      <c r="AF489" s="79"/>
      <c r="AG489" s="9"/>
      <c r="AH489" s="79"/>
      <c r="AL489" s="11"/>
      <c r="AM489" s="12"/>
    </row>
    <row r="490" s="1" customFormat="1" spans="4:39">
      <c r="D490" s="34"/>
      <c r="E490" s="34"/>
      <c r="F490" s="86"/>
      <c r="G490" s="86"/>
      <c r="H490" s="31"/>
      <c r="I490" s="3"/>
      <c r="J490" s="106"/>
      <c r="K490" s="106"/>
      <c r="L490" s="107"/>
      <c r="M490" s="107"/>
      <c r="N490" s="101"/>
      <c r="O490" s="107"/>
      <c r="P490" s="4"/>
      <c r="V490" s="5"/>
      <c r="AC490" s="79"/>
      <c r="AD490" s="77"/>
      <c r="AE490" s="79"/>
      <c r="AF490" s="79"/>
      <c r="AG490" s="9"/>
      <c r="AH490" s="79"/>
      <c r="AL490" s="11"/>
      <c r="AM490" s="12"/>
    </row>
    <row r="491" s="1" customFormat="1" spans="4:39">
      <c r="D491" s="34"/>
      <c r="E491" s="34"/>
      <c r="F491" s="86"/>
      <c r="G491" s="86"/>
      <c r="H491" s="31"/>
      <c r="I491" s="3"/>
      <c r="J491" s="106"/>
      <c r="K491" s="106"/>
      <c r="L491" s="107"/>
      <c r="M491" s="107"/>
      <c r="N491" s="101"/>
      <c r="O491" s="107"/>
      <c r="P491" s="4"/>
      <c r="V491" s="5"/>
      <c r="AC491" s="79"/>
      <c r="AD491" s="77"/>
      <c r="AE491" s="79"/>
      <c r="AF491" s="79"/>
      <c r="AG491" s="9"/>
      <c r="AH491" s="79"/>
      <c r="AL491" s="11"/>
      <c r="AM491" s="12"/>
    </row>
    <row r="492" s="1" customFormat="1" spans="4:39">
      <c r="D492" s="34"/>
      <c r="E492" s="34"/>
      <c r="F492" s="86"/>
      <c r="G492" s="86"/>
      <c r="H492" s="31"/>
      <c r="I492" s="3"/>
      <c r="J492" s="106"/>
      <c r="K492" s="106"/>
      <c r="L492" s="107"/>
      <c r="M492" s="107"/>
      <c r="N492" s="101"/>
      <c r="O492" s="107"/>
      <c r="P492" s="4"/>
      <c r="V492" s="5"/>
      <c r="AC492" s="79"/>
      <c r="AD492" s="77"/>
      <c r="AE492" s="79"/>
      <c r="AF492" s="79"/>
      <c r="AG492" s="9"/>
      <c r="AH492" s="79"/>
      <c r="AL492" s="11"/>
      <c r="AM492" s="12"/>
    </row>
    <row r="493" s="1" customFormat="1" spans="4:39">
      <c r="D493" s="34"/>
      <c r="E493" s="34"/>
      <c r="F493" s="86"/>
      <c r="G493" s="86"/>
      <c r="H493" s="31"/>
      <c r="I493" s="3"/>
      <c r="J493" s="106"/>
      <c r="K493" s="106"/>
      <c r="L493" s="107"/>
      <c r="M493" s="107"/>
      <c r="N493" s="101"/>
      <c r="O493" s="107"/>
      <c r="P493" s="4"/>
      <c r="V493" s="5"/>
      <c r="AC493" s="79"/>
      <c r="AD493" s="77"/>
      <c r="AE493" s="79"/>
      <c r="AF493" s="79"/>
      <c r="AG493" s="9"/>
      <c r="AH493" s="79"/>
      <c r="AL493" s="11"/>
      <c r="AM493" s="12"/>
    </row>
    <row r="494" s="1" customFormat="1" spans="4:39">
      <c r="D494" s="34"/>
      <c r="E494" s="34"/>
      <c r="F494" s="86"/>
      <c r="G494" s="86"/>
      <c r="H494" s="31"/>
      <c r="I494" s="3"/>
      <c r="J494" s="106"/>
      <c r="K494" s="106"/>
      <c r="L494" s="107"/>
      <c r="M494" s="107"/>
      <c r="N494" s="101"/>
      <c r="O494" s="107"/>
      <c r="P494" s="4"/>
      <c r="V494" s="5"/>
      <c r="AC494" s="79"/>
      <c r="AD494" s="77"/>
      <c r="AE494" s="79"/>
      <c r="AF494" s="79"/>
      <c r="AG494" s="9"/>
      <c r="AH494" s="79"/>
      <c r="AL494" s="11"/>
      <c r="AM494" s="12"/>
    </row>
    <row r="495" s="1" customFormat="1" spans="4:39">
      <c r="D495" s="34"/>
      <c r="E495" s="34"/>
      <c r="F495" s="86"/>
      <c r="G495" s="86"/>
      <c r="H495" s="31"/>
      <c r="I495" s="3"/>
      <c r="J495" s="106"/>
      <c r="K495" s="106"/>
      <c r="L495" s="107"/>
      <c r="M495" s="107"/>
      <c r="N495" s="101"/>
      <c r="O495" s="107"/>
      <c r="P495" s="4"/>
      <c r="V495" s="5"/>
      <c r="AC495" s="79"/>
      <c r="AD495" s="77"/>
      <c r="AE495" s="79"/>
      <c r="AF495" s="79"/>
      <c r="AG495" s="9"/>
      <c r="AH495" s="79"/>
      <c r="AL495" s="11"/>
      <c r="AM495" s="12"/>
    </row>
    <row r="496" s="1" customFormat="1" spans="4:39">
      <c r="D496" s="34"/>
      <c r="E496" s="34"/>
      <c r="F496" s="86"/>
      <c r="G496" s="86"/>
      <c r="H496" s="31"/>
      <c r="I496" s="3"/>
      <c r="J496" s="106"/>
      <c r="K496" s="106"/>
      <c r="L496" s="107"/>
      <c r="M496" s="107"/>
      <c r="N496" s="101"/>
      <c r="O496" s="107"/>
      <c r="P496" s="4"/>
      <c r="V496" s="5"/>
      <c r="AC496" s="79"/>
      <c r="AD496" s="77"/>
      <c r="AE496" s="79"/>
      <c r="AF496" s="79"/>
      <c r="AG496" s="9"/>
      <c r="AH496" s="79"/>
      <c r="AL496" s="11"/>
      <c r="AM496" s="12"/>
    </row>
    <row r="497" s="1" customFormat="1" spans="4:39">
      <c r="D497" s="34"/>
      <c r="E497" s="34"/>
      <c r="F497" s="86"/>
      <c r="G497" s="86"/>
      <c r="H497" s="31"/>
      <c r="I497" s="3"/>
      <c r="J497" s="106"/>
      <c r="K497" s="106"/>
      <c r="L497" s="107"/>
      <c r="M497" s="107"/>
      <c r="N497" s="101"/>
      <c r="O497" s="107"/>
      <c r="P497" s="4"/>
      <c r="V497" s="5"/>
      <c r="AC497" s="79"/>
      <c r="AD497" s="77"/>
      <c r="AE497" s="79"/>
      <c r="AF497" s="79"/>
      <c r="AG497" s="9"/>
      <c r="AH497" s="79"/>
      <c r="AL497" s="11"/>
      <c r="AM497" s="12"/>
    </row>
    <row r="498" s="1" customFormat="1" spans="4:39">
      <c r="D498" s="34"/>
      <c r="E498" s="34"/>
      <c r="F498" s="86"/>
      <c r="G498" s="86"/>
      <c r="H498" s="31"/>
      <c r="I498" s="3"/>
      <c r="J498" s="106"/>
      <c r="K498" s="106"/>
      <c r="L498" s="107"/>
      <c r="M498" s="107"/>
      <c r="N498" s="101"/>
      <c r="O498" s="107"/>
      <c r="P498" s="4"/>
      <c r="V498" s="5"/>
      <c r="AC498" s="79"/>
      <c r="AD498" s="77"/>
      <c r="AE498" s="79"/>
      <c r="AF498" s="79"/>
      <c r="AG498" s="9"/>
      <c r="AH498" s="79"/>
      <c r="AL498" s="11"/>
      <c r="AM498" s="12"/>
    </row>
    <row r="499" s="1" customFormat="1" spans="4:39">
      <c r="D499" s="34"/>
      <c r="E499" s="34"/>
      <c r="F499" s="86"/>
      <c r="G499" s="86"/>
      <c r="H499" s="31"/>
      <c r="I499" s="3"/>
      <c r="J499" s="106"/>
      <c r="K499" s="106"/>
      <c r="L499" s="107"/>
      <c r="M499" s="107"/>
      <c r="N499" s="101"/>
      <c r="O499" s="107"/>
      <c r="P499" s="4"/>
      <c r="V499" s="5"/>
      <c r="AC499" s="79"/>
      <c r="AD499" s="77"/>
      <c r="AE499" s="79"/>
      <c r="AF499" s="79"/>
      <c r="AG499" s="9"/>
      <c r="AH499" s="79"/>
      <c r="AL499" s="11"/>
      <c r="AM499" s="12"/>
    </row>
    <row r="500" s="1" customFormat="1" spans="4:39">
      <c r="D500" s="34"/>
      <c r="E500" s="34"/>
      <c r="F500" s="86"/>
      <c r="G500" s="86"/>
      <c r="H500" s="31"/>
      <c r="I500" s="3"/>
      <c r="J500" s="106"/>
      <c r="K500" s="106"/>
      <c r="L500" s="107"/>
      <c r="M500" s="107"/>
      <c r="N500" s="101"/>
      <c r="O500" s="107"/>
      <c r="P500" s="4"/>
      <c r="V500" s="5"/>
      <c r="AC500" s="79"/>
      <c r="AD500" s="77"/>
      <c r="AE500" s="79"/>
      <c r="AF500" s="79"/>
      <c r="AG500" s="9"/>
      <c r="AH500" s="79"/>
      <c r="AL500" s="11"/>
      <c r="AM500" s="12"/>
    </row>
    <row r="501" s="1" customFormat="1" spans="4:39">
      <c r="D501" s="34"/>
      <c r="E501" s="34"/>
      <c r="F501" s="86"/>
      <c r="G501" s="86"/>
      <c r="H501" s="31"/>
      <c r="I501" s="3"/>
      <c r="J501" s="106"/>
      <c r="K501" s="106"/>
      <c r="L501" s="107"/>
      <c r="M501" s="107"/>
      <c r="N501" s="101"/>
      <c r="O501" s="107"/>
      <c r="P501" s="4"/>
      <c r="V501" s="5"/>
      <c r="AC501" s="79"/>
      <c r="AD501" s="77"/>
      <c r="AE501" s="79"/>
      <c r="AF501" s="79"/>
      <c r="AG501" s="9"/>
      <c r="AH501" s="79"/>
      <c r="AL501" s="11"/>
      <c r="AM501" s="12"/>
    </row>
    <row r="502" s="1" customFormat="1" spans="4:39">
      <c r="D502" s="34"/>
      <c r="E502" s="34"/>
      <c r="F502" s="86"/>
      <c r="G502" s="86"/>
      <c r="H502" s="31"/>
      <c r="I502" s="3"/>
      <c r="J502" s="106"/>
      <c r="K502" s="106"/>
      <c r="L502" s="107"/>
      <c r="M502" s="107"/>
      <c r="N502" s="101"/>
      <c r="O502" s="107"/>
      <c r="P502" s="4"/>
      <c r="V502" s="5"/>
      <c r="AC502" s="79"/>
      <c r="AD502" s="77"/>
      <c r="AE502" s="79"/>
      <c r="AF502" s="79"/>
      <c r="AG502" s="9"/>
      <c r="AH502" s="79"/>
      <c r="AL502" s="11"/>
      <c r="AM502" s="12"/>
    </row>
    <row r="503" s="1" customFormat="1" spans="4:39">
      <c r="D503" s="34"/>
      <c r="E503" s="34"/>
      <c r="F503" s="86"/>
      <c r="G503" s="86"/>
      <c r="H503" s="31"/>
      <c r="I503" s="3"/>
      <c r="J503" s="106"/>
      <c r="K503" s="106"/>
      <c r="L503" s="107"/>
      <c r="M503" s="107"/>
      <c r="N503" s="101"/>
      <c r="O503" s="107"/>
      <c r="P503" s="4"/>
      <c r="V503" s="5"/>
      <c r="AC503" s="79"/>
      <c r="AD503" s="77"/>
      <c r="AE503" s="79"/>
      <c r="AF503" s="79"/>
      <c r="AG503" s="9"/>
      <c r="AH503" s="79"/>
      <c r="AL503" s="11"/>
      <c r="AM503" s="12"/>
    </row>
    <row r="504" s="1" customFormat="1" spans="4:39">
      <c r="D504" s="34"/>
      <c r="E504" s="34"/>
      <c r="F504" s="86"/>
      <c r="G504" s="86"/>
      <c r="H504" s="31"/>
      <c r="I504" s="3"/>
      <c r="J504" s="106"/>
      <c r="K504" s="106"/>
      <c r="L504" s="107"/>
      <c r="M504" s="107"/>
      <c r="N504" s="101"/>
      <c r="O504" s="107"/>
      <c r="P504" s="4"/>
      <c r="V504" s="5"/>
      <c r="AC504" s="79"/>
      <c r="AD504" s="77"/>
      <c r="AE504" s="79"/>
      <c r="AF504" s="79"/>
      <c r="AG504" s="9"/>
      <c r="AH504" s="79"/>
      <c r="AL504" s="11"/>
      <c r="AM504" s="12"/>
    </row>
    <row r="505" s="1" customFormat="1" spans="4:39">
      <c r="D505" s="34"/>
      <c r="E505" s="34"/>
      <c r="F505" s="86"/>
      <c r="G505" s="86"/>
      <c r="H505" s="31"/>
      <c r="I505" s="3"/>
      <c r="J505" s="106"/>
      <c r="K505" s="106"/>
      <c r="L505" s="107"/>
      <c r="M505" s="107"/>
      <c r="N505" s="101"/>
      <c r="O505" s="107"/>
      <c r="P505" s="4"/>
      <c r="V505" s="5"/>
      <c r="AC505" s="79"/>
      <c r="AD505" s="77"/>
      <c r="AE505" s="79"/>
      <c r="AF505" s="79"/>
      <c r="AG505" s="9"/>
      <c r="AH505" s="79"/>
      <c r="AL505" s="11"/>
      <c r="AM505" s="12"/>
    </row>
    <row r="506" s="1" customFormat="1" spans="4:39">
      <c r="D506" s="34"/>
      <c r="E506" s="34"/>
      <c r="F506" s="86"/>
      <c r="G506" s="86"/>
      <c r="H506" s="31"/>
      <c r="I506" s="3"/>
      <c r="J506" s="106"/>
      <c r="K506" s="106"/>
      <c r="L506" s="107"/>
      <c r="M506" s="107"/>
      <c r="N506" s="101"/>
      <c r="O506" s="107"/>
      <c r="P506" s="4"/>
      <c r="V506" s="5"/>
      <c r="AC506" s="79"/>
      <c r="AD506" s="77"/>
      <c r="AE506" s="79"/>
      <c r="AF506" s="79"/>
      <c r="AG506" s="9"/>
      <c r="AH506" s="79"/>
      <c r="AL506" s="11"/>
      <c r="AM506" s="12"/>
    </row>
    <row r="507" s="1" customFormat="1" spans="4:39">
      <c r="D507" s="34"/>
      <c r="E507" s="34"/>
      <c r="F507" s="86"/>
      <c r="G507" s="86"/>
      <c r="H507" s="31"/>
      <c r="I507" s="3"/>
      <c r="J507" s="106"/>
      <c r="K507" s="106"/>
      <c r="L507" s="107"/>
      <c r="M507" s="107"/>
      <c r="N507" s="101"/>
      <c r="O507" s="107"/>
      <c r="P507" s="4"/>
      <c r="V507" s="5"/>
      <c r="AC507" s="79"/>
      <c r="AD507" s="77"/>
      <c r="AE507" s="79"/>
      <c r="AF507" s="79"/>
      <c r="AG507" s="9"/>
      <c r="AH507" s="79"/>
      <c r="AL507" s="11"/>
      <c r="AM507" s="12"/>
    </row>
    <row r="508" s="1" customFormat="1" spans="4:39">
      <c r="D508" s="34"/>
      <c r="E508" s="34"/>
      <c r="F508" s="86"/>
      <c r="G508" s="86"/>
      <c r="H508" s="31"/>
      <c r="I508" s="3"/>
      <c r="J508" s="106"/>
      <c r="K508" s="106"/>
      <c r="L508" s="107"/>
      <c r="M508" s="107"/>
      <c r="N508" s="101"/>
      <c r="O508" s="107"/>
      <c r="P508" s="4"/>
      <c r="V508" s="5"/>
      <c r="AC508" s="79"/>
      <c r="AD508" s="77"/>
      <c r="AE508" s="79"/>
      <c r="AF508" s="79"/>
      <c r="AG508" s="9"/>
      <c r="AH508" s="79"/>
      <c r="AL508" s="11"/>
      <c r="AM508" s="12"/>
    </row>
    <row r="509" s="1" customFormat="1" spans="4:39">
      <c r="D509" s="34"/>
      <c r="E509" s="34"/>
      <c r="F509" s="86"/>
      <c r="G509" s="86"/>
      <c r="H509" s="31"/>
      <c r="I509" s="3"/>
      <c r="J509" s="106"/>
      <c r="K509" s="106"/>
      <c r="L509" s="107"/>
      <c r="M509" s="107"/>
      <c r="N509" s="101"/>
      <c r="O509" s="107"/>
      <c r="P509" s="4"/>
      <c r="V509" s="5"/>
      <c r="AC509" s="79"/>
      <c r="AD509" s="77"/>
      <c r="AE509" s="79"/>
      <c r="AF509" s="79"/>
      <c r="AG509" s="9"/>
      <c r="AH509" s="79"/>
      <c r="AL509" s="11"/>
      <c r="AM509" s="12"/>
    </row>
    <row r="510" s="1" customFormat="1" spans="4:39">
      <c r="D510" s="34"/>
      <c r="E510" s="34"/>
      <c r="F510" s="86"/>
      <c r="G510" s="86"/>
      <c r="H510" s="31"/>
      <c r="I510" s="3"/>
      <c r="J510" s="106"/>
      <c r="K510" s="106"/>
      <c r="L510" s="107"/>
      <c r="M510" s="107"/>
      <c r="N510" s="101"/>
      <c r="O510" s="107"/>
      <c r="P510" s="4"/>
      <c r="V510" s="5"/>
      <c r="AC510" s="79"/>
      <c r="AD510" s="77"/>
      <c r="AE510" s="79"/>
      <c r="AF510" s="79"/>
      <c r="AG510" s="9"/>
      <c r="AH510" s="79"/>
      <c r="AL510" s="11"/>
      <c r="AM510" s="12"/>
    </row>
    <row r="511" s="1" customFormat="1" spans="4:39">
      <c r="D511" s="34"/>
      <c r="E511" s="34"/>
      <c r="F511" s="86"/>
      <c r="G511" s="86"/>
      <c r="H511" s="31"/>
      <c r="I511" s="3"/>
      <c r="J511" s="106"/>
      <c r="K511" s="106"/>
      <c r="L511" s="107"/>
      <c r="M511" s="107"/>
      <c r="N511" s="101"/>
      <c r="O511" s="107"/>
      <c r="P511" s="4"/>
      <c r="V511" s="5"/>
      <c r="AC511" s="79"/>
      <c r="AD511" s="77"/>
      <c r="AE511" s="79"/>
      <c r="AF511" s="79"/>
      <c r="AG511" s="9"/>
      <c r="AH511" s="79"/>
      <c r="AL511" s="11"/>
      <c r="AM511" s="12"/>
    </row>
    <row r="512" s="1" customFormat="1" spans="4:39">
      <c r="D512" s="34"/>
      <c r="E512" s="34"/>
      <c r="F512" s="86"/>
      <c r="G512" s="86"/>
      <c r="H512" s="31"/>
      <c r="I512" s="3"/>
      <c r="J512" s="106"/>
      <c r="K512" s="106"/>
      <c r="L512" s="107"/>
      <c r="M512" s="107"/>
      <c r="N512" s="101"/>
      <c r="O512" s="107"/>
      <c r="P512" s="4"/>
      <c r="V512" s="5"/>
      <c r="AC512" s="79"/>
      <c r="AD512" s="77"/>
      <c r="AE512" s="79"/>
      <c r="AF512" s="79"/>
      <c r="AG512" s="9"/>
      <c r="AH512" s="79"/>
      <c r="AL512" s="11"/>
      <c r="AM512" s="12"/>
    </row>
    <row r="513" s="1" customFormat="1" spans="4:39">
      <c r="D513" s="34"/>
      <c r="E513" s="34"/>
      <c r="F513" s="86"/>
      <c r="G513" s="86"/>
      <c r="H513" s="31"/>
      <c r="I513" s="3"/>
      <c r="J513" s="106"/>
      <c r="K513" s="106"/>
      <c r="L513" s="107"/>
      <c r="M513" s="107"/>
      <c r="N513" s="101"/>
      <c r="O513" s="107"/>
      <c r="P513" s="4"/>
      <c r="V513" s="5"/>
      <c r="AC513" s="79"/>
      <c r="AD513" s="77"/>
      <c r="AE513" s="79"/>
      <c r="AF513" s="79"/>
      <c r="AG513" s="9"/>
      <c r="AH513" s="79"/>
      <c r="AL513" s="11"/>
      <c r="AM513" s="12"/>
    </row>
    <row r="514" s="1" customFormat="1" spans="4:39">
      <c r="D514" s="34"/>
      <c r="E514" s="34"/>
      <c r="F514" s="86"/>
      <c r="G514" s="86"/>
      <c r="H514" s="31"/>
      <c r="I514" s="3"/>
      <c r="J514" s="106"/>
      <c r="K514" s="106"/>
      <c r="L514" s="107"/>
      <c r="M514" s="107"/>
      <c r="N514" s="101"/>
      <c r="O514" s="107"/>
      <c r="P514" s="4"/>
      <c r="V514" s="5"/>
      <c r="AC514" s="79"/>
      <c r="AD514" s="77"/>
      <c r="AE514" s="79"/>
      <c r="AF514" s="79"/>
      <c r="AG514" s="9"/>
      <c r="AH514" s="79"/>
      <c r="AL514" s="11"/>
      <c r="AM514" s="12"/>
    </row>
    <row r="515" s="1" customFormat="1" spans="4:39">
      <c r="D515" s="34"/>
      <c r="E515" s="34"/>
      <c r="F515" s="86"/>
      <c r="G515" s="86"/>
      <c r="H515" s="31"/>
      <c r="I515" s="3"/>
      <c r="J515" s="106"/>
      <c r="K515" s="106"/>
      <c r="L515" s="107"/>
      <c r="M515" s="107"/>
      <c r="N515" s="101"/>
      <c r="O515" s="107"/>
      <c r="P515" s="4"/>
      <c r="V515" s="5"/>
      <c r="AC515" s="79"/>
      <c r="AD515" s="77"/>
      <c r="AE515" s="79"/>
      <c r="AF515" s="79"/>
      <c r="AG515" s="9"/>
      <c r="AH515" s="79"/>
      <c r="AL515" s="11"/>
      <c r="AM515" s="12"/>
    </row>
    <row r="516" s="1" customFormat="1" spans="4:39">
      <c r="D516" s="34"/>
      <c r="E516" s="34"/>
      <c r="F516" s="86"/>
      <c r="G516" s="86"/>
      <c r="H516" s="31"/>
      <c r="I516" s="3"/>
      <c r="J516" s="106"/>
      <c r="K516" s="106"/>
      <c r="L516" s="107"/>
      <c r="M516" s="107"/>
      <c r="N516" s="101"/>
      <c r="O516" s="107"/>
      <c r="P516" s="4"/>
      <c r="V516" s="5"/>
      <c r="AC516" s="79"/>
      <c r="AD516" s="77"/>
      <c r="AE516" s="79"/>
      <c r="AF516" s="79"/>
      <c r="AG516" s="9"/>
      <c r="AH516" s="79"/>
      <c r="AL516" s="11"/>
      <c r="AM516" s="12"/>
    </row>
    <row r="517" s="1" customFormat="1" spans="4:39">
      <c r="D517" s="34"/>
      <c r="E517" s="34"/>
      <c r="F517" s="86"/>
      <c r="G517" s="86"/>
      <c r="H517" s="31"/>
      <c r="I517" s="3"/>
      <c r="J517" s="106"/>
      <c r="K517" s="106"/>
      <c r="L517" s="107"/>
      <c r="M517" s="107"/>
      <c r="N517" s="101"/>
      <c r="O517" s="107"/>
      <c r="P517" s="4"/>
      <c r="V517" s="5"/>
      <c r="AC517" s="79"/>
      <c r="AD517" s="77"/>
      <c r="AE517" s="79"/>
      <c r="AF517" s="79"/>
      <c r="AG517" s="9"/>
      <c r="AH517" s="79"/>
      <c r="AL517" s="11"/>
      <c r="AM517" s="12"/>
    </row>
    <row r="518" s="1" customFormat="1" spans="4:39">
      <c r="D518" s="34"/>
      <c r="E518" s="34"/>
      <c r="F518" s="86"/>
      <c r="G518" s="86"/>
      <c r="H518" s="31"/>
      <c r="I518" s="3"/>
      <c r="J518" s="106"/>
      <c r="K518" s="106"/>
      <c r="L518" s="107"/>
      <c r="M518" s="107"/>
      <c r="N518" s="101"/>
      <c r="O518" s="107"/>
      <c r="P518" s="4"/>
      <c r="V518" s="5"/>
      <c r="AC518" s="79"/>
      <c r="AD518" s="77"/>
      <c r="AE518" s="79"/>
      <c r="AF518" s="79"/>
      <c r="AG518" s="9"/>
      <c r="AH518" s="79"/>
      <c r="AL518" s="11"/>
      <c r="AM518" s="12"/>
    </row>
    <row r="519" s="1" customFormat="1" spans="4:39">
      <c r="D519" s="34"/>
      <c r="E519" s="34"/>
      <c r="F519" s="86"/>
      <c r="G519" s="86"/>
      <c r="H519" s="31"/>
      <c r="I519" s="3"/>
      <c r="J519" s="106"/>
      <c r="K519" s="106"/>
      <c r="L519" s="107"/>
      <c r="M519" s="107"/>
      <c r="N519" s="101"/>
      <c r="O519" s="107"/>
      <c r="P519" s="4"/>
      <c r="V519" s="5"/>
      <c r="AC519" s="79"/>
      <c r="AD519" s="77"/>
      <c r="AE519" s="79"/>
      <c r="AF519" s="79"/>
      <c r="AG519" s="9"/>
      <c r="AH519" s="79"/>
      <c r="AL519" s="11"/>
      <c r="AM519" s="12"/>
    </row>
    <row r="520" s="1" customFormat="1" spans="4:39">
      <c r="D520" s="34"/>
      <c r="E520" s="34"/>
      <c r="F520" s="86"/>
      <c r="G520" s="86"/>
      <c r="H520" s="31"/>
      <c r="I520" s="3"/>
      <c r="J520" s="106"/>
      <c r="K520" s="106"/>
      <c r="L520" s="107"/>
      <c r="M520" s="107"/>
      <c r="N520" s="101"/>
      <c r="O520" s="107"/>
      <c r="P520" s="4"/>
      <c r="V520" s="5"/>
      <c r="AC520" s="79"/>
      <c r="AD520" s="77"/>
      <c r="AE520" s="79"/>
      <c r="AF520" s="79"/>
      <c r="AG520" s="9"/>
      <c r="AH520" s="79"/>
      <c r="AL520" s="11"/>
      <c r="AM520" s="12"/>
    </row>
    <row r="521" s="1" customFormat="1" spans="4:39">
      <c r="D521" s="34"/>
      <c r="E521" s="34"/>
      <c r="F521" s="86"/>
      <c r="G521" s="86"/>
      <c r="H521" s="31"/>
      <c r="I521" s="3"/>
      <c r="J521" s="106"/>
      <c r="K521" s="106"/>
      <c r="L521" s="107"/>
      <c r="M521" s="107"/>
      <c r="N521" s="101"/>
      <c r="O521" s="107"/>
      <c r="P521" s="4"/>
      <c r="V521" s="5"/>
      <c r="AC521" s="79"/>
      <c r="AD521" s="77"/>
      <c r="AE521" s="79"/>
      <c r="AF521" s="79"/>
      <c r="AG521" s="9"/>
      <c r="AH521" s="79"/>
      <c r="AL521" s="11"/>
      <c r="AM521" s="12"/>
    </row>
    <row r="522" s="1" customFormat="1" spans="4:39">
      <c r="D522" s="34"/>
      <c r="E522" s="34"/>
      <c r="F522" s="86"/>
      <c r="G522" s="86"/>
      <c r="H522" s="31"/>
      <c r="I522" s="3"/>
      <c r="J522" s="106"/>
      <c r="K522" s="106"/>
      <c r="L522" s="107"/>
      <c r="M522" s="107"/>
      <c r="N522" s="101"/>
      <c r="O522" s="107"/>
      <c r="P522" s="4"/>
      <c r="V522" s="5"/>
      <c r="AC522" s="79"/>
      <c r="AD522" s="77"/>
      <c r="AE522" s="79"/>
      <c r="AF522" s="79"/>
      <c r="AG522" s="9"/>
      <c r="AH522" s="79"/>
      <c r="AL522" s="11"/>
      <c r="AM522" s="12"/>
    </row>
    <row r="523" s="1" customFormat="1" spans="4:39">
      <c r="D523" s="34"/>
      <c r="E523" s="34"/>
      <c r="F523" s="86"/>
      <c r="G523" s="86"/>
      <c r="H523" s="31"/>
      <c r="I523" s="3"/>
      <c r="J523" s="106"/>
      <c r="K523" s="106"/>
      <c r="L523" s="107"/>
      <c r="M523" s="107"/>
      <c r="N523" s="101"/>
      <c r="O523" s="107"/>
      <c r="P523" s="4"/>
      <c r="V523" s="5"/>
      <c r="AC523" s="79"/>
      <c r="AD523" s="77"/>
      <c r="AE523" s="79"/>
      <c r="AF523" s="79"/>
      <c r="AG523" s="9"/>
      <c r="AH523" s="79"/>
      <c r="AL523" s="11"/>
      <c r="AM523" s="12"/>
    </row>
    <row r="524" s="1" customFormat="1" spans="4:39">
      <c r="D524" s="34"/>
      <c r="E524" s="34"/>
      <c r="F524" s="86"/>
      <c r="G524" s="86"/>
      <c r="H524" s="31"/>
      <c r="I524" s="3"/>
      <c r="J524" s="106"/>
      <c r="K524" s="106"/>
      <c r="L524" s="107"/>
      <c r="M524" s="107"/>
      <c r="N524" s="101"/>
      <c r="O524" s="107"/>
      <c r="P524" s="4"/>
      <c r="V524" s="5"/>
      <c r="AC524" s="79"/>
      <c r="AD524" s="77"/>
      <c r="AE524" s="79"/>
      <c r="AF524" s="79"/>
      <c r="AG524" s="9"/>
      <c r="AH524" s="79"/>
      <c r="AL524" s="11"/>
      <c r="AM524" s="12"/>
    </row>
    <row r="525" s="1" customFormat="1" spans="4:39">
      <c r="D525" s="34"/>
      <c r="E525" s="34"/>
      <c r="F525" s="86"/>
      <c r="G525" s="86"/>
      <c r="H525" s="31"/>
      <c r="I525" s="3"/>
      <c r="J525" s="106"/>
      <c r="K525" s="106"/>
      <c r="L525" s="107"/>
      <c r="M525" s="107"/>
      <c r="N525" s="101"/>
      <c r="O525" s="107"/>
      <c r="P525" s="4"/>
      <c r="V525" s="5"/>
      <c r="AC525" s="79"/>
      <c r="AD525" s="77"/>
      <c r="AE525" s="79"/>
      <c r="AF525" s="79"/>
      <c r="AG525" s="9"/>
      <c r="AH525" s="79"/>
      <c r="AL525" s="11"/>
      <c r="AM525" s="12"/>
    </row>
    <row r="526" s="1" customFormat="1" spans="4:39">
      <c r="D526" s="34"/>
      <c r="E526" s="34"/>
      <c r="F526" s="86"/>
      <c r="G526" s="86"/>
      <c r="H526" s="31"/>
      <c r="I526" s="3"/>
      <c r="J526" s="106"/>
      <c r="K526" s="106"/>
      <c r="L526" s="107"/>
      <c r="M526" s="107"/>
      <c r="N526" s="101"/>
      <c r="O526" s="107"/>
      <c r="P526" s="4"/>
      <c r="V526" s="5"/>
      <c r="AC526" s="79"/>
      <c r="AD526" s="77"/>
      <c r="AE526" s="79"/>
      <c r="AF526" s="79"/>
      <c r="AG526" s="9"/>
      <c r="AH526" s="79"/>
      <c r="AL526" s="11"/>
      <c r="AM526" s="12"/>
    </row>
    <row r="527" s="1" customFormat="1" spans="4:39">
      <c r="D527" s="34"/>
      <c r="E527" s="34"/>
      <c r="F527" s="86"/>
      <c r="G527" s="86"/>
      <c r="H527" s="31"/>
      <c r="I527" s="3"/>
      <c r="J527" s="106"/>
      <c r="K527" s="106"/>
      <c r="L527" s="107"/>
      <c r="M527" s="107"/>
      <c r="N527" s="101"/>
      <c r="O527" s="107"/>
      <c r="P527" s="4"/>
      <c r="V527" s="5"/>
      <c r="AC527" s="79"/>
      <c r="AD527" s="77"/>
      <c r="AE527" s="79"/>
      <c r="AF527" s="79"/>
      <c r="AG527" s="9"/>
      <c r="AH527" s="79"/>
      <c r="AL527" s="11"/>
      <c r="AM527" s="12"/>
    </row>
    <row r="528" s="1" customFormat="1" spans="4:39">
      <c r="D528" s="34"/>
      <c r="E528" s="34"/>
      <c r="F528" s="86"/>
      <c r="G528" s="86"/>
      <c r="H528" s="31"/>
      <c r="I528" s="3"/>
      <c r="J528" s="106"/>
      <c r="K528" s="106"/>
      <c r="L528" s="107"/>
      <c r="M528" s="107"/>
      <c r="N528" s="101"/>
      <c r="O528" s="107"/>
      <c r="P528" s="4"/>
      <c r="V528" s="5"/>
      <c r="AC528" s="79"/>
      <c r="AD528" s="77"/>
      <c r="AE528" s="79"/>
      <c r="AF528" s="79"/>
      <c r="AG528" s="9"/>
      <c r="AH528" s="79"/>
      <c r="AL528" s="11"/>
      <c r="AM528" s="12"/>
    </row>
    <row r="529" s="1" customFormat="1" spans="4:39">
      <c r="D529" s="34"/>
      <c r="E529" s="34"/>
      <c r="F529" s="86"/>
      <c r="G529" s="86"/>
      <c r="H529" s="31"/>
      <c r="I529" s="3"/>
      <c r="J529" s="106"/>
      <c r="K529" s="106"/>
      <c r="L529" s="107"/>
      <c r="M529" s="107"/>
      <c r="N529" s="101"/>
      <c r="O529" s="107"/>
      <c r="P529" s="4"/>
      <c r="V529" s="5"/>
      <c r="AC529" s="79"/>
      <c r="AD529" s="77"/>
      <c r="AE529" s="79"/>
      <c r="AF529" s="79"/>
      <c r="AG529" s="9"/>
      <c r="AH529" s="79"/>
      <c r="AL529" s="11"/>
      <c r="AM529" s="12"/>
    </row>
    <row r="530" s="1" customFormat="1" spans="4:39">
      <c r="D530" s="34"/>
      <c r="E530" s="34"/>
      <c r="F530" s="86"/>
      <c r="G530" s="86"/>
      <c r="H530" s="31"/>
      <c r="I530" s="3"/>
      <c r="J530" s="106"/>
      <c r="K530" s="106"/>
      <c r="L530" s="107"/>
      <c r="M530" s="107"/>
      <c r="N530" s="101"/>
      <c r="O530" s="107"/>
      <c r="P530" s="4"/>
      <c r="V530" s="5"/>
      <c r="AC530" s="79"/>
      <c r="AD530" s="77"/>
      <c r="AE530" s="79"/>
      <c r="AF530" s="79"/>
      <c r="AG530" s="9"/>
      <c r="AH530" s="79"/>
      <c r="AL530" s="11"/>
      <c r="AM530" s="12"/>
    </row>
    <row r="531" s="1" customFormat="1" spans="4:39">
      <c r="D531" s="34"/>
      <c r="E531" s="34"/>
      <c r="F531" s="86"/>
      <c r="G531" s="86"/>
      <c r="H531" s="31"/>
      <c r="I531" s="3"/>
      <c r="J531" s="106"/>
      <c r="K531" s="106"/>
      <c r="L531" s="107"/>
      <c r="M531" s="107"/>
      <c r="N531" s="101"/>
      <c r="O531" s="107"/>
      <c r="P531" s="4"/>
      <c r="V531" s="5"/>
      <c r="AC531" s="79"/>
      <c r="AD531" s="77"/>
      <c r="AE531" s="79"/>
      <c r="AF531" s="79"/>
      <c r="AG531" s="9"/>
      <c r="AH531" s="79"/>
      <c r="AL531" s="11"/>
      <c r="AM531" s="12"/>
    </row>
    <row r="532" s="1" customFormat="1" spans="4:39">
      <c r="D532" s="34"/>
      <c r="E532" s="34"/>
      <c r="F532" s="86"/>
      <c r="G532" s="86"/>
      <c r="H532" s="31"/>
      <c r="I532" s="3"/>
      <c r="J532" s="106"/>
      <c r="K532" s="106"/>
      <c r="L532" s="107"/>
      <c r="M532" s="107"/>
      <c r="N532" s="101"/>
      <c r="O532" s="107"/>
      <c r="P532" s="4"/>
      <c r="V532" s="5"/>
      <c r="AC532" s="79"/>
      <c r="AD532" s="77"/>
      <c r="AE532" s="79"/>
      <c r="AF532" s="79"/>
      <c r="AG532" s="9"/>
      <c r="AH532" s="79"/>
      <c r="AL532" s="11"/>
      <c r="AM532" s="12"/>
    </row>
    <row r="533" s="1" customFormat="1" spans="4:39">
      <c r="D533" s="34"/>
      <c r="E533" s="34"/>
      <c r="F533" s="86"/>
      <c r="G533" s="86"/>
      <c r="H533" s="31"/>
      <c r="I533" s="3"/>
      <c r="J533" s="106"/>
      <c r="K533" s="106"/>
      <c r="L533" s="107"/>
      <c r="M533" s="107"/>
      <c r="N533" s="101"/>
      <c r="O533" s="107"/>
      <c r="P533" s="4"/>
      <c r="V533" s="5"/>
      <c r="AC533" s="79"/>
      <c r="AD533" s="77"/>
      <c r="AE533" s="79"/>
      <c r="AF533" s="79"/>
      <c r="AG533" s="9"/>
      <c r="AH533" s="79"/>
      <c r="AL533" s="11"/>
      <c r="AM533" s="12"/>
    </row>
    <row r="534" s="1" customFormat="1" spans="4:39">
      <c r="D534" s="34"/>
      <c r="E534" s="34"/>
      <c r="F534" s="86"/>
      <c r="G534" s="86"/>
      <c r="H534" s="31"/>
      <c r="I534" s="3"/>
      <c r="J534" s="106"/>
      <c r="K534" s="106"/>
      <c r="L534" s="107"/>
      <c r="M534" s="107"/>
      <c r="N534" s="101"/>
      <c r="O534" s="107"/>
      <c r="P534" s="4"/>
      <c r="V534" s="5"/>
      <c r="AC534" s="79"/>
      <c r="AD534" s="77"/>
      <c r="AE534" s="79"/>
      <c r="AF534" s="79"/>
      <c r="AG534" s="9"/>
      <c r="AH534" s="79"/>
      <c r="AL534" s="11"/>
      <c r="AM534" s="12"/>
    </row>
    <row r="535" s="1" customFormat="1" spans="4:39">
      <c r="D535" s="34"/>
      <c r="E535" s="34"/>
      <c r="F535" s="86"/>
      <c r="G535" s="86"/>
      <c r="H535" s="31"/>
      <c r="I535" s="3"/>
      <c r="J535" s="106"/>
      <c r="K535" s="106"/>
      <c r="L535" s="107"/>
      <c r="M535" s="107"/>
      <c r="N535" s="101"/>
      <c r="O535" s="107"/>
      <c r="P535" s="4"/>
      <c r="V535" s="5"/>
      <c r="AC535" s="79"/>
      <c r="AD535" s="77"/>
      <c r="AE535" s="79"/>
      <c r="AF535" s="79"/>
      <c r="AG535" s="9"/>
      <c r="AH535" s="79"/>
      <c r="AL535" s="11"/>
      <c r="AM535" s="12"/>
    </row>
    <row r="536" s="1" customFormat="1" spans="4:39">
      <c r="D536" s="34"/>
      <c r="E536" s="34"/>
      <c r="F536" s="86"/>
      <c r="G536" s="86"/>
      <c r="H536" s="31"/>
      <c r="I536" s="3"/>
      <c r="J536" s="106"/>
      <c r="K536" s="106"/>
      <c r="L536" s="107"/>
      <c r="M536" s="107"/>
      <c r="N536" s="101"/>
      <c r="O536" s="107"/>
      <c r="P536" s="4"/>
      <c r="V536" s="5"/>
      <c r="AC536" s="79"/>
      <c r="AD536" s="77"/>
      <c r="AE536" s="79"/>
      <c r="AF536" s="79"/>
      <c r="AG536" s="9"/>
      <c r="AH536" s="79"/>
      <c r="AL536" s="11"/>
      <c r="AM536" s="12"/>
    </row>
    <row r="537" s="1" customFormat="1" spans="4:39">
      <c r="D537" s="34"/>
      <c r="E537" s="34"/>
      <c r="F537" s="86"/>
      <c r="G537" s="86"/>
      <c r="H537" s="31"/>
      <c r="I537" s="3"/>
      <c r="J537" s="106"/>
      <c r="K537" s="106"/>
      <c r="L537" s="107"/>
      <c r="M537" s="107"/>
      <c r="N537" s="101"/>
      <c r="O537" s="107"/>
      <c r="P537" s="4"/>
      <c r="V537" s="5"/>
      <c r="AC537" s="79"/>
      <c r="AD537" s="77"/>
      <c r="AE537" s="79"/>
      <c r="AF537" s="79"/>
      <c r="AG537" s="9"/>
      <c r="AH537" s="79"/>
      <c r="AL537" s="11"/>
      <c r="AM537" s="12"/>
    </row>
    <row r="538" s="1" customFormat="1" spans="4:39">
      <c r="D538" s="34"/>
      <c r="E538" s="34"/>
      <c r="F538" s="86"/>
      <c r="G538" s="86"/>
      <c r="H538" s="31"/>
      <c r="I538" s="3"/>
      <c r="J538" s="106"/>
      <c r="K538" s="106"/>
      <c r="L538" s="107"/>
      <c r="M538" s="107"/>
      <c r="N538" s="101"/>
      <c r="O538" s="107"/>
      <c r="P538" s="4"/>
      <c r="V538" s="5"/>
      <c r="AC538" s="79"/>
      <c r="AD538" s="77"/>
      <c r="AE538" s="79"/>
      <c r="AF538" s="79"/>
      <c r="AG538" s="9"/>
      <c r="AH538" s="79"/>
      <c r="AL538" s="11"/>
      <c r="AM538" s="12"/>
    </row>
    <row r="539" s="1" customFormat="1" spans="4:39">
      <c r="D539" s="34"/>
      <c r="E539" s="34"/>
      <c r="F539" s="86"/>
      <c r="G539" s="86"/>
      <c r="H539" s="31"/>
      <c r="I539" s="3"/>
      <c r="J539" s="106"/>
      <c r="K539" s="106"/>
      <c r="L539" s="107"/>
      <c r="M539" s="107"/>
      <c r="N539" s="101"/>
      <c r="O539" s="107"/>
      <c r="P539" s="4"/>
      <c r="V539" s="5"/>
      <c r="AC539" s="79"/>
      <c r="AD539" s="77"/>
      <c r="AE539" s="79"/>
      <c r="AF539" s="79"/>
      <c r="AG539" s="9"/>
      <c r="AH539" s="79"/>
      <c r="AL539" s="11"/>
      <c r="AM539" s="12"/>
    </row>
    <row r="540" s="1" customFormat="1" spans="4:39">
      <c r="D540" s="34"/>
      <c r="E540" s="34"/>
      <c r="F540" s="86"/>
      <c r="G540" s="86"/>
      <c r="H540" s="31"/>
      <c r="I540" s="3"/>
      <c r="J540" s="106"/>
      <c r="K540" s="106"/>
      <c r="L540" s="107"/>
      <c r="M540" s="107"/>
      <c r="N540" s="101"/>
      <c r="O540" s="107"/>
      <c r="P540" s="4"/>
      <c r="V540" s="5"/>
      <c r="AC540" s="79"/>
      <c r="AD540" s="77"/>
      <c r="AE540" s="79"/>
      <c r="AF540" s="79"/>
      <c r="AG540" s="9"/>
      <c r="AH540" s="79"/>
      <c r="AL540" s="11"/>
      <c r="AM540" s="12"/>
    </row>
    <row r="541" s="1" customFormat="1" spans="4:39">
      <c r="D541" s="34"/>
      <c r="E541" s="34"/>
      <c r="F541" s="86"/>
      <c r="G541" s="86"/>
      <c r="H541" s="31"/>
      <c r="I541" s="3"/>
      <c r="J541" s="106"/>
      <c r="K541" s="106"/>
      <c r="L541" s="107"/>
      <c r="M541" s="107"/>
      <c r="N541" s="101"/>
      <c r="O541" s="107"/>
      <c r="P541" s="4"/>
      <c r="V541" s="5"/>
      <c r="AC541" s="79"/>
      <c r="AD541" s="77"/>
      <c r="AE541" s="79"/>
      <c r="AF541" s="79"/>
      <c r="AG541" s="9"/>
      <c r="AH541" s="79"/>
      <c r="AL541" s="11"/>
      <c r="AM541" s="12"/>
    </row>
    <row r="542" s="1" customFormat="1" spans="4:39">
      <c r="D542" s="34"/>
      <c r="E542" s="34"/>
      <c r="F542" s="86"/>
      <c r="G542" s="86"/>
      <c r="H542" s="31"/>
      <c r="I542" s="3"/>
      <c r="J542" s="106"/>
      <c r="K542" s="106"/>
      <c r="L542" s="107"/>
      <c r="M542" s="107"/>
      <c r="N542" s="101"/>
      <c r="O542" s="107"/>
      <c r="P542" s="4"/>
      <c r="V542" s="5"/>
      <c r="AC542" s="79"/>
      <c r="AD542" s="77"/>
      <c r="AE542" s="79"/>
      <c r="AF542" s="79"/>
      <c r="AG542" s="9"/>
      <c r="AH542" s="79"/>
      <c r="AL542" s="11"/>
      <c r="AM542" s="12"/>
    </row>
    <row r="543" s="1" customFormat="1" spans="4:39">
      <c r="D543" s="34"/>
      <c r="E543" s="34"/>
      <c r="F543" s="86"/>
      <c r="G543" s="86"/>
      <c r="H543" s="31"/>
      <c r="I543" s="3"/>
      <c r="J543" s="106"/>
      <c r="K543" s="106"/>
      <c r="L543" s="107"/>
      <c r="M543" s="107"/>
      <c r="N543" s="101"/>
      <c r="O543" s="107"/>
      <c r="P543" s="4"/>
      <c r="V543" s="5"/>
      <c r="AC543" s="79"/>
      <c r="AD543" s="77"/>
      <c r="AE543" s="79"/>
      <c r="AF543" s="79"/>
      <c r="AG543" s="9"/>
      <c r="AH543" s="79"/>
      <c r="AL543" s="11"/>
      <c r="AM543" s="12"/>
    </row>
    <row r="544" s="1" customFormat="1" spans="4:39">
      <c r="D544" s="34"/>
      <c r="E544" s="34"/>
      <c r="F544" s="86"/>
      <c r="G544" s="86"/>
      <c r="H544" s="31"/>
      <c r="I544" s="3"/>
      <c r="J544" s="106"/>
      <c r="K544" s="106"/>
      <c r="L544" s="107"/>
      <c r="M544" s="107"/>
      <c r="N544" s="101"/>
      <c r="O544" s="107"/>
      <c r="P544" s="4"/>
      <c r="V544" s="5"/>
      <c r="AC544" s="79"/>
      <c r="AD544" s="77"/>
      <c r="AE544" s="79"/>
      <c r="AF544" s="79"/>
      <c r="AG544" s="9"/>
      <c r="AH544" s="79"/>
      <c r="AL544" s="11"/>
      <c r="AM544" s="12"/>
    </row>
    <row r="545" s="1" customFormat="1" spans="4:39">
      <c r="D545" s="34"/>
      <c r="E545" s="34"/>
      <c r="F545" s="86"/>
      <c r="G545" s="86"/>
      <c r="H545" s="31"/>
      <c r="I545" s="3"/>
      <c r="J545" s="106"/>
      <c r="K545" s="106"/>
      <c r="L545" s="107"/>
      <c r="M545" s="107"/>
      <c r="N545" s="101"/>
      <c r="O545" s="107"/>
      <c r="P545" s="4"/>
      <c r="V545" s="5"/>
      <c r="AC545" s="79"/>
      <c r="AD545" s="77"/>
      <c r="AE545" s="79"/>
      <c r="AF545" s="79"/>
      <c r="AG545" s="9"/>
      <c r="AH545" s="79"/>
      <c r="AL545" s="11"/>
      <c r="AM545" s="12"/>
    </row>
    <row r="546" s="1" customFormat="1" spans="4:39">
      <c r="D546" s="34"/>
      <c r="E546" s="34"/>
      <c r="F546" s="86"/>
      <c r="G546" s="86"/>
      <c r="H546" s="31"/>
      <c r="I546" s="3"/>
      <c r="J546" s="106"/>
      <c r="K546" s="106"/>
      <c r="L546" s="107"/>
      <c r="M546" s="107"/>
      <c r="N546" s="101"/>
      <c r="O546" s="107"/>
      <c r="P546" s="4"/>
      <c r="V546" s="5"/>
      <c r="AC546" s="79"/>
      <c r="AD546" s="77"/>
      <c r="AE546" s="79"/>
      <c r="AF546" s="79"/>
      <c r="AG546" s="9"/>
      <c r="AH546" s="79"/>
      <c r="AL546" s="11"/>
      <c r="AM546" s="12"/>
    </row>
    <row r="547" s="1" customFormat="1" spans="4:39">
      <c r="D547" s="34"/>
      <c r="E547" s="34"/>
      <c r="F547" s="86"/>
      <c r="G547" s="86"/>
      <c r="H547" s="31"/>
      <c r="I547" s="3"/>
      <c r="J547" s="106"/>
      <c r="K547" s="106"/>
      <c r="L547" s="107"/>
      <c r="M547" s="107"/>
      <c r="N547" s="101"/>
      <c r="O547" s="107"/>
      <c r="P547" s="4"/>
      <c r="V547" s="5"/>
      <c r="AC547" s="79"/>
      <c r="AD547" s="77"/>
      <c r="AE547" s="79"/>
      <c r="AF547" s="79"/>
      <c r="AG547" s="9"/>
      <c r="AH547" s="79"/>
      <c r="AL547" s="11"/>
      <c r="AM547" s="12"/>
    </row>
    <row r="548" s="1" customFormat="1" spans="4:39">
      <c r="D548" s="34"/>
      <c r="E548" s="34"/>
      <c r="F548" s="86"/>
      <c r="G548" s="86"/>
      <c r="H548" s="31"/>
      <c r="I548" s="3"/>
      <c r="J548" s="106"/>
      <c r="K548" s="106"/>
      <c r="L548" s="107"/>
      <c r="M548" s="107"/>
      <c r="N548" s="101"/>
      <c r="O548" s="107"/>
      <c r="P548" s="4"/>
      <c r="V548" s="5"/>
      <c r="AC548" s="79"/>
      <c r="AD548" s="77"/>
      <c r="AE548" s="79"/>
      <c r="AF548" s="79"/>
      <c r="AG548" s="9"/>
      <c r="AH548" s="79"/>
      <c r="AL548" s="11"/>
      <c r="AM548" s="12"/>
    </row>
    <row r="549" s="1" customFormat="1" spans="4:39">
      <c r="D549" s="34"/>
      <c r="E549" s="34"/>
      <c r="F549" s="86"/>
      <c r="G549" s="86"/>
      <c r="H549" s="31"/>
      <c r="I549" s="3"/>
      <c r="J549" s="106"/>
      <c r="K549" s="106"/>
      <c r="L549" s="107"/>
      <c r="M549" s="107"/>
      <c r="N549" s="101"/>
      <c r="O549" s="107"/>
      <c r="P549" s="4"/>
      <c r="V549" s="5"/>
      <c r="AC549" s="79"/>
      <c r="AD549" s="77"/>
      <c r="AE549" s="79"/>
      <c r="AF549" s="79"/>
      <c r="AG549" s="9"/>
      <c r="AH549" s="79"/>
      <c r="AL549" s="11"/>
      <c r="AM549" s="12"/>
    </row>
    <row r="550" s="1" customFormat="1" spans="4:39">
      <c r="D550" s="34"/>
      <c r="E550" s="34"/>
      <c r="F550" s="86"/>
      <c r="G550" s="86"/>
      <c r="H550" s="31"/>
      <c r="I550" s="3"/>
      <c r="J550" s="106"/>
      <c r="K550" s="106"/>
      <c r="L550" s="107"/>
      <c r="M550" s="107"/>
      <c r="N550" s="101"/>
      <c r="O550" s="107"/>
      <c r="P550" s="4"/>
      <c r="V550" s="5"/>
      <c r="AC550" s="79"/>
      <c r="AD550" s="77"/>
      <c r="AE550" s="79"/>
      <c r="AF550" s="79"/>
      <c r="AG550" s="9"/>
      <c r="AH550" s="79"/>
      <c r="AL550" s="11"/>
      <c r="AM550" s="12"/>
    </row>
    <row r="551" s="1" customFormat="1" spans="4:39">
      <c r="D551" s="34"/>
      <c r="E551" s="34"/>
      <c r="F551" s="86"/>
      <c r="G551" s="86"/>
      <c r="H551" s="31"/>
      <c r="I551" s="3"/>
      <c r="J551" s="106"/>
      <c r="K551" s="106"/>
      <c r="L551" s="107"/>
      <c r="M551" s="107"/>
      <c r="N551" s="101"/>
      <c r="O551" s="107"/>
      <c r="P551" s="4"/>
      <c r="V551" s="5"/>
      <c r="AC551" s="79"/>
      <c r="AD551" s="77"/>
      <c r="AE551" s="79"/>
      <c r="AF551" s="79"/>
      <c r="AG551" s="9"/>
      <c r="AH551" s="79"/>
      <c r="AL551" s="11"/>
      <c r="AM551" s="12"/>
    </row>
    <row r="552" s="1" customFormat="1" spans="4:39">
      <c r="D552" s="34"/>
      <c r="E552" s="34"/>
      <c r="F552" s="86"/>
      <c r="G552" s="86"/>
      <c r="H552" s="31"/>
      <c r="I552" s="3"/>
      <c r="J552" s="106"/>
      <c r="K552" s="106"/>
      <c r="L552" s="107"/>
      <c r="M552" s="107"/>
      <c r="N552" s="101"/>
      <c r="O552" s="107"/>
      <c r="P552" s="4"/>
      <c r="V552" s="5"/>
      <c r="AC552" s="79"/>
      <c r="AD552" s="77"/>
      <c r="AE552" s="79"/>
      <c r="AF552" s="79"/>
      <c r="AG552" s="9"/>
      <c r="AH552" s="79"/>
      <c r="AL552" s="11"/>
      <c r="AM552" s="12"/>
    </row>
    <row r="553" s="1" customFormat="1" spans="4:39">
      <c r="D553" s="34"/>
      <c r="E553" s="34"/>
      <c r="F553" s="86"/>
      <c r="G553" s="86"/>
      <c r="H553" s="31"/>
      <c r="I553" s="3"/>
      <c r="J553" s="106"/>
      <c r="K553" s="106"/>
      <c r="L553" s="107"/>
      <c r="M553" s="107"/>
      <c r="N553" s="101"/>
      <c r="O553" s="107"/>
      <c r="P553" s="4"/>
      <c r="V553" s="5"/>
      <c r="AC553" s="79"/>
      <c r="AD553" s="77"/>
      <c r="AE553" s="79"/>
      <c r="AF553" s="79"/>
      <c r="AG553" s="9"/>
      <c r="AH553" s="79"/>
      <c r="AL553" s="11"/>
      <c r="AM553" s="12"/>
    </row>
    <row r="554" s="1" customFormat="1" spans="4:39">
      <c r="D554" s="34"/>
      <c r="E554" s="34"/>
      <c r="F554" s="86"/>
      <c r="G554" s="86"/>
      <c r="H554" s="31"/>
      <c r="I554" s="3"/>
      <c r="J554" s="106"/>
      <c r="K554" s="106"/>
      <c r="L554" s="107"/>
      <c r="M554" s="107"/>
      <c r="N554" s="101"/>
      <c r="O554" s="107"/>
      <c r="P554" s="4"/>
      <c r="V554" s="5"/>
      <c r="AC554" s="79"/>
      <c r="AD554" s="77"/>
      <c r="AE554" s="79"/>
      <c r="AF554" s="79"/>
      <c r="AG554" s="9"/>
      <c r="AH554" s="79"/>
      <c r="AL554" s="11"/>
      <c r="AM554" s="12"/>
    </row>
    <row r="555" s="1" customFormat="1" spans="4:39">
      <c r="D555" s="34"/>
      <c r="E555" s="34"/>
      <c r="F555" s="86"/>
      <c r="G555" s="86"/>
      <c r="H555" s="31"/>
      <c r="I555" s="3"/>
      <c r="J555" s="106"/>
      <c r="K555" s="106"/>
      <c r="L555" s="107"/>
      <c r="M555" s="107"/>
      <c r="N555" s="101"/>
      <c r="O555" s="107"/>
      <c r="P555" s="4"/>
      <c r="V555" s="5"/>
      <c r="AC555" s="79"/>
      <c r="AD555" s="77"/>
      <c r="AE555" s="79"/>
      <c r="AF555" s="79"/>
      <c r="AG555" s="9"/>
      <c r="AH555" s="79"/>
      <c r="AL555" s="11"/>
      <c r="AM555" s="12"/>
    </row>
    <row r="556" s="1" customFormat="1" spans="4:39">
      <c r="D556" s="34"/>
      <c r="E556" s="34"/>
      <c r="F556" s="86"/>
      <c r="G556" s="86"/>
      <c r="H556" s="31"/>
      <c r="I556" s="3"/>
      <c r="J556" s="106"/>
      <c r="K556" s="106"/>
      <c r="L556" s="107"/>
      <c r="M556" s="107"/>
      <c r="N556" s="101"/>
      <c r="O556" s="107"/>
      <c r="P556" s="4"/>
      <c r="V556" s="5"/>
      <c r="AC556" s="79"/>
      <c r="AD556" s="77"/>
      <c r="AE556" s="79"/>
      <c r="AF556" s="79"/>
      <c r="AG556" s="9"/>
      <c r="AH556" s="79"/>
      <c r="AL556" s="11"/>
      <c r="AM556" s="12"/>
    </row>
    <row r="557" s="1" customFormat="1" spans="4:39">
      <c r="D557" s="34"/>
      <c r="E557" s="34"/>
      <c r="F557" s="86"/>
      <c r="G557" s="86"/>
      <c r="H557" s="31"/>
      <c r="I557" s="3"/>
      <c r="J557" s="106"/>
      <c r="K557" s="106"/>
      <c r="L557" s="107"/>
      <c r="M557" s="107"/>
      <c r="N557" s="101"/>
      <c r="O557" s="107"/>
      <c r="P557" s="4"/>
      <c r="V557" s="5"/>
      <c r="AC557" s="79"/>
      <c r="AD557" s="77"/>
      <c r="AE557" s="79"/>
      <c r="AF557" s="79"/>
      <c r="AG557" s="9"/>
      <c r="AH557" s="79"/>
      <c r="AL557" s="11"/>
      <c r="AM557" s="12"/>
    </row>
    <row r="558" s="1" customFormat="1" spans="4:39">
      <c r="D558" s="34"/>
      <c r="E558" s="34"/>
      <c r="F558" s="86"/>
      <c r="G558" s="86"/>
      <c r="H558" s="31"/>
      <c r="I558" s="3"/>
      <c r="J558" s="106"/>
      <c r="K558" s="106"/>
      <c r="L558" s="107"/>
      <c r="M558" s="107"/>
      <c r="N558" s="101"/>
      <c r="O558" s="107"/>
      <c r="P558" s="4"/>
      <c r="V558" s="5"/>
      <c r="AC558" s="79"/>
      <c r="AD558" s="77"/>
      <c r="AE558" s="79"/>
      <c r="AF558" s="79"/>
      <c r="AG558" s="9"/>
      <c r="AH558" s="79"/>
      <c r="AL558" s="11"/>
      <c r="AM558" s="12"/>
    </row>
    <row r="559" s="1" customFormat="1" spans="4:39">
      <c r="D559" s="34"/>
      <c r="E559" s="34"/>
      <c r="F559" s="86"/>
      <c r="G559" s="86"/>
      <c r="H559" s="31"/>
      <c r="I559" s="3"/>
      <c r="J559" s="106"/>
      <c r="K559" s="106"/>
      <c r="L559" s="107"/>
      <c r="M559" s="107"/>
      <c r="N559" s="101"/>
      <c r="O559" s="107"/>
      <c r="P559" s="4"/>
      <c r="V559" s="5"/>
      <c r="AC559" s="79"/>
      <c r="AD559" s="77"/>
      <c r="AE559" s="79"/>
      <c r="AF559" s="79"/>
      <c r="AG559" s="9"/>
      <c r="AH559" s="79"/>
      <c r="AL559" s="11"/>
      <c r="AM559" s="12"/>
    </row>
    <row r="560" s="1" customFormat="1" spans="4:39">
      <c r="D560" s="34"/>
      <c r="E560" s="34"/>
      <c r="F560" s="86"/>
      <c r="G560" s="86"/>
      <c r="H560" s="31"/>
      <c r="I560" s="3"/>
      <c r="J560" s="106"/>
      <c r="K560" s="106"/>
      <c r="L560" s="107"/>
      <c r="M560" s="107"/>
      <c r="N560" s="101"/>
      <c r="O560" s="107"/>
      <c r="P560" s="4"/>
      <c r="V560" s="5"/>
      <c r="AC560" s="79"/>
      <c r="AD560" s="77"/>
      <c r="AE560" s="79"/>
      <c r="AF560" s="79"/>
      <c r="AG560" s="9"/>
      <c r="AH560" s="79"/>
      <c r="AL560" s="11"/>
      <c r="AM560" s="12"/>
    </row>
    <row r="561" s="1" customFormat="1" spans="4:39">
      <c r="D561" s="34"/>
      <c r="E561" s="34"/>
      <c r="F561" s="86"/>
      <c r="G561" s="86"/>
      <c r="H561" s="31"/>
      <c r="I561" s="3"/>
      <c r="J561" s="106"/>
      <c r="K561" s="106"/>
      <c r="L561" s="107"/>
      <c r="M561" s="107"/>
      <c r="N561" s="101"/>
      <c r="O561" s="107"/>
      <c r="P561" s="4"/>
      <c r="V561" s="5"/>
      <c r="AC561" s="79"/>
      <c r="AD561" s="77"/>
      <c r="AE561" s="79"/>
      <c r="AF561" s="79"/>
      <c r="AG561" s="9"/>
      <c r="AH561" s="79"/>
      <c r="AL561" s="11"/>
      <c r="AM561" s="12"/>
    </row>
    <row r="562" s="1" customFormat="1" spans="4:39">
      <c r="D562" s="34"/>
      <c r="E562" s="34"/>
      <c r="F562" s="86"/>
      <c r="G562" s="86"/>
      <c r="H562" s="31"/>
      <c r="I562" s="3"/>
      <c r="J562" s="106"/>
      <c r="K562" s="106"/>
      <c r="L562" s="107"/>
      <c r="M562" s="107"/>
      <c r="N562" s="101"/>
      <c r="O562" s="107"/>
      <c r="P562" s="4"/>
      <c r="V562" s="5"/>
      <c r="AC562" s="79"/>
      <c r="AD562" s="77"/>
      <c r="AE562" s="79"/>
      <c r="AF562" s="79"/>
      <c r="AG562" s="9"/>
      <c r="AH562" s="79"/>
      <c r="AL562" s="11"/>
      <c r="AM562" s="12"/>
    </row>
    <row r="563" s="1" customFormat="1" spans="4:39">
      <c r="D563" s="34"/>
      <c r="E563" s="34"/>
      <c r="F563" s="86"/>
      <c r="G563" s="86"/>
      <c r="H563" s="31"/>
      <c r="I563" s="3"/>
      <c r="J563" s="106"/>
      <c r="K563" s="106"/>
      <c r="L563" s="107"/>
      <c r="M563" s="107"/>
      <c r="N563" s="101"/>
      <c r="O563" s="107"/>
      <c r="P563" s="4"/>
      <c r="V563" s="5"/>
      <c r="AC563" s="79"/>
      <c r="AD563" s="77"/>
      <c r="AE563" s="79"/>
      <c r="AF563" s="79"/>
      <c r="AG563" s="9"/>
      <c r="AH563" s="79"/>
      <c r="AL563" s="11"/>
      <c r="AM563" s="12"/>
    </row>
    <row r="564" s="1" customFormat="1" spans="4:39">
      <c r="D564" s="34"/>
      <c r="E564" s="34"/>
      <c r="F564" s="86"/>
      <c r="G564" s="86"/>
      <c r="H564" s="31"/>
      <c r="I564" s="3"/>
      <c r="J564" s="106"/>
      <c r="K564" s="106"/>
      <c r="L564" s="107"/>
      <c r="M564" s="107"/>
      <c r="N564" s="101"/>
      <c r="O564" s="107"/>
      <c r="P564" s="4"/>
      <c r="V564" s="5"/>
      <c r="AC564" s="79"/>
      <c r="AD564" s="77"/>
      <c r="AE564" s="79"/>
      <c r="AF564" s="79"/>
      <c r="AG564" s="9"/>
      <c r="AH564" s="79"/>
      <c r="AL564" s="11"/>
      <c r="AM564" s="12"/>
    </row>
    <row r="565" s="1" customFormat="1" spans="4:39">
      <c r="D565" s="34"/>
      <c r="E565" s="34"/>
      <c r="F565" s="86"/>
      <c r="G565" s="86"/>
      <c r="H565" s="31"/>
      <c r="I565" s="3"/>
      <c r="J565" s="106"/>
      <c r="K565" s="106"/>
      <c r="L565" s="107"/>
      <c r="M565" s="107"/>
      <c r="N565" s="101"/>
      <c r="O565" s="107"/>
      <c r="P565" s="4"/>
      <c r="V565" s="5"/>
      <c r="AC565" s="79"/>
      <c r="AD565" s="77"/>
      <c r="AE565" s="79"/>
      <c r="AF565" s="79"/>
      <c r="AG565" s="9"/>
      <c r="AH565" s="79"/>
      <c r="AL565" s="11"/>
      <c r="AM565" s="12"/>
    </row>
    <row r="566" s="1" customFormat="1" spans="4:39">
      <c r="D566" s="34"/>
      <c r="E566" s="34"/>
      <c r="F566" s="86"/>
      <c r="G566" s="86"/>
      <c r="H566" s="31"/>
      <c r="I566" s="3"/>
      <c r="J566" s="106"/>
      <c r="K566" s="106"/>
      <c r="L566" s="107"/>
      <c r="M566" s="107"/>
      <c r="N566" s="101"/>
      <c r="O566" s="107"/>
      <c r="P566" s="4"/>
      <c r="V566" s="5"/>
      <c r="AC566" s="79"/>
      <c r="AD566" s="77"/>
      <c r="AE566" s="79"/>
      <c r="AF566" s="79"/>
      <c r="AG566" s="9"/>
      <c r="AH566" s="79"/>
      <c r="AL566" s="11"/>
      <c r="AM566" s="12"/>
    </row>
    <row r="567" s="1" customFormat="1" spans="4:39">
      <c r="D567" s="34"/>
      <c r="E567" s="34"/>
      <c r="F567" s="86"/>
      <c r="G567" s="86"/>
      <c r="H567" s="31"/>
      <c r="I567" s="3"/>
      <c r="J567" s="106"/>
      <c r="K567" s="106"/>
      <c r="L567" s="107"/>
      <c r="M567" s="107"/>
      <c r="N567" s="101"/>
      <c r="O567" s="107"/>
      <c r="P567" s="4"/>
      <c r="V567" s="5"/>
      <c r="AC567" s="79"/>
      <c r="AD567" s="77"/>
      <c r="AE567" s="79"/>
      <c r="AF567" s="79"/>
      <c r="AG567" s="9"/>
      <c r="AH567" s="79"/>
      <c r="AL567" s="11"/>
      <c r="AM567" s="12"/>
    </row>
    <row r="568" s="1" customFormat="1" spans="4:39">
      <c r="D568" s="34"/>
      <c r="E568" s="34"/>
      <c r="F568" s="86"/>
      <c r="G568" s="86"/>
      <c r="H568" s="31"/>
      <c r="I568" s="3"/>
      <c r="J568" s="106"/>
      <c r="K568" s="106"/>
      <c r="L568" s="107"/>
      <c r="M568" s="107"/>
      <c r="N568" s="101"/>
      <c r="O568" s="107"/>
      <c r="P568" s="4"/>
      <c r="V568" s="5"/>
      <c r="AC568" s="79"/>
      <c r="AD568" s="77"/>
      <c r="AE568" s="79"/>
      <c r="AF568" s="79"/>
      <c r="AG568" s="9"/>
      <c r="AH568" s="79"/>
      <c r="AL568" s="11"/>
      <c r="AM568" s="12"/>
    </row>
    <row r="569" s="1" customFormat="1" spans="4:39">
      <c r="D569" s="34"/>
      <c r="E569" s="34"/>
      <c r="F569" s="86"/>
      <c r="G569" s="86"/>
      <c r="H569" s="31"/>
      <c r="I569" s="3"/>
      <c r="J569" s="106"/>
      <c r="K569" s="106"/>
      <c r="L569" s="107"/>
      <c r="M569" s="107"/>
      <c r="N569" s="101"/>
      <c r="O569" s="107"/>
      <c r="P569" s="4"/>
      <c r="V569" s="5"/>
      <c r="AC569" s="79"/>
      <c r="AD569" s="77"/>
      <c r="AE569" s="79"/>
      <c r="AF569" s="79"/>
      <c r="AG569" s="9"/>
      <c r="AH569" s="79"/>
      <c r="AL569" s="11"/>
      <c r="AM569" s="12"/>
    </row>
    <row r="570" s="1" customFormat="1" spans="4:39">
      <c r="D570" s="34"/>
      <c r="E570" s="34"/>
      <c r="F570" s="86"/>
      <c r="G570" s="86"/>
      <c r="H570" s="31"/>
      <c r="I570" s="3"/>
      <c r="J570" s="106"/>
      <c r="K570" s="106"/>
      <c r="L570" s="107"/>
      <c r="M570" s="107"/>
      <c r="N570" s="101"/>
      <c r="O570" s="107"/>
      <c r="P570" s="4"/>
      <c r="V570" s="5"/>
      <c r="AC570" s="79"/>
      <c r="AD570" s="77"/>
      <c r="AE570" s="79"/>
      <c r="AF570" s="79"/>
      <c r="AG570" s="9"/>
      <c r="AH570" s="79"/>
      <c r="AL570" s="11"/>
      <c r="AM570" s="12"/>
    </row>
    <row r="571" s="1" customFormat="1" spans="4:39">
      <c r="D571" s="34"/>
      <c r="E571" s="34"/>
      <c r="F571" s="86"/>
      <c r="G571" s="86"/>
      <c r="H571" s="31"/>
      <c r="I571" s="3"/>
      <c r="J571" s="106"/>
      <c r="K571" s="106"/>
      <c r="L571" s="107"/>
      <c r="M571" s="107"/>
      <c r="N571" s="101"/>
      <c r="O571" s="107"/>
      <c r="P571" s="4"/>
      <c r="V571" s="5"/>
      <c r="AC571" s="79"/>
      <c r="AD571" s="77"/>
      <c r="AE571" s="79"/>
      <c r="AF571" s="79"/>
      <c r="AG571" s="9"/>
      <c r="AH571" s="79"/>
      <c r="AL571" s="11"/>
      <c r="AM571" s="12"/>
    </row>
    <row r="572" s="1" customFormat="1" spans="4:39">
      <c r="D572" s="34"/>
      <c r="E572" s="34"/>
      <c r="F572" s="86"/>
      <c r="G572" s="86"/>
      <c r="H572" s="31"/>
      <c r="I572" s="3"/>
      <c r="J572" s="106"/>
      <c r="K572" s="106"/>
      <c r="L572" s="107"/>
      <c r="M572" s="107"/>
      <c r="N572" s="101"/>
      <c r="O572" s="107"/>
      <c r="P572" s="4"/>
      <c r="V572" s="5"/>
      <c r="AC572" s="79"/>
      <c r="AD572" s="77"/>
      <c r="AE572" s="79"/>
      <c r="AF572" s="79"/>
      <c r="AG572" s="9"/>
      <c r="AH572" s="79"/>
      <c r="AL572" s="11"/>
      <c r="AM572" s="12"/>
    </row>
    <row r="573" s="1" customFormat="1" spans="4:39">
      <c r="D573" s="34"/>
      <c r="E573" s="34"/>
      <c r="F573" s="86"/>
      <c r="G573" s="86"/>
      <c r="H573" s="31"/>
      <c r="I573" s="3"/>
      <c r="J573" s="106"/>
      <c r="K573" s="106"/>
      <c r="L573" s="107"/>
      <c r="M573" s="107"/>
      <c r="N573" s="101"/>
      <c r="O573" s="107"/>
      <c r="P573" s="4"/>
      <c r="V573" s="5"/>
      <c r="AC573" s="79"/>
      <c r="AD573" s="77"/>
      <c r="AE573" s="79"/>
      <c r="AF573" s="79"/>
      <c r="AG573" s="9"/>
      <c r="AH573" s="79"/>
      <c r="AL573" s="11"/>
      <c r="AM573" s="12"/>
    </row>
    <row r="574" s="1" customFormat="1" spans="4:39">
      <c r="D574" s="34"/>
      <c r="E574" s="34"/>
      <c r="F574" s="86"/>
      <c r="G574" s="86"/>
      <c r="H574" s="31"/>
      <c r="I574" s="3"/>
      <c r="J574" s="106"/>
      <c r="K574" s="106"/>
      <c r="L574" s="107"/>
      <c r="M574" s="107"/>
      <c r="N574" s="101"/>
      <c r="O574" s="107"/>
      <c r="P574" s="4"/>
      <c r="V574" s="5"/>
      <c r="AC574" s="79"/>
      <c r="AD574" s="77"/>
      <c r="AE574" s="79"/>
      <c r="AF574" s="79"/>
      <c r="AG574" s="9"/>
      <c r="AH574" s="79"/>
      <c r="AL574" s="11"/>
      <c r="AM574" s="12"/>
    </row>
    <row r="575" s="1" customFormat="1" spans="4:39">
      <c r="D575" s="34"/>
      <c r="E575" s="34"/>
      <c r="F575" s="86"/>
      <c r="G575" s="86"/>
      <c r="H575" s="31"/>
      <c r="I575" s="3"/>
      <c r="J575" s="106"/>
      <c r="K575" s="106"/>
      <c r="L575" s="107"/>
      <c r="M575" s="107"/>
      <c r="N575" s="101"/>
      <c r="O575" s="107"/>
      <c r="P575" s="4"/>
      <c r="V575" s="5"/>
      <c r="AC575" s="79"/>
      <c r="AD575" s="77"/>
      <c r="AE575" s="79"/>
      <c r="AF575" s="79"/>
      <c r="AG575" s="9"/>
      <c r="AH575" s="79"/>
      <c r="AL575" s="11"/>
      <c r="AM575" s="12"/>
    </row>
    <row r="576" s="1" customFormat="1" spans="4:39">
      <c r="D576" s="34"/>
      <c r="E576" s="34"/>
      <c r="F576" s="86"/>
      <c r="G576" s="86"/>
      <c r="H576" s="31"/>
      <c r="I576" s="3"/>
      <c r="J576" s="106"/>
      <c r="K576" s="106"/>
      <c r="L576" s="107"/>
      <c r="M576" s="107"/>
      <c r="N576" s="101"/>
      <c r="O576" s="107"/>
      <c r="P576" s="4"/>
      <c r="V576" s="5"/>
      <c r="AC576" s="79"/>
      <c r="AD576" s="77"/>
      <c r="AE576" s="79"/>
      <c r="AF576" s="79"/>
      <c r="AG576" s="9"/>
      <c r="AH576" s="79"/>
      <c r="AL576" s="11"/>
      <c r="AM576" s="12"/>
    </row>
    <row r="577" s="1" customFormat="1" spans="4:39">
      <c r="D577" s="34"/>
      <c r="E577" s="34"/>
      <c r="F577" s="86"/>
      <c r="G577" s="86"/>
      <c r="H577" s="31"/>
      <c r="I577" s="3"/>
      <c r="J577" s="106"/>
      <c r="K577" s="106"/>
      <c r="L577" s="107"/>
      <c r="M577" s="107"/>
      <c r="N577" s="101"/>
      <c r="O577" s="107"/>
      <c r="P577" s="4"/>
      <c r="V577" s="5"/>
      <c r="AC577" s="79"/>
      <c r="AD577" s="77"/>
      <c r="AE577" s="79"/>
      <c r="AF577" s="79"/>
      <c r="AG577" s="9"/>
      <c r="AH577" s="79"/>
      <c r="AL577" s="11"/>
      <c r="AM577" s="12"/>
    </row>
    <row r="578" s="1" customFormat="1" spans="4:39">
      <c r="D578" s="34"/>
      <c r="E578" s="34"/>
      <c r="F578" s="86"/>
      <c r="G578" s="86"/>
      <c r="H578" s="31"/>
      <c r="I578" s="3"/>
      <c r="J578" s="106"/>
      <c r="K578" s="106"/>
      <c r="L578" s="107"/>
      <c r="M578" s="107"/>
      <c r="N578" s="101"/>
      <c r="O578" s="107"/>
      <c r="P578" s="4"/>
      <c r="V578" s="5"/>
      <c r="AC578" s="79"/>
      <c r="AD578" s="77"/>
      <c r="AE578" s="79"/>
      <c r="AF578" s="79"/>
      <c r="AG578" s="9"/>
      <c r="AH578" s="79"/>
      <c r="AL578" s="11"/>
      <c r="AM578" s="12"/>
    </row>
    <row r="579" s="1" customFormat="1" spans="4:39">
      <c r="D579" s="34"/>
      <c r="E579" s="34"/>
      <c r="F579" s="86"/>
      <c r="G579" s="86"/>
      <c r="H579" s="31"/>
      <c r="I579" s="3"/>
      <c r="J579" s="106"/>
      <c r="K579" s="106"/>
      <c r="L579" s="107"/>
      <c r="M579" s="107"/>
      <c r="N579" s="101"/>
      <c r="O579" s="107"/>
      <c r="P579" s="4"/>
      <c r="V579" s="5"/>
      <c r="AC579" s="79"/>
      <c r="AD579" s="77"/>
      <c r="AE579" s="79"/>
      <c r="AF579" s="79"/>
      <c r="AG579" s="9"/>
      <c r="AH579" s="79"/>
      <c r="AL579" s="11"/>
      <c r="AM579" s="12"/>
    </row>
    <row r="580" s="1" customFormat="1" spans="4:39">
      <c r="D580" s="34"/>
      <c r="E580" s="34"/>
      <c r="F580" s="86"/>
      <c r="G580" s="86"/>
      <c r="H580" s="31"/>
      <c r="I580" s="3"/>
      <c r="J580" s="106"/>
      <c r="K580" s="106"/>
      <c r="L580" s="107"/>
      <c r="M580" s="107"/>
      <c r="N580" s="101"/>
      <c r="O580" s="107"/>
      <c r="P580" s="4"/>
      <c r="V580" s="5"/>
      <c r="AC580" s="79"/>
      <c r="AD580" s="77"/>
      <c r="AE580" s="79"/>
      <c r="AF580" s="79"/>
      <c r="AG580" s="9"/>
      <c r="AH580" s="79"/>
      <c r="AL580" s="11"/>
      <c r="AM580" s="12"/>
    </row>
    <row r="581" s="1" customFormat="1" spans="4:39">
      <c r="D581" s="34"/>
      <c r="E581" s="34"/>
      <c r="F581" s="86"/>
      <c r="G581" s="86"/>
      <c r="H581" s="31"/>
      <c r="I581" s="3"/>
      <c r="J581" s="106"/>
      <c r="K581" s="106"/>
      <c r="L581" s="107"/>
      <c r="M581" s="107"/>
      <c r="N581" s="101"/>
      <c r="O581" s="107"/>
      <c r="P581" s="4"/>
      <c r="V581" s="5"/>
      <c r="AC581" s="79"/>
      <c r="AD581" s="77"/>
      <c r="AE581" s="79"/>
      <c r="AF581" s="79"/>
      <c r="AG581" s="9"/>
      <c r="AH581" s="79"/>
      <c r="AL581" s="11"/>
      <c r="AM581" s="12"/>
    </row>
    <row r="582" s="1" customFormat="1" spans="4:39">
      <c r="D582" s="34"/>
      <c r="E582" s="34"/>
      <c r="F582" s="86"/>
      <c r="G582" s="86"/>
      <c r="H582" s="31"/>
      <c r="I582" s="3"/>
      <c r="J582" s="106"/>
      <c r="K582" s="106"/>
      <c r="L582" s="107"/>
      <c r="M582" s="107"/>
      <c r="N582" s="101"/>
      <c r="O582" s="107"/>
      <c r="P582" s="4"/>
      <c r="V582" s="5"/>
      <c r="AC582" s="79"/>
      <c r="AD582" s="77"/>
      <c r="AE582" s="79"/>
      <c r="AF582" s="79"/>
      <c r="AG582" s="9"/>
      <c r="AH582" s="79"/>
      <c r="AL582" s="11"/>
      <c r="AM582" s="12"/>
    </row>
    <row r="583" s="1" customFormat="1" spans="4:39">
      <c r="D583" s="34"/>
      <c r="E583" s="34"/>
      <c r="F583" s="86"/>
      <c r="G583" s="86"/>
      <c r="H583" s="31"/>
      <c r="I583" s="3"/>
      <c r="J583" s="106"/>
      <c r="K583" s="106"/>
      <c r="L583" s="107"/>
      <c r="M583" s="107"/>
      <c r="N583" s="101"/>
      <c r="O583" s="107"/>
      <c r="P583" s="4"/>
      <c r="V583" s="5"/>
      <c r="AC583" s="79"/>
      <c r="AD583" s="77"/>
      <c r="AE583" s="79"/>
      <c r="AF583" s="79"/>
      <c r="AG583" s="9"/>
      <c r="AH583" s="79"/>
      <c r="AL583" s="11"/>
      <c r="AM583" s="12"/>
    </row>
    <row r="584" s="1" customFormat="1" spans="4:39">
      <c r="D584" s="34"/>
      <c r="E584" s="34"/>
      <c r="F584" s="86"/>
      <c r="G584" s="86"/>
      <c r="H584" s="31"/>
      <c r="I584" s="3"/>
      <c r="J584" s="106"/>
      <c r="K584" s="106"/>
      <c r="L584" s="107"/>
      <c r="M584" s="107"/>
      <c r="N584" s="101"/>
      <c r="O584" s="107"/>
      <c r="P584" s="4"/>
      <c r="V584" s="5"/>
      <c r="AC584" s="79"/>
      <c r="AD584" s="77"/>
      <c r="AE584" s="79"/>
      <c r="AF584" s="79"/>
      <c r="AG584" s="9"/>
      <c r="AH584" s="79"/>
      <c r="AL584" s="11"/>
      <c r="AM584" s="12"/>
    </row>
    <row r="585" s="1" customFormat="1" spans="4:39">
      <c r="D585" s="34"/>
      <c r="E585" s="34"/>
      <c r="F585" s="86"/>
      <c r="G585" s="86"/>
      <c r="H585" s="31"/>
      <c r="I585" s="3"/>
      <c r="J585" s="106"/>
      <c r="K585" s="106"/>
      <c r="L585" s="107"/>
      <c r="M585" s="107"/>
      <c r="N585" s="101"/>
      <c r="O585" s="107"/>
      <c r="P585" s="4"/>
      <c r="V585" s="5"/>
      <c r="AC585" s="79"/>
      <c r="AD585" s="77"/>
      <c r="AE585" s="79"/>
      <c r="AF585" s="79"/>
      <c r="AG585" s="9"/>
      <c r="AH585" s="79"/>
      <c r="AL585" s="11"/>
      <c r="AM585" s="12"/>
    </row>
    <row r="586" s="1" customFormat="1" spans="4:39">
      <c r="D586" s="34"/>
      <c r="E586" s="34"/>
      <c r="F586" s="86"/>
      <c r="G586" s="86"/>
      <c r="H586" s="31"/>
      <c r="I586" s="3"/>
      <c r="J586" s="106"/>
      <c r="K586" s="106"/>
      <c r="L586" s="107"/>
      <c r="M586" s="107"/>
      <c r="N586" s="101"/>
      <c r="O586" s="107"/>
      <c r="P586" s="4"/>
      <c r="V586" s="5"/>
      <c r="AC586" s="79"/>
      <c r="AD586" s="77"/>
      <c r="AE586" s="79"/>
      <c r="AF586" s="79"/>
      <c r="AG586" s="9"/>
      <c r="AH586" s="79"/>
      <c r="AL586" s="11"/>
      <c r="AM586" s="12"/>
    </row>
    <row r="587" s="1" customFormat="1" spans="4:39">
      <c r="D587" s="34"/>
      <c r="E587" s="34"/>
      <c r="F587" s="86"/>
      <c r="G587" s="86"/>
      <c r="H587" s="31"/>
      <c r="I587" s="3"/>
      <c r="J587" s="106"/>
      <c r="K587" s="106"/>
      <c r="L587" s="107"/>
      <c r="M587" s="107"/>
      <c r="N587" s="101"/>
      <c r="O587" s="107"/>
      <c r="P587" s="4"/>
      <c r="V587" s="5"/>
      <c r="AC587" s="79"/>
      <c r="AD587" s="77"/>
      <c r="AE587" s="79"/>
      <c r="AF587" s="79"/>
      <c r="AG587" s="9"/>
      <c r="AH587" s="79"/>
      <c r="AL587" s="11"/>
      <c r="AM587" s="12"/>
    </row>
    <row r="588" s="1" customFormat="1" spans="4:39">
      <c r="D588" s="34"/>
      <c r="E588" s="34"/>
      <c r="F588" s="86"/>
      <c r="G588" s="86"/>
      <c r="H588" s="31"/>
      <c r="I588" s="3"/>
      <c r="J588" s="106"/>
      <c r="K588" s="106"/>
      <c r="L588" s="107"/>
      <c r="M588" s="107"/>
      <c r="N588" s="101"/>
      <c r="O588" s="107"/>
      <c r="P588" s="4"/>
      <c r="V588" s="5"/>
      <c r="AC588" s="79"/>
      <c r="AD588" s="77"/>
      <c r="AE588" s="79"/>
      <c r="AF588" s="79"/>
      <c r="AG588" s="9"/>
      <c r="AH588" s="79"/>
      <c r="AL588" s="11"/>
      <c r="AM588" s="12"/>
    </row>
    <row r="589" s="1" customFormat="1" spans="4:39">
      <c r="D589" s="34"/>
      <c r="E589" s="34"/>
      <c r="F589" s="86"/>
      <c r="G589" s="86"/>
      <c r="H589" s="31"/>
      <c r="I589" s="3"/>
      <c r="J589" s="106"/>
      <c r="K589" s="106"/>
      <c r="L589" s="107"/>
      <c r="M589" s="107"/>
      <c r="N589" s="101"/>
      <c r="O589" s="107"/>
      <c r="P589" s="4"/>
      <c r="V589" s="5"/>
      <c r="AC589" s="79"/>
      <c r="AD589" s="77"/>
      <c r="AE589" s="79"/>
      <c r="AF589" s="79"/>
      <c r="AG589" s="9"/>
      <c r="AH589" s="79"/>
      <c r="AL589" s="11"/>
      <c r="AM589" s="12"/>
    </row>
    <row r="590" s="1" customFormat="1" spans="4:39">
      <c r="D590" s="34"/>
      <c r="E590" s="34"/>
      <c r="F590" s="86"/>
      <c r="G590" s="86"/>
      <c r="H590" s="31"/>
      <c r="I590" s="3"/>
      <c r="J590" s="106"/>
      <c r="K590" s="106"/>
      <c r="L590" s="107"/>
      <c r="M590" s="107"/>
      <c r="N590" s="101"/>
      <c r="O590" s="107"/>
      <c r="P590" s="4"/>
      <c r="V590" s="5"/>
      <c r="AC590" s="79"/>
      <c r="AD590" s="77"/>
      <c r="AE590" s="79"/>
      <c r="AF590" s="79"/>
      <c r="AG590" s="9"/>
      <c r="AH590" s="79"/>
      <c r="AL590" s="11"/>
      <c r="AM590" s="12"/>
    </row>
    <row r="591" s="1" customFormat="1" spans="4:39">
      <c r="D591" s="34"/>
      <c r="E591" s="34"/>
      <c r="F591" s="86"/>
      <c r="G591" s="86"/>
      <c r="H591" s="31"/>
      <c r="I591" s="3"/>
      <c r="J591" s="106"/>
      <c r="K591" s="106"/>
      <c r="L591" s="107"/>
      <c r="M591" s="107"/>
      <c r="N591" s="101"/>
      <c r="O591" s="107"/>
      <c r="P591" s="4"/>
      <c r="V591" s="5"/>
      <c r="AC591" s="79"/>
      <c r="AD591" s="77"/>
      <c r="AE591" s="79"/>
      <c r="AF591" s="79"/>
      <c r="AG591" s="9"/>
      <c r="AH591" s="79"/>
      <c r="AL591" s="11"/>
      <c r="AM591" s="12"/>
    </row>
    <row r="592" s="1" customFormat="1" spans="4:39">
      <c r="D592" s="34"/>
      <c r="E592" s="34"/>
      <c r="F592" s="86"/>
      <c r="G592" s="86"/>
      <c r="H592" s="31"/>
      <c r="I592" s="3"/>
      <c r="J592" s="106"/>
      <c r="K592" s="106"/>
      <c r="L592" s="107"/>
      <c r="M592" s="107"/>
      <c r="N592" s="101"/>
      <c r="O592" s="107"/>
      <c r="P592" s="4"/>
      <c r="V592" s="5"/>
      <c r="AC592" s="79"/>
      <c r="AD592" s="77"/>
      <c r="AE592" s="79"/>
      <c r="AF592" s="79"/>
      <c r="AG592" s="9"/>
      <c r="AH592" s="79"/>
      <c r="AL592" s="11"/>
      <c r="AM592" s="12"/>
    </row>
    <row r="593" s="1" customFormat="1" spans="4:39">
      <c r="D593" s="34"/>
      <c r="E593" s="34"/>
      <c r="F593" s="86"/>
      <c r="G593" s="86"/>
      <c r="H593" s="31"/>
      <c r="I593" s="3"/>
      <c r="J593" s="106"/>
      <c r="K593" s="106"/>
      <c r="L593" s="107"/>
      <c r="M593" s="107"/>
      <c r="N593" s="101"/>
      <c r="O593" s="107"/>
      <c r="P593" s="4"/>
      <c r="V593" s="5"/>
      <c r="AC593" s="79"/>
      <c r="AD593" s="77"/>
      <c r="AE593" s="79"/>
      <c r="AF593" s="79"/>
      <c r="AG593" s="9"/>
      <c r="AH593" s="79"/>
      <c r="AL593" s="11"/>
      <c r="AM593" s="12"/>
    </row>
    <row r="594" s="1" customFormat="1" spans="4:39">
      <c r="D594" s="34"/>
      <c r="E594" s="34"/>
      <c r="F594" s="86"/>
      <c r="G594" s="86"/>
      <c r="H594" s="31"/>
      <c r="I594" s="3"/>
      <c r="J594" s="106"/>
      <c r="K594" s="106"/>
      <c r="L594" s="107"/>
      <c r="M594" s="107"/>
      <c r="N594" s="101"/>
      <c r="O594" s="107"/>
      <c r="P594" s="4"/>
      <c r="V594" s="5"/>
      <c r="AC594" s="79"/>
      <c r="AD594" s="77"/>
      <c r="AE594" s="79"/>
      <c r="AF594" s="79"/>
      <c r="AG594" s="9"/>
      <c r="AH594" s="79"/>
      <c r="AL594" s="11"/>
      <c r="AM594" s="12"/>
    </row>
    <row r="595" s="1" customFormat="1" spans="4:39">
      <c r="D595" s="34"/>
      <c r="E595" s="34"/>
      <c r="F595" s="86"/>
      <c r="G595" s="86"/>
      <c r="H595" s="31"/>
      <c r="I595" s="3"/>
      <c r="J595" s="106"/>
      <c r="K595" s="106"/>
      <c r="L595" s="107"/>
      <c r="M595" s="107"/>
      <c r="N595" s="101"/>
      <c r="O595" s="107"/>
      <c r="P595" s="4"/>
      <c r="V595" s="5"/>
      <c r="AC595" s="79"/>
      <c r="AD595" s="77"/>
      <c r="AE595" s="79"/>
      <c r="AF595" s="79"/>
      <c r="AG595" s="9"/>
      <c r="AH595" s="79"/>
      <c r="AL595" s="11"/>
      <c r="AM595" s="12"/>
    </row>
    <row r="596" s="1" customFormat="1" spans="4:39">
      <c r="D596" s="34"/>
      <c r="E596" s="34"/>
      <c r="F596" s="86"/>
      <c r="G596" s="86"/>
      <c r="H596" s="31"/>
      <c r="I596" s="3"/>
      <c r="J596" s="106"/>
      <c r="K596" s="106"/>
      <c r="L596" s="107"/>
      <c r="M596" s="107"/>
      <c r="N596" s="101"/>
      <c r="O596" s="107"/>
      <c r="P596" s="4"/>
      <c r="V596" s="5"/>
      <c r="AC596" s="79"/>
      <c r="AD596" s="77"/>
      <c r="AE596" s="79"/>
      <c r="AF596" s="79"/>
      <c r="AG596" s="9"/>
      <c r="AH596" s="79"/>
      <c r="AL596" s="11"/>
      <c r="AM596" s="12"/>
    </row>
    <row r="597" s="1" customFormat="1" spans="4:39">
      <c r="D597" s="34"/>
      <c r="E597" s="34"/>
      <c r="F597" s="86"/>
      <c r="G597" s="86"/>
      <c r="H597" s="31"/>
      <c r="I597" s="3"/>
      <c r="J597" s="106"/>
      <c r="K597" s="106"/>
      <c r="L597" s="107"/>
      <c r="M597" s="107"/>
      <c r="N597" s="101"/>
      <c r="O597" s="107"/>
      <c r="P597" s="4"/>
      <c r="V597" s="5"/>
      <c r="AC597" s="79"/>
      <c r="AD597" s="77"/>
      <c r="AE597" s="79"/>
      <c r="AF597" s="79"/>
      <c r="AG597" s="9"/>
      <c r="AH597" s="79"/>
      <c r="AL597" s="11"/>
      <c r="AM597" s="12"/>
    </row>
    <row r="598" s="1" customFormat="1" spans="4:39">
      <c r="D598" s="34"/>
      <c r="E598" s="34"/>
      <c r="F598" s="86"/>
      <c r="G598" s="86"/>
      <c r="H598" s="31"/>
      <c r="I598" s="3"/>
      <c r="J598" s="106"/>
      <c r="K598" s="106"/>
      <c r="L598" s="107"/>
      <c r="M598" s="107"/>
      <c r="N598" s="101"/>
      <c r="O598" s="107"/>
      <c r="P598" s="4"/>
      <c r="V598" s="5"/>
      <c r="AC598" s="79"/>
      <c r="AD598" s="77"/>
      <c r="AE598" s="79"/>
      <c r="AF598" s="79"/>
      <c r="AG598" s="9"/>
      <c r="AH598" s="79"/>
      <c r="AL598" s="11"/>
      <c r="AM598" s="12"/>
    </row>
    <row r="599" s="1" customFormat="1" spans="4:39">
      <c r="D599" s="34"/>
      <c r="E599" s="34"/>
      <c r="F599" s="86"/>
      <c r="G599" s="86"/>
      <c r="H599" s="31"/>
      <c r="I599" s="3"/>
      <c r="J599" s="106"/>
      <c r="K599" s="106"/>
      <c r="L599" s="107"/>
      <c r="M599" s="107"/>
      <c r="N599" s="101"/>
      <c r="O599" s="107"/>
      <c r="P599" s="4"/>
      <c r="V599" s="5"/>
      <c r="AC599" s="79"/>
      <c r="AD599" s="77"/>
      <c r="AE599" s="79"/>
      <c r="AF599" s="79"/>
      <c r="AG599" s="9"/>
      <c r="AH599" s="79"/>
      <c r="AL599" s="11"/>
      <c r="AM599" s="12"/>
    </row>
    <row r="600" s="1" customFormat="1" spans="4:39">
      <c r="D600" s="34"/>
      <c r="E600" s="34"/>
      <c r="F600" s="86"/>
      <c r="G600" s="86"/>
      <c r="H600" s="31"/>
      <c r="I600" s="3"/>
      <c r="J600" s="106"/>
      <c r="K600" s="106"/>
      <c r="L600" s="107"/>
      <c r="M600" s="107"/>
      <c r="N600" s="101"/>
      <c r="O600" s="107"/>
      <c r="P600" s="4"/>
      <c r="V600" s="5"/>
      <c r="AC600" s="79"/>
      <c r="AD600" s="77"/>
      <c r="AE600" s="79"/>
      <c r="AF600" s="79"/>
      <c r="AG600" s="9"/>
      <c r="AH600" s="79"/>
      <c r="AL600" s="11"/>
      <c r="AM600" s="12"/>
    </row>
    <row r="601" s="1" customFormat="1" spans="4:39">
      <c r="D601" s="34"/>
      <c r="E601" s="34"/>
      <c r="F601" s="86"/>
      <c r="G601" s="86"/>
      <c r="H601" s="31"/>
      <c r="I601" s="3"/>
      <c r="J601" s="106"/>
      <c r="K601" s="106"/>
      <c r="L601" s="107"/>
      <c r="M601" s="107"/>
      <c r="N601" s="101"/>
      <c r="O601" s="107"/>
      <c r="P601" s="4"/>
      <c r="V601" s="5"/>
      <c r="AC601" s="79"/>
      <c r="AD601" s="77"/>
      <c r="AE601" s="79"/>
      <c r="AF601" s="79"/>
      <c r="AG601" s="9"/>
      <c r="AH601" s="79"/>
      <c r="AL601" s="11"/>
      <c r="AM601" s="12"/>
    </row>
    <row r="602" s="1" customFormat="1" spans="4:39">
      <c r="D602" s="34"/>
      <c r="E602" s="34"/>
      <c r="F602" s="86"/>
      <c r="G602" s="86"/>
      <c r="H602" s="31"/>
      <c r="I602" s="3"/>
      <c r="J602" s="106"/>
      <c r="K602" s="106"/>
      <c r="L602" s="107"/>
      <c r="M602" s="107"/>
      <c r="N602" s="101"/>
      <c r="O602" s="107"/>
      <c r="P602" s="4"/>
      <c r="V602" s="5"/>
      <c r="AC602" s="79"/>
      <c r="AD602" s="77"/>
      <c r="AE602" s="79"/>
      <c r="AF602" s="79"/>
      <c r="AG602" s="9"/>
      <c r="AH602" s="79"/>
      <c r="AL602" s="11"/>
      <c r="AM602" s="12"/>
    </row>
    <row r="603" s="1" customFormat="1" spans="4:39">
      <c r="D603" s="34"/>
      <c r="E603" s="34"/>
      <c r="F603" s="86"/>
      <c r="G603" s="86"/>
      <c r="H603" s="31"/>
      <c r="I603" s="3"/>
      <c r="J603" s="106"/>
      <c r="K603" s="106"/>
      <c r="L603" s="107"/>
      <c r="M603" s="107"/>
      <c r="N603" s="101"/>
      <c r="O603" s="107"/>
      <c r="P603" s="4"/>
      <c r="V603" s="5"/>
      <c r="AC603" s="79"/>
      <c r="AD603" s="77"/>
      <c r="AE603" s="79"/>
      <c r="AF603" s="79"/>
      <c r="AG603" s="9"/>
      <c r="AH603" s="79"/>
      <c r="AL603" s="11"/>
      <c r="AM603" s="12"/>
    </row>
    <row r="604" s="1" customFormat="1" spans="4:39">
      <c r="D604" s="34"/>
      <c r="E604" s="34"/>
      <c r="F604" s="86"/>
      <c r="G604" s="86"/>
      <c r="H604" s="31"/>
      <c r="I604" s="3"/>
      <c r="J604" s="106"/>
      <c r="K604" s="106"/>
      <c r="L604" s="107"/>
      <c r="M604" s="107"/>
      <c r="N604" s="101"/>
      <c r="O604" s="107"/>
      <c r="P604" s="4"/>
      <c r="V604" s="5"/>
      <c r="AC604" s="79"/>
      <c r="AD604" s="77"/>
      <c r="AE604" s="79"/>
      <c r="AF604" s="79"/>
      <c r="AG604" s="9"/>
      <c r="AH604" s="79"/>
      <c r="AL604" s="11"/>
      <c r="AM604" s="12"/>
    </row>
    <row r="605" s="1" customFormat="1" spans="4:39">
      <c r="D605" s="34"/>
      <c r="E605" s="34"/>
      <c r="F605" s="86"/>
      <c r="G605" s="86"/>
      <c r="H605" s="31"/>
      <c r="I605" s="3"/>
      <c r="J605" s="106"/>
      <c r="K605" s="106"/>
      <c r="L605" s="107"/>
      <c r="M605" s="107"/>
      <c r="N605" s="101"/>
      <c r="O605" s="107"/>
      <c r="P605" s="4"/>
      <c r="V605" s="5"/>
      <c r="AC605" s="79"/>
      <c r="AD605" s="77"/>
      <c r="AE605" s="79"/>
      <c r="AF605" s="79"/>
      <c r="AG605" s="9"/>
      <c r="AH605" s="79"/>
      <c r="AL605" s="11"/>
      <c r="AM605" s="12"/>
    </row>
    <row r="606" s="1" customFormat="1" spans="4:39">
      <c r="D606" s="34"/>
      <c r="E606" s="34"/>
      <c r="F606" s="86"/>
      <c r="G606" s="86"/>
      <c r="H606" s="31"/>
      <c r="I606" s="3"/>
      <c r="J606" s="106"/>
      <c r="K606" s="106"/>
      <c r="L606" s="107"/>
      <c r="M606" s="107"/>
      <c r="N606" s="101"/>
      <c r="O606" s="107"/>
      <c r="P606" s="4"/>
      <c r="V606" s="5"/>
      <c r="AC606" s="79"/>
      <c r="AD606" s="77"/>
      <c r="AE606" s="79"/>
      <c r="AF606" s="79"/>
      <c r="AG606" s="9"/>
      <c r="AH606" s="79"/>
      <c r="AL606" s="11"/>
      <c r="AM606" s="12"/>
    </row>
    <row r="607" s="1" customFormat="1" spans="4:39">
      <c r="D607" s="34"/>
      <c r="E607" s="34"/>
      <c r="F607" s="86"/>
      <c r="G607" s="86"/>
      <c r="H607" s="31"/>
      <c r="I607" s="3"/>
      <c r="J607" s="106"/>
      <c r="K607" s="106"/>
      <c r="L607" s="107"/>
      <c r="M607" s="107"/>
      <c r="N607" s="101"/>
      <c r="O607" s="107"/>
      <c r="P607" s="4"/>
      <c r="V607" s="5"/>
      <c r="AC607" s="79"/>
      <c r="AD607" s="77"/>
      <c r="AE607" s="79"/>
      <c r="AF607" s="79"/>
      <c r="AG607" s="9"/>
      <c r="AH607" s="79"/>
      <c r="AL607" s="11"/>
      <c r="AM607" s="12"/>
    </row>
    <row r="608" s="1" customFormat="1" spans="4:39">
      <c r="D608" s="34"/>
      <c r="E608" s="34"/>
      <c r="F608" s="86"/>
      <c r="G608" s="86"/>
      <c r="H608" s="31"/>
      <c r="I608" s="3"/>
      <c r="J608" s="106"/>
      <c r="K608" s="106"/>
      <c r="L608" s="107"/>
      <c r="M608" s="107"/>
      <c r="N608" s="101"/>
      <c r="O608" s="107"/>
      <c r="P608" s="4"/>
      <c r="V608" s="5"/>
      <c r="AC608" s="79"/>
      <c r="AD608" s="77"/>
      <c r="AE608" s="79"/>
      <c r="AF608" s="79"/>
      <c r="AG608" s="9"/>
      <c r="AH608" s="79"/>
      <c r="AL608" s="11"/>
      <c r="AM608" s="12"/>
    </row>
    <row r="609" s="1" customFormat="1" spans="4:39">
      <c r="D609" s="34"/>
      <c r="E609" s="34"/>
      <c r="F609" s="86"/>
      <c r="G609" s="86"/>
      <c r="H609" s="31"/>
      <c r="I609" s="3"/>
      <c r="J609" s="106"/>
      <c r="K609" s="106"/>
      <c r="L609" s="107"/>
      <c r="M609" s="107"/>
      <c r="N609" s="101"/>
      <c r="O609" s="107"/>
      <c r="P609" s="4"/>
      <c r="V609" s="5"/>
      <c r="AC609" s="79"/>
      <c r="AD609" s="77"/>
      <c r="AE609" s="79"/>
      <c r="AF609" s="79"/>
      <c r="AG609" s="9"/>
      <c r="AH609" s="79"/>
      <c r="AL609" s="11"/>
      <c r="AM609" s="12"/>
    </row>
    <row r="610" s="1" customFormat="1" spans="4:39">
      <c r="D610" s="34"/>
      <c r="E610" s="34"/>
      <c r="F610" s="86"/>
      <c r="G610" s="86"/>
      <c r="H610" s="31"/>
      <c r="I610" s="3"/>
      <c r="J610" s="106"/>
      <c r="K610" s="106"/>
      <c r="L610" s="107"/>
      <c r="M610" s="107"/>
      <c r="N610" s="101"/>
      <c r="O610" s="107"/>
      <c r="P610" s="4"/>
      <c r="V610" s="5"/>
      <c r="AC610" s="79"/>
      <c r="AD610" s="77"/>
      <c r="AE610" s="79"/>
      <c r="AF610" s="79"/>
      <c r="AG610" s="9"/>
      <c r="AH610" s="79"/>
      <c r="AL610" s="11"/>
      <c r="AM610" s="12"/>
    </row>
    <row r="611" s="1" customFormat="1" spans="4:39">
      <c r="D611" s="34"/>
      <c r="E611" s="34"/>
      <c r="F611" s="86"/>
      <c r="G611" s="86"/>
      <c r="H611" s="31"/>
      <c r="I611" s="3"/>
      <c r="J611" s="106"/>
      <c r="K611" s="106"/>
      <c r="L611" s="107"/>
      <c r="M611" s="107"/>
      <c r="N611" s="101"/>
      <c r="O611" s="107"/>
      <c r="P611" s="4"/>
      <c r="V611" s="5"/>
      <c r="AC611" s="79"/>
      <c r="AD611" s="77"/>
      <c r="AE611" s="79"/>
      <c r="AF611" s="79"/>
      <c r="AG611" s="9"/>
      <c r="AH611" s="79"/>
      <c r="AL611" s="11"/>
      <c r="AM611" s="12"/>
    </row>
    <row r="612" s="1" customFormat="1" spans="4:39">
      <c r="D612" s="34"/>
      <c r="E612" s="34"/>
      <c r="F612" s="86"/>
      <c r="G612" s="86"/>
      <c r="H612" s="31"/>
      <c r="I612" s="3"/>
      <c r="J612" s="106"/>
      <c r="K612" s="106"/>
      <c r="L612" s="107"/>
      <c r="M612" s="107"/>
      <c r="N612" s="101"/>
      <c r="O612" s="107"/>
      <c r="P612" s="4"/>
      <c r="V612" s="5"/>
      <c r="AC612" s="79"/>
      <c r="AD612" s="77"/>
      <c r="AE612" s="79"/>
      <c r="AF612" s="79"/>
      <c r="AG612" s="9"/>
      <c r="AH612" s="79"/>
      <c r="AL612" s="11"/>
      <c r="AM612" s="12"/>
    </row>
    <row r="613" s="1" customFormat="1" spans="4:39">
      <c r="D613" s="34"/>
      <c r="E613" s="34"/>
      <c r="F613" s="86"/>
      <c r="G613" s="86"/>
      <c r="H613" s="31"/>
      <c r="I613" s="3"/>
      <c r="J613" s="106"/>
      <c r="K613" s="106"/>
      <c r="L613" s="107"/>
      <c r="M613" s="107"/>
      <c r="N613" s="101"/>
      <c r="O613" s="107"/>
      <c r="P613" s="4"/>
      <c r="V613" s="5"/>
      <c r="AC613" s="79"/>
      <c r="AD613" s="77"/>
      <c r="AE613" s="79"/>
      <c r="AF613" s="79"/>
      <c r="AG613" s="9"/>
      <c r="AH613" s="79"/>
      <c r="AL613" s="11"/>
      <c r="AM613" s="12"/>
    </row>
    <row r="614" s="1" customFormat="1" spans="4:39">
      <c r="D614" s="34"/>
      <c r="E614" s="34"/>
      <c r="F614" s="86"/>
      <c r="G614" s="86"/>
      <c r="H614" s="31"/>
      <c r="I614" s="3"/>
      <c r="J614" s="106"/>
      <c r="K614" s="106"/>
      <c r="L614" s="107"/>
      <c r="M614" s="107"/>
      <c r="N614" s="101"/>
      <c r="O614" s="107"/>
      <c r="P614" s="4"/>
      <c r="V614" s="5"/>
      <c r="AC614" s="79"/>
      <c r="AD614" s="77"/>
      <c r="AE614" s="79"/>
      <c r="AF614" s="79"/>
      <c r="AG614" s="9"/>
      <c r="AH614" s="79"/>
      <c r="AL614" s="11"/>
      <c r="AM614" s="12"/>
    </row>
    <row r="615" s="1" customFormat="1" spans="4:39">
      <c r="D615" s="34"/>
      <c r="E615" s="34"/>
      <c r="F615" s="86"/>
      <c r="G615" s="86"/>
      <c r="H615" s="31"/>
      <c r="I615" s="3"/>
      <c r="J615" s="106"/>
      <c r="K615" s="106"/>
      <c r="L615" s="107"/>
      <c r="M615" s="107"/>
      <c r="N615" s="101"/>
      <c r="O615" s="107"/>
      <c r="P615" s="4"/>
      <c r="V615" s="5"/>
      <c r="AC615" s="79"/>
      <c r="AD615" s="77"/>
      <c r="AE615" s="79"/>
      <c r="AF615" s="79"/>
      <c r="AG615" s="9"/>
      <c r="AH615" s="79"/>
      <c r="AL615" s="11"/>
      <c r="AM615" s="12"/>
    </row>
    <row r="616" s="1" customFormat="1" spans="4:39">
      <c r="D616" s="34"/>
      <c r="E616" s="34"/>
      <c r="F616" s="86"/>
      <c r="G616" s="86"/>
      <c r="H616" s="31"/>
      <c r="I616" s="3"/>
      <c r="J616" s="106"/>
      <c r="K616" s="106"/>
      <c r="L616" s="107"/>
      <c r="M616" s="107"/>
      <c r="N616" s="101"/>
      <c r="O616" s="107"/>
      <c r="P616" s="4"/>
      <c r="V616" s="5"/>
      <c r="AC616" s="79"/>
      <c r="AD616" s="77"/>
      <c r="AE616" s="79"/>
      <c r="AF616" s="79"/>
      <c r="AG616" s="9"/>
      <c r="AH616" s="79"/>
      <c r="AL616" s="11"/>
      <c r="AM616" s="12"/>
    </row>
    <row r="617" s="1" customFormat="1" spans="4:39">
      <c r="D617" s="34"/>
      <c r="E617" s="34"/>
      <c r="F617" s="86"/>
      <c r="G617" s="86"/>
      <c r="H617" s="31"/>
      <c r="I617" s="3"/>
      <c r="J617" s="106"/>
      <c r="K617" s="106"/>
      <c r="L617" s="107"/>
      <c r="M617" s="107"/>
      <c r="N617" s="101"/>
      <c r="O617" s="107"/>
      <c r="P617" s="4"/>
      <c r="V617" s="5"/>
      <c r="AC617" s="79"/>
      <c r="AD617" s="77"/>
      <c r="AE617" s="79"/>
      <c r="AF617" s="79"/>
      <c r="AG617" s="9"/>
      <c r="AH617" s="79"/>
      <c r="AL617" s="11"/>
      <c r="AM617" s="12"/>
    </row>
    <row r="618" s="1" customFormat="1" spans="4:39">
      <c r="D618" s="34"/>
      <c r="E618" s="34"/>
      <c r="F618" s="86"/>
      <c r="G618" s="86"/>
      <c r="H618" s="31"/>
      <c r="I618" s="3"/>
      <c r="J618" s="106"/>
      <c r="K618" s="106"/>
      <c r="L618" s="107"/>
      <c r="M618" s="107"/>
      <c r="N618" s="101"/>
      <c r="O618" s="107"/>
      <c r="P618" s="4"/>
      <c r="V618" s="5"/>
      <c r="AC618" s="79"/>
      <c r="AD618" s="77"/>
      <c r="AE618" s="79"/>
      <c r="AF618" s="79"/>
      <c r="AG618" s="9"/>
      <c r="AH618" s="79"/>
      <c r="AL618" s="11"/>
      <c r="AM618" s="12"/>
    </row>
    <row r="619" s="1" customFormat="1" spans="4:39">
      <c r="D619" s="34"/>
      <c r="E619" s="34"/>
      <c r="F619" s="86"/>
      <c r="G619" s="86"/>
      <c r="H619" s="31"/>
      <c r="I619" s="3"/>
      <c r="J619" s="106"/>
      <c r="K619" s="106"/>
      <c r="L619" s="107"/>
      <c r="M619" s="107"/>
      <c r="N619" s="101"/>
      <c r="O619" s="107"/>
      <c r="P619" s="4"/>
      <c r="V619" s="5"/>
      <c r="AC619" s="79"/>
      <c r="AD619" s="77"/>
      <c r="AE619" s="79"/>
      <c r="AF619" s="79"/>
      <c r="AG619" s="9"/>
      <c r="AH619" s="79"/>
      <c r="AL619" s="11"/>
      <c r="AM619" s="12"/>
    </row>
    <row r="620" s="1" customFormat="1" spans="4:39">
      <c r="D620" s="34"/>
      <c r="E620" s="34"/>
      <c r="F620" s="86"/>
      <c r="G620" s="86"/>
      <c r="H620" s="31"/>
      <c r="I620" s="3"/>
      <c r="J620" s="106"/>
      <c r="K620" s="106"/>
      <c r="L620" s="107"/>
      <c r="M620" s="107"/>
      <c r="N620" s="101"/>
      <c r="O620" s="107"/>
      <c r="P620" s="4"/>
      <c r="V620" s="5"/>
      <c r="AC620" s="79"/>
      <c r="AD620" s="77"/>
      <c r="AE620" s="79"/>
      <c r="AF620" s="79"/>
      <c r="AG620" s="9"/>
      <c r="AH620" s="79"/>
      <c r="AL620" s="11"/>
      <c r="AM620" s="12"/>
    </row>
    <row r="621" s="1" customFormat="1" spans="4:39">
      <c r="D621" s="34"/>
      <c r="E621" s="34"/>
      <c r="F621" s="86"/>
      <c r="G621" s="86"/>
      <c r="H621" s="31"/>
      <c r="I621" s="3"/>
      <c r="J621" s="106"/>
      <c r="K621" s="106"/>
      <c r="L621" s="107"/>
      <c r="M621" s="107"/>
      <c r="N621" s="101"/>
      <c r="O621" s="107"/>
      <c r="P621" s="4"/>
      <c r="V621" s="5"/>
      <c r="AC621" s="79"/>
      <c r="AD621" s="77"/>
      <c r="AE621" s="79"/>
      <c r="AF621" s="79"/>
      <c r="AG621" s="9"/>
      <c r="AH621" s="79"/>
      <c r="AL621" s="11"/>
      <c r="AM621" s="12"/>
    </row>
    <row r="622" s="1" customFormat="1" spans="4:39">
      <c r="D622" s="34"/>
      <c r="E622" s="34"/>
      <c r="F622" s="86"/>
      <c r="G622" s="86"/>
      <c r="H622" s="31"/>
      <c r="I622" s="3"/>
      <c r="J622" s="106"/>
      <c r="K622" s="106"/>
      <c r="L622" s="107"/>
      <c r="M622" s="107"/>
      <c r="N622" s="101"/>
      <c r="O622" s="107"/>
      <c r="P622" s="4"/>
      <c r="V622" s="5"/>
      <c r="AC622" s="79"/>
      <c r="AD622" s="77"/>
      <c r="AE622" s="79"/>
      <c r="AF622" s="79"/>
      <c r="AG622" s="9"/>
      <c r="AH622" s="79"/>
      <c r="AL622" s="11"/>
      <c r="AM622" s="12"/>
    </row>
    <row r="623" s="1" customFormat="1" spans="4:39">
      <c r="D623" s="34"/>
      <c r="E623" s="34"/>
      <c r="F623" s="86"/>
      <c r="G623" s="86"/>
      <c r="H623" s="31"/>
      <c r="I623" s="3"/>
      <c r="J623" s="106"/>
      <c r="K623" s="106"/>
      <c r="L623" s="107"/>
      <c r="M623" s="107"/>
      <c r="N623" s="101"/>
      <c r="O623" s="107"/>
      <c r="P623" s="4"/>
      <c r="V623" s="5"/>
      <c r="AC623" s="79"/>
      <c r="AD623" s="77"/>
      <c r="AE623" s="79"/>
      <c r="AF623" s="79"/>
      <c r="AG623" s="9"/>
      <c r="AH623" s="79"/>
      <c r="AL623" s="11"/>
      <c r="AM623" s="12"/>
    </row>
    <row r="624" s="1" customFormat="1" spans="4:39">
      <c r="D624" s="34"/>
      <c r="E624" s="34"/>
      <c r="F624" s="86"/>
      <c r="G624" s="86"/>
      <c r="H624" s="31"/>
      <c r="I624" s="3"/>
      <c r="J624" s="106"/>
      <c r="K624" s="106"/>
      <c r="L624" s="107"/>
      <c r="M624" s="107"/>
      <c r="N624" s="101"/>
      <c r="O624" s="107"/>
      <c r="P624" s="4"/>
      <c r="V624" s="5"/>
      <c r="AC624" s="79"/>
      <c r="AD624" s="77"/>
      <c r="AE624" s="79"/>
      <c r="AF624" s="79"/>
      <c r="AG624" s="9"/>
      <c r="AH624" s="79"/>
      <c r="AL624" s="11"/>
      <c r="AM624" s="12"/>
    </row>
    <row r="625" s="1" customFormat="1" spans="4:39">
      <c r="D625" s="34"/>
      <c r="E625" s="34"/>
      <c r="F625" s="86"/>
      <c r="G625" s="86"/>
      <c r="H625" s="31"/>
      <c r="I625" s="3"/>
      <c r="J625" s="106"/>
      <c r="K625" s="106"/>
      <c r="L625" s="107"/>
      <c r="M625" s="107"/>
      <c r="N625" s="101"/>
      <c r="O625" s="107"/>
      <c r="P625" s="4"/>
      <c r="V625" s="5"/>
      <c r="AC625" s="79"/>
      <c r="AD625" s="77"/>
      <c r="AE625" s="79"/>
      <c r="AF625" s="79"/>
      <c r="AG625" s="9"/>
      <c r="AH625" s="79"/>
      <c r="AL625" s="11"/>
      <c r="AM625" s="12"/>
    </row>
    <row r="626" s="1" customFormat="1" spans="4:39">
      <c r="D626" s="34"/>
      <c r="E626" s="34"/>
      <c r="F626" s="86"/>
      <c r="G626" s="86"/>
      <c r="H626" s="31"/>
      <c r="I626" s="3"/>
      <c r="J626" s="106"/>
      <c r="K626" s="106"/>
      <c r="L626" s="107"/>
      <c r="M626" s="107"/>
      <c r="N626" s="101"/>
      <c r="O626" s="107"/>
      <c r="P626" s="4"/>
      <c r="V626" s="5"/>
      <c r="AC626" s="79"/>
      <c r="AD626" s="77"/>
      <c r="AE626" s="79"/>
      <c r="AF626" s="79"/>
      <c r="AG626" s="9"/>
      <c r="AH626" s="79"/>
      <c r="AL626" s="11"/>
      <c r="AM626" s="12"/>
    </row>
    <row r="627" s="1" customFormat="1" spans="4:39">
      <c r="D627" s="34"/>
      <c r="E627" s="34"/>
      <c r="F627" s="86"/>
      <c r="G627" s="86"/>
      <c r="H627" s="31"/>
      <c r="I627" s="3"/>
      <c r="J627" s="106"/>
      <c r="K627" s="106"/>
      <c r="L627" s="107"/>
      <c r="M627" s="107"/>
      <c r="N627" s="101"/>
      <c r="O627" s="107"/>
      <c r="P627" s="4"/>
      <c r="V627" s="5"/>
      <c r="AC627" s="79"/>
      <c r="AD627" s="77"/>
      <c r="AE627" s="79"/>
      <c r="AF627" s="79"/>
      <c r="AG627" s="9"/>
      <c r="AH627" s="79"/>
      <c r="AL627" s="11"/>
      <c r="AM627" s="12"/>
    </row>
    <row r="628" s="1" customFormat="1" spans="4:39">
      <c r="D628" s="34"/>
      <c r="E628" s="34"/>
      <c r="F628" s="86"/>
      <c r="G628" s="86"/>
      <c r="H628" s="31"/>
      <c r="I628" s="3"/>
      <c r="J628" s="106"/>
      <c r="K628" s="106"/>
      <c r="L628" s="107"/>
      <c r="M628" s="107"/>
      <c r="N628" s="101"/>
      <c r="O628" s="107"/>
      <c r="P628" s="4"/>
      <c r="V628" s="5"/>
      <c r="AC628" s="79"/>
      <c r="AD628" s="77"/>
      <c r="AE628" s="79"/>
      <c r="AF628" s="79"/>
      <c r="AG628" s="9"/>
      <c r="AH628" s="79"/>
      <c r="AL628" s="11"/>
      <c r="AM628" s="12"/>
    </row>
    <row r="629" s="1" customFormat="1" spans="4:39">
      <c r="D629" s="34"/>
      <c r="E629" s="34"/>
      <c r="F629" s="86"/>
      <c r="G629" s="86"/>
      <c r="H629" s="31"/>
      <c r="I629" s="3"/>
      <c r="J629" s="106"/>
      <c r="K629" s="106"/>
      <c r="L629" s="107"/>
      <c r="M629" s="107"/>
      <c r="N629" s="101"/>
      <c r="O629" s="107"/>
      <c r="P629" s="4"/>
      <c r="V629" s="5"/>
      <c r="AC629" s="79"/>
      <c r="AD629" s="77"/>
      <c r="AE629" s="79"/>
      <c r="AF629" s="79"/>
      <c r="AG629" s="9"/>
      <c r="AH629" s="79"/>
      <c r="AL629" s="11"/>
      <c r="AM629" s="12"/>
    </row>
    <row r="630" s="1" customFormat="1" spans="4:39">
      <c r="D630" s="34"/>
      <c r="E630" s="34"/>
      <c r="F630" s="86"/>
      <c r="G630" s="86"/>
      <c r="H630" s="31"/>
      <c r="I630" s="3"/>
      <c r="J630" s="106"/>
      <c r="K630" s="106"/>
      <c r="L630" s="107"/>
      <c r="M630" s="107"/>
      <c r="N630" s="101"/>
      <c r="O630" s="107"/>
      <c r="P630" s="4"/>
      <c r="V630" s="5"/>
      <c r="AC630" s="79"/>
      <c r="AD630" s="77"/>
      <c r="AE630" s="79"/>
      <c r="AF630" s="79"/>
      <c r="AG630" s="9"/>
      <c r="AH630" s="79"/>
      <c r="AL630" s="11"/>
      <c r="AM630" s="12"/>
    </row>
    <row r="631" s="1" customFormat="1" spans="4:39">
      <c r="D631" s="34"/>
      <c r="E631" s="34"/>
      <c r="F631" s="86"/>
      <c r="G631" s="86"/>
      <c r="H631" s="31"/>
      <c r="I631" s="3"/>
      <c r="J631" s="106"/>
      <c r="K631" s="106"/>
      <c r="L631" s="107"/>
      <c r="M631" s="107"/>
      <c r="N631" s="101"/>
      <c r="O631" s="107"/>
      <c r="P631" s="4"/>
      <c r="V631" s="5"/>
      <c r="AC631" s="79"/>
      <c r="AD631" s="77"/>
      <c r="AE631" s="79"/>
      <c r="AF631" s="79"/>
      <c r="AG631" s="9"/>
      <c r="AH631" s="79"/>
      <c r="AL631" s="11"/>
      <c r="AM631" s="12"/>
    </row>
    <row r="632" s="1" customFormat="1" spans="4:39">
      <c r="D632" s="34"/>
      <c r="E632" s="34"/>
      <c r="F632" s="86"/>
      <c r="G632" s="86"/>
      <c r="H632" s="31"/>
      <c r="I632" s="3"/>
      <c r="J632" s="106"/>
      <c r="K632" s="106"/>
      <c r="L632" s="107"/>
      <c r="M632" s="107"/>
      <c r="N632" s="101"/>
      <c r="O632" s="107"/>
      <c r="P632" s="4"/>
      <c r="V632" s="5"/>
      <c r="AC632" s="79"/>
      <c r="AD632" s="77"/>
      <c r="AE632" s="79"/>
      <c r="AF632" s="79"/>
      <c r="AG632" s="9"/>
      <c r="AH632" s="79"/>
      <c r="AL632" s="11"/>
      <c r="AM632" s="12"/>
    </row>
    <row r="633" s="1" customFormat="1" spans="4:39">
      <c r="D633" s="34"/>
      <c r="E633" s="34"/>
      <c r="F633" s="86"/>
      <c r="G633" s="86"/>
      <c r="H633" s="31"/>
      <c r="I633" s="3"/>
      <c r="J633" s="106"/>
      <c r="K633" s="106"/>
      <c r="L633" s="107"/>
      <c r="M633" s="107"/>
      <c r="N633" s="101"/>
      <c r="O633" s="107"/>
      <c r="P633" s="4"/>
      <c r="V633" s="5"/>
      <c r="AC633" s="79"/>
      <c r="AD633" s="77"/>
      <c r="AE633" s="79"/>
      <c r="AF633" s="79"/>
      <c r="AG633" s="9"/>
      <c r="AH633" s="79"/>
      <c r="AL633" s="11"/>
      <c r="AM633" s="12"/>
    </row>
    <row r="634" s="1" customFormat="1" spans="4:39">
      <c r="D634" s="34"/>
      <c r="E634" s="34"/>
      <c r="F634" s="86"/>
      <c r="G634" s="86"/>
      <c r="H634" s="31"/>
      <c r="I634" s="3"/>
      <c r="J634" s="106"/>
      <c r="K634" s="106"/>
      <c r="L634" s="107"/>
      <c r="M634" s="107"/>
      <c r="N634" s="101"/>
      <c r="O634" s="107"/>
      <c r="P634" s="4"/>
      <c r="V634" s="5"/>
      <c r="AC634" s="79"/>
      <c r="AD634" s="77"/>
      <c r="AE634" s="79"/>
      <c r="AF634" s="79"/>
      <c r="AG634" s="9"/>
      <c r="AH634" s="79"/>
      <c r="AL634" s="11"/>
      <c r="AM634" s="12"/>
    </row>
    <row r="635" s="1" customFormat="1" spans="4:39">
      <c r="D635" s="34"/>
      <c r="E635" s="34"/>
      <c r="F635" s="86"/>
      <c r="G635" s="86"/>
      <c r="H635" s="31"/>
      <c r="I635" s="3"/>
      <c r="J635" s="106"/>
      <c r="K635" s="106"/>
      <c r="L635" s="107"/>
      <c r="M635" s="107"/>
      <c r="N635" s="101"/>
      <c r="O635" s="107"/>
      <c r="P635" s="4"/>
      <c r="V635" s="5"/>
      <c r="AC635" s="79"/>
      <c r="AD635" s="77"/>
      <c r="AE635" s="79"/>
      <c r="AF635" s="79"/>
      <c r="AG635" s="9"/>
      <c r="AH635" s="79"/>
      <c r="AL635" s="11"/>
      <c r="AM635" s="12"/>
    </row>
    <row r="636" s="1" customFormat="1" spans="4:39">
      <c r="D636" s="34"/>
      <c r="E636" s="34"/>
      <c r="F636" s="86"/>
      <c r="G636" s="86"/>
      <c r="H636" s="31"/>
      <c r="I636" s="3"/>
      <c r="J636" s="106"/>
      <c r="K636" s="106"/>
      <c r="L636" s="107"/>
      <c r="M636" s="107"/>
      <c r="N636" s="101"/>
      <c r="O636" s="107"/>
      <c r="P636" s="4"/>
      <c r="V636" s="5"/>
      <c r="AC636" s="79"/>
      <c r="AD636" s="77"/>
      <c r="AE636" s="79"/>
      <c r="AF636" s="79"/>
      <c r="AG636" s="9"/>
      <c r="AH636" s="79"/>
      <c r="AL636" s="11"/>
      <c r="AM636" s="12"/>
    </row>
    <row r="637" s="1" customFormat="1" spans="4:39">
      <c r="D637" s="34"/>
      <c r="E637" s="34"/>
      <c r="F637" s="86"/>
      <c r="G637" s="86"/>
      <c r="H637" s="31"/>
      <c r="I637" s="3"/>
      <c r="J637" s="106"/>
      <c r="K637" s="106"/>
      <c r="L637" s="107"/>
      <c r="M637" s="107"/>
      <c r="N637" s="101"/>
      <c r="O637" s="107"/>
      <c r="P637" s="4"/>
      <c r="V637" s="5"/>
      <c r="AC637" s="79"/>
      <c r="AD637" s="77"/>
      <c r="AE637" s="79"/>
      <c r="AF637" s="79"/>
      <c r="AG637" s="9"/>
      <c r="AH637" s="79"/>
      <c r="AL637" s="11"/>
      <c r="AM637" s="12"/>
    </row>
    <row r="638" s="1" customFormat="1" spans="4:39">
      <c r="D638" s="34"/>
      <c r="E638" s="34"/>
      <c r="F638" s="86"/>
      <c r="G638" s="86"/>
      <c r="H638" s="31"/>
      <c r="I638" s="3"/>
      <c r="J638" s="106"/>
      <c r="K638" s="106"/>
      <c r="L638" s="107"/>
      <c r="M638" s="107"/>
      <c r="N638" s="101"/>
      <c r="O638" s="107"/>
      <c r="P638" s="4"/>
      <c r="V638" s="5"/>
      <c r="AC638" s="79"/>
      <c r="AD638" s="77"/>
      <c r="AE638" s="79"/>
      <c r="AF638" s="79"/>
      <c r="AG638" s="9"/>
      <c r="AH638" s="79"/>
      <c r="AL638" s="11"/>
      <c r="AM638" s="12"/>
    </row>
    <row r="639" s="1" customFormat="1" spans="4:39">
      <c r="D639" s="34"/>
      <c r="E639" s="34"/>
      <c r="F639" s="86"/>
      <c r="G639" s="86"/>
      <c r="H639" s="31"/>
      <c r="I639" s="3"/>
      <c r="J639" s="106"/>
      <c r="K639" s="106"/>
      <c r="L639" s="107"/>
      <c r="M639" s="107"/>
      <c r="N639" s="101"/>
      <c r="O639" s="107"/>
      <c r="P639" s="4"/>
      <c r="V639" s="5"/>
      <c r="AC639" s="79"/>
      <c r="AD639" s="77"/>
      <c r="AE639" s="79"/>
      <c r="AF639" s="79"/>
      <c r="AG639" s="9"/>
      <c r="AH639" s="79"/>
      <c r="AL639" s="11"/>
      <c r="AM639" s="12"/>
    </row>
    <row r="640" s="1" customFormat="1" spans="4:39">
      <c r="D640" s="34"/>
      <c r="E640" s="34"/>
      <c r="F640" s="86"/>
      <c r="G640" s="86"/>
      <c r="H640" s="31"/>
      <c r="I640" s="3"/>
      <c r="J640" s="106"/>
      <c r="K640" s="106"/>
      <c r="L640" s="107"/>
      <c r="M640" s="107"/>
      <c r="N640" s="101"/>
      <c r="O640" s="107"/>
      <c r="P640" s="4"/>
      <c r="V640" s="5"/>
      <c r="AC640" s="79"/>
      <c r="AD640" s="77"/>
      <c r="AE640" s="79"/>
      <c r="AF640" s="79"/>
      <c r="AG640" s="9"/>
      <c r="AH640" s="79"/>
      <c r="AL640" s="11"/>
      <c r="AM640" s="12"/>
    </row>
    <row r="641" s="1" customFormat="1" spans="4:39">
      <c r="D641" s="34"/>
      <c r="E641" s="34"/>
      <c r="F641" s="86"/>
      <c r="G641" s="86"/>
      <c r="H641" s="31"/>
      <c r="I641" s="3"/>
      <c r="J641" s="106"/>
      <c r="K641" s="106"/>
      <c r="L641" s="107"/>
      <c r="M641" s="107"/>
      <c r="N641" s="101"/>
      <c r="O641" s="107"/>
      <c r="P641" s="4"/>
      <c r="V641" s="5"/>
      <c r="AC641" s="79"/>
      <c r="AD641" s="77"/>
      <c r="AE641" s="79"/>
      <c r="AF641" s="79"/>
      <c r="AG641" s="9"/>
      <c r="AH641" s="79"/>
      <c r="AL641" s="11"/>
      <c r="AM641" s="12"/>
    </row>
    <row r="642" s="1" customFormat="1" spans="4:39">
      <c r="D642" s="34"/>
      <c r="E642" s="34"/>
      <c r="F642" s="86"/>
      <c r="G642" s="86"/>
      <c r="H642" s="31"/>
      <c r="I642" s="3"/>
      <c r="J642" s="106"/>
      <c r="K642" s="106"/>
      <c r="L642" s="107"/>
      <c r="M642" s="107"/>
      <c r="N642" s="101"/>
      <c r="O642" s="107"/>
      <c r="P642" s="4"/>
      <c r="V642" s="5"/>
      <c r="AC642" s="79"/>
      <c r="AD642" s="77"/>
      <c r="AE642" s="79"/>
      <c r="AF642" s="79"/>
      <c r="AG642" s="9"/>
      <c r="AH642" s="79"/>
      <c r="AL642" s="11"/>
      <c r="AM642" s="12"/>
    </row>
    <row r="643" s="1" customFormat="1" spans="4:39">
      <c r="D643" s="34"/>
      <c r="E643" s="34"/>
      <c r="F643" s="86"/>
      <c r="G643" s="86"/>
      <c r="H643" s="31"/>
      <c r="I643" s="3"/>
      <c r="J643" s="106"/>
      <c r="K643" s="106"/>
      <c r="L643" s="107"/>
      <c r="M643" s="107"/>
      <c r="N643" s="101"/>
      <c r="O643" s="107"/>
      <c r="P643" s="4"/>
      <c r="V643" s="5"/>
      <c r="AC643" s="79"/>
      <c r="AD643" s="77"/>
      <c r="AE643" s="79"/>
      <c r="AF643" s="79"/>
      <c r="AG643" s="9"/>
      <c r="AH643" s="79"/>
      <c r="AL643" s="11"/>
      <c r="AM643" s="12"/>
    </row>
    <row r="644" s="1" customFormat="1" spans="4:39">
      <c r="D644" s="34"/>
      <c r="E644" s="34"/>
      <c r="F644" s="86"/>
      <c r="G644" s="86"/>
      <c r="H644" s="31"/>
      <c r="I644" s="3"/>
      <c r="J644" s="106"/>
      <c r="K644" s="106"/>
      <c r="L644" s="107"/>
      <c r="M644" s="107"/>
      <c r="N644" s="101"/>
      <c r="O644" s="107"/>
      <c r="P644" s="4"/>
      <c r="V644" s="5"/>
      <c r="AC644" s="79"/>
      <c r="AD644" s="77"/>
      <c r="AE644" s="79"/>
      <c r="AF644" s="79"/>
      <c r="AG644" s="9"/>
      <c r="AH644" s="79"/>
      <c r="AL644" s="11"/>
      <c r="AM644" s="12"/>
    </row>
    <row r="645" s="1" customFormat="1" spans="4:39">
      <c r="D645" s="34"/>
      <c r="E645" s="34"/>
      <c r="F645" s="86"/>
      <c r="G645" s="86"/>
      <c r="H645" s="31"/>
      <c r="I645" s="3"/>
      <c r="J645" s="106"/>
      <c r="K645" s="106"/>
      <c r="L645" s="107"/>
      <c r="M645" s="107"/>
      <c r="N645" s="101"/>
      <c r="O645" s="107"/>
      <c r="P645" s="4"/>
      <c r="V645" s="5"/>
      <c r="AC645" s="79"/>
      <c r="AD645" s="77"/>
      <c r="AE645" s="79"/>
      <c r="AF645" s="79"/>
      <c r="AG645" s="9"/>
      <c r="AH645" s="79"/>
      <c r="AL645" s="11"/>
      <c r="AM645" s="12"/>
    </row>
    <row r="646" s="1" customFormat="1" spans="4:39">
      <c r="D646" s="34"/>
      <c r="E646" s="34"/>
      <c r="F646" s="86"/>
      <c r="G646" s="86"/>
      <c r="H646" s="31"/>
      <c r="I646" s="3"/>
      <c r="J646" s="106"/>
      <c r="K646" s="106"/>
      <c r="L646" s="107"/>
      <c r="M646" s="107"/>
      <c r="N646" s="101"/>
      <c r="O646" s="107"/>
      <c r="P646" s="4"/>
      <c r="V646" s="5"/>
      <c r="AC646" s="79"/>
      <c r="AD646" s="77"/>
      <c r="AE646" s="79"/>
      <c r="AF646" s="79"/>
      <c r="AG646" s="9"/>
      <c r="AH646" s="79"/>
      <c r="AL646" s="11"/>
      <c r="AM646" s="12"/>
    </row>
    <row r="647" s="1" customFormat="1" spans="4:39">
      <c r="D647" s="34"/>
      <c r="E647" s="34"/>
      <c r="F647" s="86"/>
      <c r="G647" s="86"/>
      <c r="H647" s="31"/>
      <c r="I647" s="3"/>
      <c r="J647" s="106"/>
      <c r="K647" s="106"/>
      <c r="L647" s="107"/>
      <c r="M647" s="107"/>
      <c r="N647" s="101"/>
      <c r="O647" s="107"/>
      <c r="P647" s="4"/>
      <c r="V647" s="5"/>
      <c r="AC647" s="79"/>
      <c r="AD647" s="77"/>
      <c r="AE647" s="79"/>
      <c r="AF647" s="79"/>
      <c r="AG647" s="9"/>
      <c r="AH647" s="79"/>
      <c r="AL647" s="11"/>
      <c r="AM647" s="12"/>
    </row>
    <row r="648" s="1" customFormat="1" spans="4:39">
      <c r="D648" s="34"/>
      <c r="E648" s="34"/>
      <c r="F648" s="86"/>
      <c r="G648" s="86"/>
      <c r="H648" s="31"/>
      <c r="I648" s="3"/>
      <c r="J648" s="106"/>
      <c r="K648" s="106"/>
      <c r="L648" s="107"/>
      <c r="M648" s="107"/>
      <c r="N648" s="101"/>
      <c r="O648" s="107"/>
      <c r="P648" s="4"/>
      <c r="V648" s="5"/>
      <c r="AC648" s="79"/>
      <c r="AD648" s="77"/>
      <c r="AE648" s="79"/>
      <c r="AF648" s="79"/>
      <c r="AG648" s="9"/>
      <c r="AH648" s="79"/>
      <c r="AL648" s="11"/>
      <c r="AM648" s="12"/>
    </row>
    <row r="649" s="1" customFormat="1" spans="4:39">
      <c r="D649" s="34"/>
      <c r="E649" s="34"/>
      <c r="F649" s="86"/>
      <c r="G649" s="86"/>
      <c r="H649" s="31"/>
      <c r="I649" s="3"/>
      <c r="J649" s="106"/>
      <c r="K649" s="106"/>
      <c r="L649" s="107"/>
      <c r="M649" s="107"/>
      <c r="N649" s="101"/>
      <c r="O649" s="107"/>
      <c r="P649" s="4"/>
      <c r="V649" s="5"/>
      <c r="AC649" s="79"/>
      <c r="AD649" s="77"/>
      <c r="AE649" s="79"/>
      <c r="AF649" s="79"/>
      <c r="AG649" s="9"/>
      <c r="AH649" s="79"/>
      <c r="AL649" s="11"/>
      <c r="AM649" s="12"/>
    </row>
    <row r="650" s="1" customFormat="1" spans="4:39">
      <c r="D650" s="34"/>
      <c r="E650" s="34"/>
      <c r="F650" s="86"/>
      <c r="G650" s="86"/>
      <c r="H650" s="31"/>
      <c r="I650" s="3"/>
      <c r="J650" s="106"/>
      <c r="K650" s="106"/>
      <c r="L650" s="107"/>
      <c r="M650" s="107"/>
      <c r="N650" s="101"/>
      <c r="O650" s="107"/>
      <c r="P650" s="4"/>
      <c r="V650" s="5"/>
      <c r="AC650" s="79"/>
      <c r="AD650" s="77"/>
      <c r="AE650" s="79"/>
      <c r="AF650" s="79"/>
      <c r="AG650" s="9"/>
      <c r="AH650" s="79"/>
      <c r="AL650" s="11"/>
      <c r="AM650" s="12"/>
    </row>
    <row r="651" s="1" customFormat="1" spans="4:39">
      <c r="D651" s="34"/>
      <c r="E651" s="34"/>
      <c r="F651" s="86"/>
      <c r="G651" s="86"/>
      <c r="H651" s="31"/>
      <c r="I651" s="3"/>
      <c r="J651" s="106"/>
      <c r="K651" s="106"/>
      <c r="L651" s="107"/>
      <c r="M651" s="107"/>
      <c r="N651" s="101"/>
      <c r="O651" s="107"/>
      <c r="P651" s="4"/>
      <c r="V651" s="5"/>
      <c r="AC651" s="79"/>
      <c r="AD651" s="77"/>
      <c r="AE651" s="79"/>
      <c r="AF651" s="79"/>
      <c r="AG651" s="9"/>
      <c r="AH651" s="79"/>
      <c r="AL651" s="11"/>
      <c r="AM651" s="12"/>
    </row>
    <row r="652" s="1" customFormat="1" spans="4:39">
      <c r="D652" s="34"/>
      <c r="E652" s="34"/>
      <c r="F652" s="86"/>
      <c r="G652" s="86"/>
      <c r="H652" s="31"/>
      <c r="I652" s="3"/>
      <c r="J652" s="106"/>
      <c r="K652" s="106"/>
      <c r="L652" s="107"/>
      <c r="M652" s="107"/>
      <c r="N652" s="101"/>
      <c r="O652" s="107"/>
      <c r="P652" s="4"/>
      <c r="V652" s="5"/>
      <c r="AC652" s="79"/>
      <c r="AD652" s="77"/>
      <c r="AE652" s="79"/>
      <c r="AF652" s="79"/>
      <c r="AG652" s="9"/>
      <c r="AH652" s="79"/>
      <c r="AL652" s="11"/>
      <c r="AM652" s="12"/>
    </row>
    <row r="653" s="1" customFormat="1" spans="4:39">
      <c r="D653" s="34"/>
      <c r="E653" s="34"/>
      <c r="F653" s="86"/>
      <c r="G653" s="86"/>
      <c r="H653" s="31"/>
      <c r="I653" s="3"/>
      <c r="J653" s="106"/>
      <c r="K653" s="106"/>
      <c r="L653" s="107"/>
      <c r="M653" s="107"/>
      <c r="N653" s="101"/>
      <c r="O653" s="107"/>
      <c r="P653" s="4"/>
      <c r="V653" s="5"/>
      <c r="AC653" s="79"/>
      <c r="AD653" s="77"/>
      <c r="AE653" s="79"/>
      <c r="AF653" s="79"/>
      <c r="AG653" s="9"/>
      <c r="AH653" s="79"/>
      <c r="AL653" s="11"/>
      <c r="AM653" s="12"/>
    </row>
    <row r="654" s="1" customFormat="1" spans="4:39">
      <c r="D654" s="34"/>
      <c r="E654" s="34"/>
      <c r="F654" s="86"/>
      <c r="G654" s="86"/>
      <c r="H654" s="31"/>
      <c r="I654" s="3"/>
      <c r="J654" s="106"/>
      <c r="K654" s="106"/>
      <c r="L654" s="107"/>
      <c r="M654" s="107"/>
      <c r="N654" s="101"/>
      <c r="O654" s="107"/>
      <c r="P654" s="4"/>
      <c r="V654" s="5"/>
      <c r="AC654" s="79"/>
      <c r="AD654" s="77"/>
      <c r="AE654" s="79"/>
      <c r="AF654" s="79"/>
      <c r="AG654" s="9"/>
      <c r="AH654" s="79"/>
      <c r="AL654" s="11"/>
      <c r="AM654" s="12"/>
    </row>
    <row r="655" s="1" customFormat="1" spans="4:39">
      <c r="D655" s="34"/>
      <c r="E655" s="34"/>
      <c r="F655" s="86"/>
      <c r="G655" s="86"/>
      <c r="H655" s="31"/>
      <c r="I655" s="3"/>
      <c r="J655" s="106"/>
      <c r="K655" s="106"/>
      <c r="L655" s="107"/>
      <c r="M655" s="107"/>
      <c r="N655" s="101"/>
      <c r="O655" s="107"/>
      <c r="P655" s="4"/>
      <c r="V655" s="5"/>
      <c r="AC655" s="79"/>
      <c r="AD655" s="77"/>
      <c r="AE655" s="79"/>
      <c r="AF655" s="79"/>
      <c r="AG655" s="9"/>
      <c r="AH655" s="79"/>
      <c r="AL655" s="11"/>
      <c r="AM655" s="12"/>
    </row>
    <row r="656" s="1" customFormat="1" spans="4:39">
      <c r="D656" s="34"/>
      <c r="E656" s="34"/>
      <c r="F656" s="86"/>
      <c r="G656" s="86"/>
      <c r="H656" s="31"/>
      <c r="I656" s="3"/>
      <c r="J656" s="106"/>
      <c r="K656" s="106"/>
      <c r="L656" s="107"/>
      <c r="M656" s="107"/>
      <c r="N656" s="101"/>
      <c r="O656" s="107"/>
      <c r="P656" s="4"/>
      <c r="V656" s="5"/>
      <c r="AC656" s="79"/>
      <c r="AD656" s="77"/>
      <c r="AE656" s="79"/>
      <c r="AF656" s="79"/>
      <c r="AG656" s="9"/>
      <c r="AH656" s="79"/>
      <c r="AL656" s="11"/>
      <c r="AM656" s="12"/>
    </row>
    <row r="657" s="1" customFormat="1" spans="4:39">
      <c r="D657" s="34"/>
      <c r="E657" s="34"/>
      <c r="F657" s="86"/>
      <c r="G657" s="86"/>
      <c r="H657" s="31"/>
      <c r="I657" s="3"/>
      <c r="J657" s="106"/>
      <c r="K657" s="106"/>
      <c r="L657" s="107"/>
      <c r="M657" s="107"/>
      <c r="N657" s="101"/>
      <c r="O657" s="107"/>
      <c r="P657" s="4"/>
      <c r="V657" s="5"/>
      <c r="AC657" s="79"/>
      <c r="AD657" s="77"/>
      <c r="AE657" s="79"/>
      <c r="AF657" s="79"/>
      <c r="AG657" s="9"/>
      <c r="AH657" s="79"/>
      <c r="AL657" s="11"/>
      <c r="AM657" s="12"/>
    </row>
    <row r="658" s="1" customFormat="1" spans="4:39">
      <c r="D658" s="34"/>
      <c r="E658" s="34"/>
      <c r="F658" s="86"/>
      <c r="G658" s="86"/>
      <c r="H658" s="31"/>
      <c r="I658" s="3"/>
      <c r="J658" s="106"/>
      <c r="K658" s="106"/>
      <c r="L658" s="107"/>
      <c r="M658" s="107"/>
      <c r="N658" s="101"/>
      <c r="O658" s="107"/>
      <c r="P658" s="4"/>
      <c r="V658" s="5"/>
      <c r="AC658" s="79"/>
      <c r="AD658" s="77"/>
      <c r="AE658" s="79"/>
      <c r="AF658" s="79"/>
      <c r="AG658" s="9"/>
      <c r="AH658" s="79"/>
      <c r="AL658" s="11"/>
      <c r="AM658" s="12"/>
    </row>
    <row r="659" s="1" customFormat="1" spans="4:39">
      <c r="D659" s="34"/>
      <c r="E659" s="34"/>
      <c r="F659" s="86"/>
      <c r="G659" s="86"/>
      <c r="H659" s="31"/>
      <c r="I659" s="3"/>
      <c r="J659" s="106"/>
      <c r="K659" s="106"/>
      <c r="L659" s="107"/>
      <c r="M659" s="107"/>
      <c r="N659" s="101"/>
      <c r="O659" s="107"/>
      <c r="P659" s="4"/>
      <c r="V659" s="5"/>
      <c r="AC659" s="79"/>
      <c r="AD659" s="77"/>
      <c r="AE659" s="79"/>
      <c r="AF659" s="79"/>
      <c r="AG659" s="9"/>
      <c r="AH659" s="79"/>
      <c r="AL659" s="11"/>
      <c r="AM659" s="12"/>
    </row>
    <row r="660" s="1" customFormat="1" spans="4:39">
      <c r="D660" s="34"/>
      <c r="E660" s="34"/>
      <c r="F660" s="86"/>
      <c r="G660" s="86"/>
      <c r="H660" s="31"/>
      <c r="I660" s="3"/>
      <c r="J660" s="106"/>
      <c r="K660" s="106"/>
      <c r="L660" s="107"/>
      <c r="M660" s="107"/>
      <c r="N660" s="101"/>
      <c r="O660" s="107"/>
      <c r="P660" s="4"/>
      <c r="V660" s="5"/>
      <c r="AC660" s="79"/>
      <c r="AD660" s="77"/>
      <c r="AE660" s="79"/>
      <c r="AF660" s="79"/>
      <c r="AG660" s="9"/>
      <c r="AH660" s="79"/>
      <c r="AL660" s="11"/>
      <c r="AM660" s="12"/>
    </row>
    <row r="661" s="1" customFormat="1" spans="4:39">
      <c r="D661" s="34"/>
      <c r="E661" s="34"/>
      <c r="F661" s="86"/>
      <c r="G661" s="86"/>
      <c r="H661" s="31"/>
      <c r="I661" s="3"/>
      <c r="J661" s="106"/>
      <c r="K661" s="106"/>
      <c r="L661" s="107"/>
      <c r="M661" s="107"/>
      <c r="N661" s="101"/>
      <c r="O661" s="107"/>
      <c r="P661" s="4"/>
      <c r="V661" s="5"/>
      <c r="AC661" s="79"/>
      <c r="AD661" s="77"/>
      <c r="AE661" s="79"/>
      <c r="AF661" s="79"/>
      <c r="AG661" s="9"/>
      <c r="AH661" s="79"/>
      <c r="AL661" s="11"/>
      <c r="AM661" s="12"/>
    </row>
    <row r="662" s="1" customFormat="1" spans="4:39">
      <c r="D662" s="34"/>
      <c r="E662" s="34"/>
      <c r="F662" s="86"/>
      <c r="G662" s="86"/>
      <c r="H662" s="31"/>
      <c r="I662" s="3"/>
      <c r="J662" s="106"/>
      <c r="K662" s="106"/>
      <c r="L662" s="107"/>
      <c r="M662" s="107"/>
      <c r="N662" s="101"/>
      <c r="O662" s="107"/>
      <c r="P662" s="4"/>
      <c r="V662" s="5"/>
      <c r="AC662" s="79"/>
      <c r="AD662" s="77"/>
      <c r="AE662" s="79"/>
      <c r="AF662" s="79"/>
      <c r="AG662" s="9"/>
      <c r="AH662" s="79"/>
      <c r="AL662" s="11"/>
      <c r="AM662" s="12"/>
    </row>
    <row r="663" s="1" customFormat="1" spans="4:39">
      <c r="D663" s="34"/>
      <c r="E663" s="34"/>
      <c r="F663" s="86"/>
      <c r="G663" s="86"/>
      <c r="H663" s="31"/>
      <c r="I663" s="3"/>
      <c r="J663" s="106"/>
      <c r="K663" s="106"/>
      <c r="L663" s="107"/>
      <c r="M663" s="107"/>
      <c r="N663" s="101"/>
      <c r="O663" s="107"/>
      <c r="P663" s="4"/>
      <c r="V663" s="5"/>
      <c r="AC663" s="79"/>
      <c r="AD663" s="77"/>
      <c r="AE663" s="79"/>
      <c r="AF663" s="79"/>
      <c r="AG663" s="9"/>
      <c r="AH663" s="79"/>
      <c r="AL663" s="11"/>
      <c r="AM663" s="12"/>
    </row>
    <row r="664" s="1" customFormat="1" spans="4:39">
      <c r="D664" s="34"/>
      <c r="E664" s="34"/>
      <c r="F664" s="86"/>
      <c r="G664" s="86"/>
      <c r="H664" s="31"/>
      <c r="I664" s="3"/>
      <c r="J664" s="106"/>
      <c r="K664" s="106"/>
      <c r="L664" s="107"/>
      <c r="M664" s="107"/>
      <c r="N664" s="101"/>
      <c r="O664" s="107"/>
      <c r="P664" s="4"/>
      <c r="V664" s="5"/>
      <c r="AC664" s="79"/>
      <c r="AD664" s="77"/>
      <c r="AE664" s="79"/>
      <c r="AF664" s="79"/>
      <c r="AG664" s="9"/>
      <c r="AH664" s="79"/>
      <c r="AL664" s="11"/>
      <c r="AM664" s="12"/>
    </row>
    <row r="665" s="1" customFormat="1" spans="4:39">
      <c r="D665" s="34"/>
      <c r="E665" s="34"/>
      <c r="F665" s="86"/>
      <c r="G665" s="86"/>
      <c r="H665" s="31"/>
      <c r="I665" s="3"/>
      <c r="J665" s="106"/>
      <c r="K665" s="106"/>
      <c r="L665" s="107"/>
      <c r="M665" s="107"/>
      <c r="N665" s="101"/>
      <c r="O665" s="107"/>
      <c r="P665" s="4"/>
      <c r="V665" s="5"/>
      <c r="AC665" s="79"/>
      <c r="AD665" s="77"/>
      <c r="AE665" s="79"/>
      <c r="AF665" s="79"/>
      <c r="AG665" s="9"/>
      <c r="AH665" s="79"/>
      <c r="AL665" s="11"/>
      <c r="AM665" s="12"/>
    </row>
    <row r="666" s="1" customFormat="1" spans="4:39">
      <c r="D666" s="34"/>
      <c r="E666" s="34"/>
      <c r="F666" s="86"/>
      <c r="G666" s="86"/>
      <c r="H666" s="31"/>
      <c r="I666" s="3"/>
      <c r="J666" s="106"/>
      <c r="K666" s="106"/>
      <c r="L666" s="107"/>
      <c r="M666" s="107"/>
      <c r="N666" s="101"/>
      <c r="O666" s="107"/>
      <c r="P666" s="4"/>
      <c r="V666" s="5"/>
      <c r="AC666" s="79"/>
      <c r="AD666" s="77"/>
      <c r="AE666" s="79"/>
      <c r="AF666" s="79"/>
      <c r="AG666" s="9"/>
      <c r="AH666" s="79"/>
      <c r="AL666" s="11"/>
      <c r="AM666" s="12"/>
    </row>
    <row r="667" s="1" customFormat="1" spans="4:39">
      <c r="D667" s="34"/>
      <c r="E667" s="34"/>
      <c r="F667" s="86"/>
      <c r="G667" s="86"/>
      <c r="H667" s="31"/>
      <c r="I667" s="3"/>
      <c r="J667" s="106"/>
      <c r="K667" s="106"/>
      <c r="L667" s="107"/>
      <c r="M667" s="107"/>
      <c r="N667" s="101"/>
      <c r="O667" s="107"/>
      <c r="P667" s="4"/>
      <c r="V667" s="5"/>
      <c r="AC667" s="79"/>
      <c r="AD667" s="77"/>
      <c r="AE667" s="79"/>
      <c r="AF667" s="79"/>
      <c r="AG667" s="9"/>
      <c r="AH667" s="79"/>
      <c r="AL667" s="11"/>
      <c r="AM667" s="12"/>
    </row>
    <row r="668" s="1" customFormat="1" spans="4:39">
      <c r="D668" s="34"/>
      <c r="E668" s="34"/>
      <c r="F668" s="86"/>
      <c r="G668" s="86"/>
      <c r="H668" s="31"/>
      <c r="I668" s="3"/>
      <c r="J668" s="106"/>
      <c r="K668" s="106"/>
      <c r="L668" s="107"/>
      <c r="M668" s="107"/>
      <c r="N668" s="101"/>
      <c r="O668" s="107"/>
      <c r="P668" s="4"/>
      <c r="V668" s="5"/>
      <c r="AC668" s="79"/>
      <c r="AD668" s="77"/>
      <c r="AE668" s="79"/>
      <c r="AF668" s="79"/>
      <c r="AG668" s="9"/>
      <c r="AH668" s="79"/>
      <c r="AL668" s="11"/>
      <c r="AM668" s="12"/>
    </row>
    <row r="669" s="1" customFormat="1" spans="4:39">
      <c r="D669" s="34"/>
      <c r="E669" s="34"/>
      <c r="F669" s="86"/>
      <c r="G669" s="86"/>
      <c r="H669" s="31"/>
      <c r="I669" s="3"/>
      <c r="J669" s="106"/>
      <c r="K669" s="106"/>
      <c r="L669" s="107"/>
      <c r="M669" s="107"/>
      <c r="N669" s="101"/>
      <c r="O669" s="107"/>
      <c r="P669" s="4"/>
      <c r="V669" s="5"/>
      <c r="AC669" s="79"/>
      <c r="AD669" s="77"/>
      <c r="AE669" s="79"/>
      <c r="AF669" s="79"/>
      <c r="AG669" s="9"/>
      <c r="AH669" s="79"/>
      <c r="AL669" s="11"/>
      <c r="AM669" s="12"/>
    </row>
    <row r="670" s="1" customFormat="1" spans="4:39">
      <c r="D670" s="34"/>
      <c r="E670" s="34"/>
      <c r="F670" s="86"/>
      <c r="G670" s="86"/>
      <c r="H670" s="31"/>
      <c r="I670" s="3"/>
      <c r="J670" s="106"/>
      <c r="K670" s="106"/>
      <c r="L670" s="107"/>
      <c r="M670" s="107"/>
      <c r="N670" s="101"/>
      <c r="O670" s="107"/>
      <c r="P670" s="4"/>
      <c r="V670" s="5"/>
      <c r="AC670" s="79"/>
      <c r="AD670" s="77"/>
      <c r="AE670" s="79"/>
      <c r="AF670" s="79"/>
      <c r="AG670" s="9"/>
      <c r="AH670" s="79"/>
      <c r="AL670" s="11"/>
      <c r="AM670" s="12"/>
    </row>
    <row r="671" s="1" customFormat="1" spans="4:39">
      <c r="D671" s="34"/>
      <c r="E671" s="34"/>
      <c r="F671" s="86"/>
      <c r="G671" s="86"/>
      <c r="H671" s="31"/>
      <c r="I671" s="3"/>
      <c r="J671" s="106"/>
      <c r="K671" s="106"/>
      <c r="L671" s="107"/>
      <c r="M671" s="107"/>
      <c r="N671" s="101"/>
      <c r="O671" s="107"/>
      <c r="P671" s="4"/>
      <c r="V671" s="5"/>
      <c r="AC671" s="79"/>
      <c r="AD671" s="77"/>
      <c r="AE671" s="79"/>
      <c r="AF671" s="79"/>
      <c r="AG671" s="9"/>
      <c r="AH671" s="79"/>
      <c r="AL671" s="11"/>
      <c r="AM671" s="12"/>
    </row>
    <row r="672" s="1" customFormat="1" spans="4:39">
      <c r="D672" s="34"/>
      <c r="E672" s="34"/>
      <c r="F672" s="86"/>
      <c r="G672" s="86"/>
      <c r="H672" s="31"/>
      <c r="I672" s="3"/>
      <c r="J672" s="106"/>
      <c r="K672" s="106"/>
      <c r="L672" s="107"/>
      <c r="M672" s="107"/>
      <c r="N672" s="101"/>
      <c r="O672" s="107"/>
      <c r="P672" s="4"/>
      <c r="V672" s="5"/>
      <c r="AC672" s="79"/>
      <c r="AD672" s="77"/>
      <c r="AE672" s="79"/>
      <c r="AF672" s="79"/>
      <c r="AG672" s="9"/>
      <c r="AH672" s="79"/>
      <c r="AL672" s="11"/>
      <c r="AM672" s="12"/>
    </row>
    <row r="673" s="1" customFormat="1" spans="4:39">
      <c r="D673" s="34"/>
      <c r="E673" s="34"/>
      <c r="F673" s="86"/>
      <c r="G673" s="86"/>
      <c r="H673" s="31"/>
      <c r="I673" s="3"/>
      <c r="J673" s="106"/>
      <c r="K673" s="106"/>
      <c r="L673" s="107"/>
      <c r="M673" s="107"/>
      <c r="N673" s="101"/>
      <c r="O673" s="107"/>
      <c r="P673" s="4"/>
      <c r="V673" s="5"/>
      <c r="AC673" s="79"/>
      <c r="AD673" s="77"/>
      <c r="AE673" s="79"/>
      <c r="AF673" s="79"/>
      <c r="AG673" s="9"/>
      <c r="AH673" s="79"/>
      <c r="AL673" s="11"/>
      <c r="AM673" s="12"/>
    </row>
    <row r="674" s="1" customFormat="1" spans="4:39">
      <c r="D674" s="34"/>
      <c r="E674" s="34"/>
      <c r="F674" s="86"/>
      <c r="G674" s="86"/>
      <c r="H674" s="31"/>
      <c r="I674" s="3"/>
      <c r="J674" s="106"/>
      <c r="K674" s="106"/>
      <c r="L674" s="107"/>
      <c r="M674" s="107"/>
      <c r="N674" s="101"/>
      <c r="O674" s="107"/>
      <c r="P674" s="4"/>
      <c r="V674" s="5"/>
      <c r="AC674" s="79"/>
      <c r="AD674" s="77"/>
      <c r="AE674" s="79"/>
      <c r="AF674" s="79"/>
      <c r="AG674" s="9"/>
      <c r="AH674" s="79"/>
      <c r="AL674" s="11"/>
      <c r="AM674" s="12"/>
    </row>
    <row r="675" s="1" customFormat="1" spans="4:39">
      <c r="D675" s="34"/>
      <c r="E675" s="34"/>
      <c r="F675" s="86"/>
      <c r="G675" s="86"/>
      <c r="H675" s="31"/>
      <c r="I675" s="3"/>
      <c r="J675" s="106"/>
      <c r="K675" s="106"/>
      <c r="L675" s="107"/>
      <c r="M675" s="107"/>
      <c r="N675" s="101"/>
      <c r="O675" s="107"/>
      <c r="P675" s="4"/>
      <c r="V675" s="5"/>
      <c r="AC675" s="79"/>
      <c r="AD675" s="77"/>
      <c r="AE675" s="79"/>
      <c r="AF675" s="79"/>
      <c r="AG675" s="9"/>
      <c r="AH675" s="79"/>
      <c r="AL675" s="11"/>
      <c r="AM675" s="12"/>
    </row>
    <row r="676" s="1" customFormat="1" spans="4:39">
      <c r="D676" s="34"/>
      <c r="E676" s="34"/>
      <c r="F676" s="86"/>
      <c r="G676" s="86"/>
      <c r="H676" s="31"/>
      <c r="I676" s="3"/>
      <c r="J676" s="106"/>
      <c r="K676" s="106"/>
      <c r="L676" s="107"/>
      <c r="M676" s="107"/>
      <c r="N676" s="101"/>
      <c r="O676" s="107"/>
      <c r="P676" s="4"/>
      <c r="V676" s="5"/>
      <c r="AC676" s="79"/>
      <c r="AD676" s="77"/>
      <c r="AE676" s="79"/>
      <c r="AF676" s="79"/>
      <c r="AG676" s="9"/>
      <c r="AH676" s="79"/>
      <c r="AL676" s="11"/>
      <c r="AM676" s="12"/>
    </row>
    <row r="677" s="1" customFormat="1" spans="4:39">
      <c r="D677" s="34"/>
      <c r="E677" s="34"/>
      <c r="F677" s="86"/>
      <c r="G677" s="86"/>
      <c r="H677" s="31"/>
      <c r="I677" s="3"/>
      <c r="J677" s="106"/>
      <c r="K677" s="106"/>
      <c r="L677" s="107"/>
      <c r="M677" s="107"/>
      <c r="N677" s="101"/>
      <c r="O677" s="107"/>
      <c r="P677" s="4"/>
      <c r="V677" s="5"/>
      <c r="AC677" s="79"/>
      <c r="AD677" s="77"/>
      <c r="AE677" s="79"/>
      <c r="AF677" s="79"/>
      <c r="AG677" s="9"/>
      <c r="AH677" s="79"/>
      <c r="AL677" s="11"/>
      <c r="AM677" s="12"/>
    </row>
    <row r="678" s="1" customFormat="1" spans="4:39">
      <c r="D678" s="34"/>
      <c r="E678" s="34"/>
      <c r="F678" s="86"/>
      <c r="G678" s="86"/>
      <c r="H678" s="31"/>
      <c r="I678" s="3"/>
      <c r="J678" s="106"/>
      <c r="K678" s="106"/>
      <c r="L678" s="107"/>
      <c r="M678" s="107"/>
      <c r="N678" s="101"/>
      <c r="O678" s="107"/>
      <c r="P678" s="4"/>
      <c r="V678" s="5"/>
      <c r="AC678" s="79"/>
      <c r="AD678" s="77"/>
      <c r="AE678" s="79"/>
      <c r="AF678" s="79"/>
      <c r="AG678" s="9"/>
      <c r="AH678" s="79"/>
      <c r="AL678" s="11"/>
      <c r="AM678" s="12"/>
    </row>
    <row r="679" s="1" customFormat="1" spans="4:39">
      <c r="D679" s="34"/>
      <c r="E679" s="34"/>
      <c r="F679" s="86"/>
      <c r="G679" s="86"/>
      <c r="H679" s="31"/>
      <c r="I679" s="3"/>
      <c r="J679" s="106"/>
      <c r="K679" s="106"/>
      <c r="L679" s="107"/>
      <c r="M679" s="107"/>
      <c r="N679" s="101"/>
      <c r="O679" s="107"/>
      <c r="P679" s="4"/>
      <c r="V679" s="5"/>
      <c r="AC679" s="79"/>
      <c r="AD679" s="77"/>
      <c r="AE679" s="79"/>
      <c r="AF679" s="79"/>
      <c r="AG679" s="9"/>
      <c r="AH679" s="79"/>
      <c r="AL679" s="11"/>
      <c r="AM679" s="12"/>
    </row>
    <row r="680" s="1" customFormat="1" spans="4:39">
      <c r="D680" s="34"/>
      <c r="E680" s="34"/>
      <c r="F680" s="86"/>
      <c r="G680" s="86"/>
      <c r="H680" s="31"/>
      <c r="I680" s="3"/>
      <c r="J680" s="106"/>
      <c r="K680" s="106"/>
      <c r="L680" s="107"/>
      <c r="M680" s="107"/>
      <c r="N680" s="101"/>
      <c r="O680" s="107"/>
      <c r="P680" s="4"/>
      <c r="V680" s="5"/>
      <c r="AC680" s="79"/>
      <c r="AD680" s="77"/>
      <c r="AE680" s="79"/>
      <c r="AF680" s="79"/>
      <c r="AG680" s="9"/>
      <c r="AH680" s="79"/>
      <c r="AL680" s="11"/>
      <c r="AM680" s="12"/>
    </row>
    <row r="681" s="1" customFormat="1" spans="4:39">
      <c r="D681" s="34"/>
      <c r="E681" s="34"/>
      <c r="F681" s="86"/>
      <c r="G681" s="86"/>
      <c r="H681" s="31"/>
      <c r="I681" s="3"/>
      <c r="J681" s="106"/>
      <c r="K681" s="106"/>
      <c r="L681" s="107"/>
      <c r="M681" s="107"/>
      <c r="N681" s="101"/>
      <c r="O681" s="107"/>
      <c r="P681" s="4"/>
      <c r="V681" s="5"/>
      <c r="AC681" s="79"/>
      <c r="AD681" s="77"/>
      <c r="AE681" s="79"/>
      <c r="AF681" s="79"/>
      <c r="AG681" s="9"/>
      <c r="AH681" s="79"/>
      <c r="AL681" s="11"/>
      <c r="AM681" s="12"/>
    </row>
    <row r="682" s="1" customFormat="1" spans="4:39">
      <c r="D682" s="34"/>
      <c r="E682" s="34"/>
      <c r="F682" s="86"/>
      <c r="G682" s="86"/>
      <c r="H682" s="31"/>
      <c r="I682" s="3"/>
      <c r="J682" s="106"/>
      <c r="K682" s="106"/>
      <c r="L682" s="107"/>
      <c r="M682" s="107"/>
      <c r="N682" s="101"/>
      <c r="O682" s="107"/>
      <c r="P682" s="4"/>
      <c r="V682" s="5"/>
      <c r="AC682" s="79"/>
      <c r="AD682" s="77"/>
      <c r="AE682" s="79"/>
      <c r="AF682" s="79"/>
      <c r="AG682" s="9"/>
      <c r="AH682" s="79"/>
      <c r="AL682" s="11"/>
      <c r="AM682" s="12"/>
    </row>
    <row r="683" s="1" customFormat="1" spans="4:39">
      <c r="D683" s="34"/>
      <c r="E683" s="34"/>
      <c r="F683" s="86"/>
      <c r="G683" s="86"/>
      <c r="H683" s="31"/>
      <c r="I683" s="3"/>
      <c r="J683" s="106"/>
      <c r="K683" s="106"/>
      <c r="L683" s="107"/>
      <c r="M683" s="107"/>
      <c r="N683" s="101"/>
      <c r="O683" s="107"/>
      <c r="P683" s="4"/>
      <c r="V683" s="5"/>
      <c r="AC683" s="79"/>
      <c r="AD683" s="77"/>
      <c r="AE683" s="79"/>
      <c r="AF683" s="79"/>
      <c r="AG683" s="9"/>
      <c r="AH683" s="79"/>
      <c r="AL683" s="11"/>
      <c r="AM683" s="12"/>
    </row>
    <row r="684" s="1" customFormat="1" spans="4:39">
      <c r="D684" s="34"/>
      <c r="E684" s="34"/>
      <c r="F684" s="86"/>
      <c r="G684" s="86"/>
      <c r="H684" s="31"/>
      <c r="I684" s="3"/>
      <c r="J684" s="106"/>
      <c r="K684" s="106"/>
      <c r="L684" s="107"/>
      <c r="M684" s="107"/>
      <c r="N684" s="101"/>
      <c r="O684" s="107"/>
      <c r="P684" s="4"/>
      <c r="V684" s="5"/>
      <c r="AC684" s="79"/>
      <c r="AD684" s="77"/>
      <c r="AE684" s="79"/>
      <c r="AF684" s="79"/>
      <c r="AG684" s="9"/>
      <c r="AH684" s="79"/>
      <c r="AL684" s="11"/>
      <c r="AM684" s="12"/>
    </row>
    <row r="685" s="1" customFormat="1" spans="4:39">
      <c r="D685" s="34"/>
      <c r="E685" s="34"/>
      <c r="F685" s="86"/>
      <c r="G685" s="86"/>
      <c r="H685" s="31"/>
      <c r="I685" s="3"/>
      <c r="J685" s="106"/>
      <c r="K685" s="106"/>
      <c r="L685" s="107"/>
      <c r="M685" s="107"/>
      <c r="N685" s="101"/>
      <c r="O685" s="107"/>
      <c r="P685" s="4"/>
      <c r="V685" s="5"/>
      <c r="AC685" s="79"/>
      <c r="AD685" s="77"/>
      <c r="AE685" s="79"/>
      <c r="AF685" s="79"/>
      <c r="AG685" s="9"/>
      <c r="AH685" s="79"/>
      <c r="AL685" s="11"/>
      <c r="AM685" s="12"/>
    </row>
    <row r="686" s="1" customFormat="1" spans="4:39">
      <c r="D686" s="34"/>
      <c r="E686" s="34"/>
      <c r="F686" s="86"/>
      <c r="G686" s="86"/>
      <c r="H686" s="31"/>
      <c r="I686" s="3"/>
      <c r="J686" s="106"/>
      <c r="K686" s="106"/>
      <c r="L686" s="107"/>
      <c r="M686" s="107"/>
      <c r="N686" s="101"/>
      <c r="O686" s="107"/>
      <c r="P686" s="4"/>
      <c r="V686" s="5"/>
      <c r="AC686" s="79"/>
      <c r="AD686" s="77"/>
      <c r="AE686" s="79"/>
      <c r="AF686" s="79"/>
      <c r="AG686" s="9"/>
      <c r="AH686" s="79"/>
      <c r="AL686" s="11"/>
      <c r="AM686" s="12"/>
    </row>
    <row r="687" s="1" customFormat="1" spans="4:39">
      <c r="D687" s="34"/>
      <c r="E687" s="34"/>
      <c r="F687" s="86"/>
      <c r="G687" s="86"/>
      <c r="H687" s="31"/>
      <c r="I687" s="3"/>
      <c r="J687" s="106"/>
      <c r="K687" s="106"/>
      <c r="L687" s="107"/>
      <c r="M687" s="107"/>
      <c r="N687" s="101"/>
      <c r="O687" s="107"/>
      <c r="P687" s="4"/>
      <c r="V687" s="5"/>
      <c r="AC687" s="79"/>
      <c r="AD687" s="77"/>
      <c r="AE687" s="79"/>
      <c r="AF687" s="79"/>
      <c r="AG687" s="9"/>
      <c r="AH687" s="79"/>
      <c r="AL687" s="11"/>
      <c r="AM687" s="12"/>
    </row>
    <row r="688" s="1" customFormat="1" spans="4:39">
      <c r="D688" s="34"/>
      <c r="E688" s="34"/>
      <c r="F688" s="86"/>
      <c r="G688" s="86"/>
      <c r="H688" s="31"/>
      <c r="I688" s="3"/>
      <c r="J688" s="106"/>
      <c r="K688" s="106"/>
      <c r="L688" s="107"/>
      <c r="M688" s="107"/>
      <c r="N688" s="101"/>
      <c r="O688" s="107"/>
      <c r="P688" s="4"/>
      <c r="V688" s="5"/>
      <c r="AC688" s="79"/>
      <c r="AD688" s="77"/>
      <c r="AE688" s="79"/>
      <c r="AF688" s="79"/>
      <c r="AG688" s="9"/>
      <c r="AH688" s="79"/>
      <c r="AL688" s="11"/>
      <c r="AM688" s="12"/>
    </row>
    <row r="689" s="1" customFormat="1" spans="4:39">
      <c r="D689" s="34"/>
      <c r="E689" s="34"/>
      <c r="F689" s="86"/>
      <c r="G689" s="86"/>
      <c r="H689" s="31"/>
      <c r="I689" s="3"/>
      <c r="J689" s="106"/>
      <c r="K689" s="106"/>
      <c r="L689" s="107"/>
      <c r="M689" s="107"/>
      <c r="N689" s="101"/>
      <c r="O689" s="107"/>
      <c r="P689" s="4"/>
      <c r="V689" s="5"/>
      <c r="AC689" s="79"/>
      <c r="AD689" s="77"/>
      <c r="AE689" s="79"/>
      <c r="AF689" s="79"/>
      <c r="AG689" s="9"/>
      <c r="AH689" s="79"/>
      <c r="AL689" s="11"/>
      <c r="AM689" s="12"/>
    </row>
    <row r="690" s="1" customFormat="1" spans="4:39">
      <c r="D690" s="34"/>
      <c r="E690" s="34"/>
      <c r="F690" s="86"/>
      <c r="G690" s="86"/>
      <c r="H690" s="31"/>
      <c r="I690" s="3"/>
      <c r="J690" s="106"/>
      <c r="K690" s="106"/>
      <c r="L690" s="107"/>
      <c r="M690" s="107"/>
      <c r="N690" s="101"/>
      <c r="O690" s="107"/>
      <c r="P690" s="4"/>
      <c r="V690" s="5"/>
      <c r="AC690" s="79"/>
      <c r="AD690" s="77"/>
      <c r="AE690" s="79"/>
      <c r="AF690" s="79"/>
      <c r="AG690" s="9"/>
      <c r="AH690" s="79"/>
      <c r="AL690" s="11"/>
      <c r="AM690" s="12"/>
    </row>
    <row r="691" s="1" customFormat="1" spans="4:39">
      <c r="D691" s="34"/>
      <c r="E691" s="34"/>
      <c r="F691" s="86"/>
      <c r="G691" s="86"/>
      <c r="H691" s="31"/>
      <c r="I691" s="3"/>
      <c r="J691" s="106"/>
      <c r="K691" s="106"/>
      <c r="L691" s="107"/>
      <c r="M691" s="107"/>
      <c r="N691" s="101"/>
      <c r="O691" s="107"/>
      <c r="P691" s="4"/>
      <c r="V691" s="5"/>
      <c r="AC691" s="79"/>
      <c r="AD691" s="77"/>
      <c r="AE691" s="79"/>
      <c r="AF691" s="79"/>
      <c r="AG691" s="9"/>
      <c r="AH691" s="79"/>
      <c r="AL691" s="11"/>
      <c r="AM691" s="12"/>
    </row>
    <row r="692" s="1" customFormat="1" spans="4:39">
      <c r="D692" s="34"/>
      <c r="E692" s="34"/>
      <c r="F692" s="86"/>
      <c r="G692" s="86"/>
      <c r="H692" s="31"/>
      <c r="I692" s="3"/>
      <c r="J692" s="106"/>
      <c r="K692" s="106"/>
      <c r="L692" s="107"/>
      <c r="M692" s="107"/>
      <c r="N692" s="101"/>
      <c r="O692" s="107"/>
      <c r="P692" s="4"/>
      <c r="V692" s="5"/>
      <c r="AC692" s="79"/>
      <c r="AD692" s="77"/>
      <c r="AE692" s="79"/>
      <c r="AF692" s="79"/>
      <c r="AG692" s="9"/>
      <c r="AH692" s="79"/>
      <c r="AL692" s="11"/>
      <c r="AM692" s="12"/>
    </row>
    <row r="693" s="1" customFormat="1" spans="4:39">
      <c r="D693" s="34"/>
      <c r="E693" s="34"/>
      <c r="F693" s="86"/>
      <c r="G693" s="86"/>
      <c r="H693" s="31"/>
      <c r="I693" s="3"/>
      <c r="J693" s="106"/>
      <c r="K693" s="106"/>
      <c r="L693" s="107"/>
      <c r="M693" s="107"/>
      <c r="N693" s="101"/>
      <c r="O693" s="107"/>
      <c r="P693" s="4"/>
      <c r="V693" s="5"/>
      <c r="AC693" s="79"/>
      <c r="AD693" s="77"/>
      <c r="AE693" s="79"/>
      <c r="AF693" s="79"/>
      <c r="AG693" s="9"/>
      <c r="AH693" s="79"/>
      <c r="AL693" s="11"/>
      <c r="AM693" s="12"/>
    </row>
    <row r="694" s="1" customFormat="1" spans="4:39">
      <c r="D694" s="34"/>
      <c r="E694" s="34"/>
      <c r="F694" s="86"/>
      <c r="G694" s="86"/>
      <c r="H694" s="31"/>
      <c r="I694" s="3"/>
      <c r="J694" s="106"/>
      <c r="K694" s="106"/>
      <c r="L694" s="107"/>
      <c r="M694" s="107"/>
      <c r="N694" s="101"/>
      <c r="O694" s="107"/>
      <c r="P694" s="4"/>
      <c r="V694" s="5"/>
      <c r="AC694" s="79"/>
      <c r="AD694" s="77"/>
      <c r="AE694" s="79"/>
      <c r="AF694" s="79"/>
      <c r="AG694" s="9"/>
      <c r="AH694" s="79"/>
      <c r="AL694" s="11"/>
      <c r="AM694" s="12"/>
    </row>
    <row r="695" s="1" customFormat="1" spans="4:39">
      <c r="D695" s="34"/>
      <c r="E695" s="34"/>
      <c r="F695" s="86"/>
      <c r="G695" s="86"/>
      <c r="H695" s="31"/>
      <c r="I695" s="3"/>
      <c r="J695" s="106"/>
      <c r="K695" s="106"/>
      <c r="L695" s="107"/>
      <c r="M695" s="107"/>
      <c r="N695" s="101"/>
      <c r="O695" s="107"/>
      <c r="P695" s="4"/>
      <c r="V695" s="5"/>
      <c r="AC695" s="79"/>
      <c r="AD695" s="77"/>
      <c r="AE695" s="79"/>
      <c r="AF695" s="79"/>
      <c r="AG695" s="9"/>
      <c r="AH695" s="79"/>
      <c r="AL695" s="11"/>
      <c r="AM695" s="12"/>
    </row>
    <row r="696" s="1" customFormat="1" spans="4:39">
      <c r="D696" s="34"/>
      <c r="E696" s="34"/>
      <c r="F696" s="86"/>
      <c r="G696" s="86"/>
      <c r="H696" s="31"/>
      <c r="I696" s="3"/>
      <c r="J696" s="106"/>
      <c r="K696" s="106"/>
      <c r="L696" s="107"/>
      <c r="M696" s="107"/>
      <c r="N696" s="101"/>
      <c r="O696" s="107"/>
      <c r="P696" s="4"/>
      <c r="V696" s="5"/>
      <c r="AC696" s="79"/>
      <c r="AD696" s="77"/>
      <c r="AE696" s="79"/>
      <c r="AF696" s="79"/>
      <c r="AG696" s="9"/>
      <c r="AH696" s="79"/>
      <c r="AL696" s="11"/>
      <c r="AM696" s="12"/>
    </row>
    <row r="697" s="1" customFormat="1" spans="4:39">
      <c r="D697" s="34"/>
      <c r="E697" s="34"/>
      <c r="F697" s="86"/>
      <c r="G697" s="86"/>
      <c r="H697" s="31"/>
      <c r="I697" s="3"/>
      <c r="J697" s="106"/>
      <c r="K697" s="106"/>
      <c r="L697" s="107"/>
      <c r="M697" s="107"/>
      <c r="N697" s="101"/>
      <c r="O697" s="107"/>
      <c r="P697" s="4"/>
      <c r="V697" s="5"/>
      <c r="AC697" s="79"/>
      <c r="AD697" s="77"/>
      <c r="AE697" s="79"/>
      <c r="AF697" s="79"/>
      <c r="AG697" s="9"/>
      <c r="AH697" s="79"/>
      <c r="AL697" s="11"/>
      <c r="AM697" s="12"/>
    </row>
    <row r="698" s="1" customFormat="1" spans="4:39">
      <c r="D698" s="34"/>
      <c r="E698" s="34"/>
      <c r="F698" s="86"/>
      <c r="G698" s="86"/>
      <c r="H698" s="31"/>
      <c r="I698" s="3"/>
      <c r="J698" s="106"/>
      <c r="K698" s="106"/>
      <c r="L698" s="107"/>
      <c r="M698" s="107"/>
      <c r="N698" s="101"/>
      <c r="O698" s="107"/>
      <c r="P698" s="4"/>
      <c r="V698" s="5"/>
      <c r="AC698" s="79"/>
      <c r="AD698" s="77"/>
      <c r="AE698" s="79"/>
      <c r="AF698" s="79"/>
      <c r="AG698" s="9"/>
      <c r="AH698" s="79"/>
      <c r="AL698" s="11"/>
      <c r="AM698" s="12"/>
    </row>
    <row r="699" s="1" customFormat="1" spans="4:39">
      <c r="D699" s="34"/>
      <c r="E699" s="34"/>
      <c r="F699" s="86"/>
      <c r="G699" s="86"/>
      <c r="H699" s="31"/>
      <c r="I699" s="3"/>
      <c r="J699" s="106"/>
      <c r="K699" s="106"/>
      <c r="L699" s="107"/>
      <c r="M699" s="107"/>
      <c r="N699" s="101"/>
      <c r="O699" s="107"/>
      <c r="P699" s="4"/>
      <c r="V699" s="5"/>
      <c r="AC699" s="79"/>
      <c r="AD699" s="77"/>
      <c r="AE699" s="79"/>
      <c r="AF699" s="79"/>
      <c r="AG699" s="9"/>
      <c r="AH699" s="79"/>
      <c r="AL699" s="11"/>
      <c r="AM699" s="12"/>
    </row>
    <row r="700" s="1" customFormat="1" spans="4:39">
      <c r="D700" s="34"/>
      <c r="E700" s="34"/>
      <c r="F700" s="86"/>
      <c r="G700" s="86"/>
      <c r="H700" s="31"/>
      <c r="I700" s="3"/>
      <c r="J700" s="106"/>
      <c r="K700" s="106"/>
      <c r="L700" s="107"/>
      <c r="M700" s="107"/>
      <c r="N700" s="101"/>
      <c r="O700" s="107"/>
      <c r="P700" s="4"/>
      <c r="V700" s="5"/>
      <c r="AC700" s="79"/>
      <c r="AD700" s="77"/>
      <c r="AE700" s="79"/>
      <c r="AF700" s="79"/>
      <c r="AG700" s="9"/>
      <c r="AH700" s="79"/>
      <c r="AL700" s="11"/>
      <c r="AM700" s="12"/>
    </row>
    <row r="701" s="1" customFormat="1" spans="4:39">
      <c r="D701" s="34"/>
      <c r="E701" s="34"/>
      <c r="F701" s="86"/>
      <c r="G701" s="86"/>
      <c r="H701" s="31"/>
      <c r="I701" s="3"/>
      <c r="J701" s="106"/>
      <c r="K701" s="106"/>
      <c r="L701" s="107"/>
      <c r="M701" s="107"/>
      <c r="N701" s="101"/>
      <c r="O701" s="107"/>
      <c r="P701" s="4"/>
      <c r="V701" s="5"/>
      <c r="AC701" s="79"/>
      <c r="AD701" s="77"/>
      <c r="AE701" s="79"/>
      <c r="AF701" s="79"/>
      <c r="AG701" s="9"/>
      <c r="AH701" s="79"/>
      <c r="AL701" s="11"/>
      <c r="AM701" s="12"/>
    </row>
    <row r="702" s="1" customFormat="1" spans="4:39">
      <c r="D702" s="34"/>
      <c r="E702" s="34"/>
      <c r="F702" s="86"/>
      <c r="G702" s="86"/>
      <c r="H702" s="31"/>
      <c r="I702" s="3"/>
      <c r="J702" s="106"/>
      <c r="K702" s="106"/>
      <c r="L702" s="107"/>
      <c r="M702" s="107"/>
      <c r="N702" s="101"/>
      <c r="O702" s="107"/>
      <c r="P702" s="4"/>
      <c r="V702" s="5"/>
      <c r="AC702" s="79"/>
      <c r="AD702" s="77"/>
      <c r="AE702" s="79"/>
      <c r="AF702" s="79"/>
      <c r="AG702" s="9"/>
      <c r="AH702" s="79"/>
      <c r="AL702" s="11"/>
      <c r="AM702" s="12"/>
    </row>
    <row r="703" s="1" customFormat="1" spans="4:39">
      <c r="D703" s="34"/>
      <c r="E703" s="34"/>
      <c r="F703" s="86"/>
      <c r="G703" s="86"/>
      <c r="H703" s="31"/>
      <c r="I703" s="3"/>
      <c r="J703" s="106"/>
      <c r="K703" s="106"/>
      <c r="L703" s="107"/>
      <c r="M703" s="107"/>
      <c r="N703" s="101"/>
      <c r="O703" s="107"/>
      <c r="P703" s="4"/>
      <c r="V703" s="5"/>
      <c r="AC703" s="79"/>
      <c r="AD703" s="77"/>
      <c r="AE703" s="79"/>
      <c r="AF703" s="79"/>
      <c r="AG703" s="9"/>
      <c r="AH703" s="79"/>
      <c r="AL703" s="11"/>
      <c r="AM703" s="12"/>
    </row>
    <row r="704" s="1" customFormat="1" spans="4:39">
      <c r="D704" s="34"/>
      <c r="E704" s="34"/>
      <c r="F704" s="86"/>
      <c r="G704" s="86"/>
      <c r="H704" s="31"/>
      <c r="I704" s="3"/>
      <c r="J704" s="106"/>
      <c r="K704" s="106"/>
      <c r="L704" s="107"/>
      <c r="M704" s="107"/>
      <c r="N704" s="101"/>
      <c r="O704" s="107"/>
      <c r="P704" s="4"/>
      <c r="V704" s="5"/>
      <c r="AC704" s="79"/>
      <c r="AD704" s="77"/>
      <c r="AE704" s="79"/>
      <c r="AF704" s="79"/>
      <c r="AG704" s="9"/>
      <c r="AH704" s="79"/>
      <c r="AL704" s="11"/>
      <c r="AM704" s="12"/>
    </row>
    <row r="705" s="1" customFormat="1" spans="4:39">
      <c r="D705" s="34"/>
      <c r="E705" s="34"/>
      <c r="F705" s="86"/>
      <c r="G705" s="86"/>
      <c r="H705" s="31"/>
      <c r="I705" s="3"/>
      <c r="J705" s="106"/>
      <c r="K705" s="106"/>
      <c r="L705" s="107"/>
      <c r="M705" s="107"/>
      <c r="N705" s="101"/>
      <c r="O705" s="107"/>
      <c r="P705" s="4"/>
      <c r="V705" s="5"/>
      <c r="AC705" s="79"/>
      <c r="AD705" s="77"/>
      <c r="AE705" s="79"/>
      <c r="AF705" s="79"/>
      <c r="AG705" s="9"/>
      <c r="AH705" s="79"/>
      <c r="AL705" s="11"/>
      <c r="AM705" s="12"/>
    </row>
    <row r="706" s="1" customFormat="1" spans="4:39">
      <c r="D706" s="34"/>
      <c r="E706" s="34"/>
      <c r="F706" s="86"/>
      <c r="G706" s="86"/>
      <c r="H706" s="31"/>
      <c r="I706" s="3"/>
      <c r="J706" s="106"/>
      <c r="K706" s="106"/>
      <c r="L706" s="107"/>
      <c r="M706" s="107"/>
      <c r="N706" s="101"/>
      <c r="O706" s="107"/>
      <c r="P706" s="4"/>
      <c r="V706" s="5"/>
      <c r="AC706" s="79"/>
      <c r="AD706" s="77"/>
      <c r="AE706" s="79"/>
      <c r="AF706" s="79"/>
      <c r="AG706" s="9"/>
      <c r="AH706" s="79"/>
      <c r="AL706" s="11"/>
      <c r="AM706" s="12"/>
    </row>
    <row r="707" s="1" customFormat="1" spans="4:39">
      <c r="D707" s="34"/>
      <c r="E707" s="34"/>
      <c r="F707" s="86"/>
      <c r="G707" s="86"/>
      <c r="H707" s="31"/>
      <c r="I707" s="3"/>
      <c r="J707" s="106"/>
      <c r="K707" s="106"/>
      <c r="L707" s="107"/>
      <c r="M707" s="107"/>
      <c r="N707" s="101"/>
      <c r="O707" s="107"/>
      <c r="P707" s="4"/>
      <c r="V707" s="5"/>
      <c r="AC707" s="79"/>
      <c r="AD707" s="77"/>
      <c r="AE707" s="79"/>
      <c r="AF707" s="79"/>
      <c r="AG707" s="9"/>
      <c r="AH707" s="79"/>
      <c r="AL707" s="11"/>
      <c r="AM707" s="12"/>
    </row>
    <row r="708" s="1" customFormat="1" spans="4:39">
      <c r="D708" s="34"/>
      <c r="E708" s="34"/>
      <c r="F708" s="86"/>
      <c r="G708" s="86"/>
      <c r="H708" s="31"/>
      <c r="I708" s="3"/>
      <c r="J708" s="106"/>
      <c r="K708" s="106"/>
      <c r="L708" s="107"/>
      <c r="M708" s="107"/>
      <c r="N708" s="101"/>
      <c r="O708" s="107"/>
      <c r="P708" s="4"/>
      <c r="V708" s="5"/>
      <c r="AC708" s="79"/>
      <c r="AD708" s="77"/>
      <c r="AE708" s="79"/>
      <c r="AF708" s="79"/>
      <c r="AG708" s="9"/>
      <c r="AH708" s="79"/>
      <c r="AL708" s="11"/>
      <c r="AM708" s="12"/>
    </row>
    <row r="709" s="1" customFormat="1" spans="4:39">
      <c r="D709" s="34"/>
      <c r="E709" s="34"/>
      <c r="F709" s="86"/>
      <c r="G709" s="86"/>
      <c r="H709" s="31"/>
      <c r="I709" s="3"/>
      <c r="J709" s="106"/>
      <c r="K709" s="106"/>
      <c r="L709" s="107"/>
      <c r="M709" s="107"/>
      <c r="N709" s="101"/>
      <c r="O709" s="107"/>
      <c r="P709" s="4"/>
      <c r="V709" s="5"/>
      <c r="AC709" s="79"/>
      <c r="AD709" s="77"/>
      <c r="AE709" s="79"/>
      <c r="AF709" s="79"/>
      <c r="AG709" s="9"/>
      <c r="AH709" s="79"/>
      <c r="AL709" s="11"/>
      <c r="AM709" s="12"/>
    </row>
    <row r="710" s="1" customFormat="1" spans="4:39">
      <c r="D710" s="34"/>
      <c r="E710" s="34"/>
      <c r="F710" s="86"/>
      <c r="G710" s="86"/>
      <c r="H710" s="31"/>
      <c r="I710" s="3"/>
      <c r="J710" s="106"/>
      <c r="K710" s="106"/>
      <c r="L710" s="107"/>
      <c r="M710" s="107"/>
      <c r="N710" s="101"/>
      <c r="O710" s="107"/>
      <c r="P710" s="4"/>
      <c r="V710" s="5"/>
      <c r="AC710" s="79"/>
      <c r="AD710" s="77"/>
      <c r="AE710" s="79"/>
      <c r="AF710" s="79"/>
      <c r="AG710" s="9"/>
      <c r="AH710" s="79"/>
      <c r="AL710" s="11"/>
      <c r="AM710" s="12"/>
    </row>
    <row r="711" s="1" customFormat="1" spans="4:39">
      <c r="D711" s="34"/>
      <c r="E711" s="34"/>
      <c r="F711" s="86"/>
      <c r="G711" s="86"/>
      <c r="H711" s="31"/>
      <c r="I711" s="3"/>
      <c r="J711" s="106"/>
      <c r="K711" s="106"/>
      <c r="L711" s="107"/>
      <c r="M711" s="107"/>
      <c r="N711" s="101"/>
      <c r="O711" s="107"/>
      <c r="P711" s="4"/>
      <c r="V711" s="5"/>
      <c r="AC711" s="79"/>
      <c r="AD711" s="77"/>
      <c r="AE711" s="79"/>
      <c r="AF711" s="79"/>
      <c r="AG711" s="9"/>
      <c r="AH711" s="79"/>
      <c r="AL711" s="11"/>
      <c r="AM711" s="12"/>
    </row>
    <row r="712" s="1" customFormat="1" spans="4:39">
      <c r="D712" s="34"/>
      <c r="E712" s="34"/>
      <c r="F712" s="86"/>
      <c r="G712" s="86"/>
      <c r="H712" s="31"/>
      <c r="I712" s="3"/>
      <c r="J712" s="106"/>
      <c r="K712" s="106"/>
      <c r="L712" s="107"/>
      <c r="M712" s="107"/>
      <c r="N712" s="101"/>
      <c r="O712" s="107"/>
      <c r="P712" s="4"/>
      <c r="V712" s="5"/>
      <c r="AC712" s="79"/>
      <c r="AD712" s="77"/>
      <c r="AE712" s="79"/>
      <c r="AF712" s="79"/>
      <c r="AG712" s="9"/>
      <c r="AH712" s="79"/>
      <c r="AL712" s="11"/>
      <c r="AM712" s="12"/>
    </row>
    <row r="713" s="1" customFormat="1" spans="4:39">
      <c r="D713" s="34"/>
      <c r="E713" s="34"/>
      <c r="F713" s="86"/>
      <c r="G713" s="86"/>
      <c r="H713" s="31"/>
      <c r="I713" s="3"/>
      <c r="J713" s="106"/>
      <c r="K713" s="106"/>
      <c r="L713" s="107"/>
      <c r="M713" s="107"/>
      <c r="N713" s="101"/>
      <c r="O713" s="107"/>
      <c r="P713" s="4"/>
      <c r="V713" s="5"/>
      <c r="AC713" s="79"/>
      <c r="AD713" s="77"/>
      <c r="AE713" s="79"/>
      <c r="AF713" s="79"/>
      <c r="AG713" s="9"/>
      <c r="AH713" s="79"/>
      <c r="AL713" s="11"/>
      <c r="AM713" s="12"/>
    </row>
    <row r="714" s="1" customFormat="1" spans="4:39">
      <c r="D714" s="34"/>
      <c r="E714" s="34"/>
      <c r="F714" s="86"/>
      <c r="G714" s="86"/>
      <c r="H714" s="31"/>
      <c r="I714" s="3"/>
      <c r="J714" s="106"/>
      <c r="K714" s="106"/>
      <c r="L714" s="107"/>
      <c r="M714" s="107"/>
      <c r="N714" s="101"/>
      <c r="O714" s="107"/>
      <c r="P714" s="4"/>
      <c r="V714" s="5"/>
      <c r="AC714" s="79"/>
      <c r="AD714" s="77"/>
      <c r="AE714" s="79"/>
      <c r="AF714" s="79"/>
      <c r="AG714" s="9"/>
      <c r="AH714" s="79"/>
      <c r="AL714" s="11"/>
      <c r="AM714" s="12"/>
    </row>
    <row r="715" s="1" customFormat="1" spans="4:39">
      <c r="D715" s="34"/>
      <c r="E715" s="34"/>
      <c r="F715" s="86"/>
      <c r="G715" s="86"/>
      <c r="H715" s="31"/>
      <c r="I715" s="3"/>
      <c r="J715" s="106"/>
      <c r="K715" s="106"/>
      <c r="L715" s="107"/>
      <c r="M715" s="107"/>
      <c r="N715" s="101"/>
      <c r="O715" s="107"/>
      <c r="P715" s="4"/>
      <c r="V715" s="5"/>
      <c r="AC715" s="79"/>
      <c r="AD715" s="77"/>
      <c r="AE715" s="79"/>
      <c r="AF715" s="79"/>
      <c r="AG715" s="9"/>
      <c r="AH715" s="79"/>
      <c r="AL715" s="11"/>
      <c r="AM715" s="12"/>
    </row>
    <row r="716" s="1" customFormat="1" spans="4:39">
      <c r="D716" s="34"/>
      <c r="E716" s="34"/>
      <c r="F716" s="86"/>
      <c r="G716" s="86"/>
      <c r="H716" s="31"/>
      <c r="I716" s="3"/>
      <c r="J716" s="106"/>
      <c r="K716" s="106"/>
      <c r="L716" s="107"/>
      <c r="M716" s="107"/>
      <c r="N716" s="101"/>
      <c r="O716" s="107"/>
      <c r="P716" s="4"/>
      <c r="V716" s="5"/>
      <c r="AC716" s="79"/>
      <c r="AD716" s="77"/>
      <c r="AE716" s="79"/>
      <c r="AF716" s="79"/>
      <c r="AG716" s="9"/>
      <c r="AH716" s="79"/>
      <c r="AL716" s="11"/>
      <c r="AM716" s="12"/>
    </row>
    <row r="717" s="1" customFormat="1" spans="4:39">
      <c r="D717" s="34"/>
      <c r="E717" s="34"/>
      <c r="F717" s="86"/>
      <c r="G717" s="86"/>
      <c r="H717" s="31"/>
      <c r="I717" s="3"/>
      <c r="J717" s="106"/>
      <c r="K717" s="106"/>
      <c r="L717" s="107"/>
      <c r="M717" s="107"/>
      <c r="N717" s="101"/>
      <c r="O717" s="107"/>
      <c r="P717" s="4"/>
      <c r="V717" s="5"/>
      <c r="AC717" s="79"/>
      <c r="AD717" s="77"/>
      <c r="AE717" s="79"/>
      <c r="AF717" s="79"/>
      <c r="AG717" s="9"/>
      <c r="AH717" s="79"/>
      <c r="AL717" s="11"/>
      <c r="AM717" s="12"/>
    </row>
    <row r="718" s="1" customFormat="1" spans="4:39">
      <c r="D718" s="34"/>
      <c r="E718" s="34"/>
      <c r="F718" s="86"/>
      <c r="G718" s="86"/>
      <c r="H718" s="31"/>
      <c r="I718" s="3"/>
      <c r="J718" s="106"/>
      <c r="K718" s="106"/>
      <c r="L718" s="107"/>
      <c r="M718" s="107"/>
      <c r="N718" s="101"/>
      <c r="O718" s="107"/>
      <c r="P718" s="4"/>
      <c r="V718" s="5"/>
      <c r="AC718" s="79"/>
      <c r="AD718" s="77"/>
      <c r="AE718" s="79"/>
      <c r="AF718" s="79"/>
      <c r="AG718" s="9"/>
      <c r="AH718" s="79"/>
      <c r="AL718" s="11"/>
      <c r="AM718" s="12"/>
    </row>
    <row r="719" s="1" customFormat="1" spans="4:39">
      <c r="D719" s="34"/>
      <c r="E719" s="34"/>
      <c r="F719" s="86"/>
      <c r="G719" s="86"/>
      <c r="H719" s="31"/>
      <c r="I719" s="3"/>
      <c r="J719" s="106"/>
      <c r="K719" s="106"/>
      <c r="L719" s="107"/>
      <c r="M719" s="107"/>
      <c r="N719" s="101"/>
      <c r="O719" s="107"/>
      <c r="P719" s="4"/>
      <c r="V719" s="5"/>
      <c r="AC719" s="79"/>
      <c r="AD719" s="77"/>
      <c r="AE719" s="79"/>
      <c r="AF719" s="79"/>
      <c r="AG719" s="9"/>
      <c r="AH719" s="79"/>
      <c r="AL719" s="11"/>
      <c r="AM719" s="12"/>
    </row>
    <row r="720" s="1" customFormat="1" spans="4:39">
      <c r="D720" s="34"/>
      <c r="E720" s="34"/>
      <c r="F720" s="86"/>
      <c r="G720" s="86"/>
      <c r="H720" s="31"/>
      <c r="I720" s="3"/>
      <c r="J720" s="106"/>
      <c r="K720" s="106"/>
      <c r="L720" s="107"/>
      <c r="M720" s="107"/>
      <c r="N720" s="101"/>
      <c r="O720" s="107"/>
      <c r="P720" s="4"/>
      <c r="V720" s="5"/>
      <c r="AC720" s="79"/>
      <c r="AD720" s="77"/>
      <c r="AE720" s="79"/>
      <c r="AF720" s="79"/>
      <c r="AG720" s="9"/>
      <c r="AH720" s="79"/>
      <c r="AL720" s="11"/>
      <c r="AM720" s="12"/>
    </row>
    <row r="721" s="1" customFormat="1" spans="4:39">
      <c r="D721" s="34"/>
      <c r="E721" s="34"/>
      <c r="F721" s="86"/>
      <c r="G721" s="86"/>
      <c r="H721" s="31"/>
      <c r="I721" s="3"/>
      <c r="J721" s="106"/>
      <c r="K721" s="106"/>
      <c r="L721" s="107"/>
      <c r="M721" s="107"/>
      <c r="N721" s="101"/>
      <c r="O721" s="107"/>
      <c r="P721" s="4"/>
      <c r="V721" s="5"/>
      <c r="AC721" s="79"/>
      <c r="AD721" s="77"/>
      <c r="AE721" s="79"/>
      <c r="AF721" s="79"/>
      <c r="AG721" s="9"/>
      <c r="AH721" s="79"/>
      <c r="AL721" s="11"/>
      <c r="AM721" s="12"/>
    </row>
    <row r="722" s="1" customFormat="1" spans="4:39">
      <c r="D722" s="34"/>
      <c r="E722" s="34"/>
      <c r="F722" s="86"/>
      <c r="G722" s="86"/>
      <c r="H722" s="31"/>
      <c r="I722" s="3"/>
      <c r="J722" s="106"/>
      <c r="K722" s="106"/>
      <c r="L722" s="107"/>
      <c r="M722" s="107"/>
      <c r="N722" s="101"/>
      <c r="O722" s="107"/>
      <c r="P722" s="4"/>
      <c r="V722" s="5"/>
      <c r="AC722" s="79"/>
      <c r="AD722" s="77"/>
      <c r="AE722" s="79"/>
      <c r="AF722" s="79"/>
      <c r="AG722" s="9"/>
      <c r="AH722" s="79"/>
      <c r="AL722" s="11"/>
      <c r="AM722" s="12"/>
    </row>
    <row r="723" s="1" customFormat="1" spans="4:39">
      <c r="D723" s="34"/>
      <c r="E723" s="34"/>
      <c r="F723" s="86"/>
      <c r="G723" s="86"/>
      <c r="H723" s="31"/>
      <c r="I723" s="3"/>
      <c r="J723" s="106"/>
      <c r="K723" s="106"/>
      <c r="L723" s="107"/>
      <c r="M723" s="107"/>
      <c r="N723" s="101"/>
      <c r="O723" s="107"/>
      <c r="P723" s="4"/>
      <c r="V723" s="5"/>
      <c r="AC723" s="79"/>
      <c r="AD723" s="77"/>
      <c r="AE723" s="79"/>
      <c r="AF723" s="79"/>
      <c r="AG723" s="9"/>
      <c r="AH723" s="79"/>
      <c r="AL723" s="11"/>
      <c r="AM723" s="12"/>
    </row>
    <row r="724" s="1" customFormat="1" spans="4:39">
      <c r="D724" s="34"/>
      <c r="E724" s="34"/>
      <c r="F724" s="86"/>
      <c r="G724" s="86"/>
      <c r="H724" s="31"/>
      <c r="I724" s="3"/>
      <c r="J724" s="106"/>
      <c r="K724" s="106"/>
      <c r="L724" s="107"/>
      <c r="M724" s="107"/>
      <c r="N724" s="101"/>
      <c r="O724" s="107"/>
      <c r="P724" s="4"/>
      <c r="V724" s="5"/>
      <c r="AC724" s="79"/>
      <c r="AD724" s="77"/>
      <c r="AE724" s="79"/>
      <c r="AF724" s="79"/>
      <c r="AG724" s="9"/>
      <c r="AH724" s="79"/>
      <c r="AL724" s="11"/>
      <c r="AM724" s="12"/>
    </row>
    <row r="725" s="1" customFormat="1" spans="4:39">
      <c r="D725" s="34"/>
      <c r="E725" s="34"/>
      <c r="F725" s="86"/>
      <c r="G725" s="86"/>
      <c r="H725" s="31"/>
      <c r="I725" s="3"/>
      <c r="J725" s="106"/>
      <c r="K725" s="106"/>
      <c r="L725" s="107"/>
      <c r="M725" s="107"/>
      <c r="N725" s="101"/>
      <c r="O725" s="107"/>
      <c r="P725" s="4"/>
      <c r="V725" s="5"/>
      <c r="AC725" s="79"/>
      <c r="AD725" s="77"/>
      <c r="AE725" s="79"/>
      <c r="AF725" s="79"/>
      <c r="AG725" s="9"/>
      <c r="AH725" s="79"/>
      <c r="AL725" s="11"/>
      <c r="AM725" s="12"/>
    </row>
    <row r="726" s="1" customFormat="1" spans="4:39">
      <c r="D726" s="34"/>
      <c r="E726" s="34"/>
      <c r="F726" s="86"/>
      <c r="G726" s="86"/>
      <c r="H726" s="31"/>
      <c r="I726" s="3"/>
      <c r="J726" s="106"/>
      <c r="K726" s="106"/>
      <c r="L726" s="107"/>
      <c r="M726" s="107"/>
      <c r="N726" s="101"/>
      <c r="O726" s="107"/>
      <c r="P726" s="4"/>
      <c r="V726" s="5"/>
      <c r="AC726" s="79"/>
      <c r="AD726" s="77"/>
      <c r="AE726" s="79"/>
      <c r="AF726" s="79"/>
      <c r="AG726" s="9"/>
      <c r="AH726" s="79"/>
      <c r="AL726" s="11"/>
      <c r="AM726" s="12"/>
    </row>
    <row r="727" s="1" customFormat="1" spans="4:39">
      <c r="D727" s="34"/>
      <c r="E727" s="34"/>
      <c r="F727" s="86"/>
      <c r="G727" s="86"/>
      <c r="H727" s="31"/>
      <c r="I727" s="3"/>
      <c r="J727" s="106"/>
      <c r="K727" s="106"/>
      <c r="L727" s="107"/>
      <c r="M727" s="107"/>
      <c r="N727" s="101"/>
      <c r="O727" s="107"/>
      <c r="P727" s="4"/>
      <c r="V727" s="5"/>
      <c r="AC727" s="79"/>
      <c r="AD727" s="77"/>
      <c r="AE727" s="79"/>
      <c r="AF727" s="79"/>
      <c r="AG727" s="9"/>
      <c r="AH727" s="79"/>
      <c r="AL727" s="11"/>
      <c r="AM727" s="12"/>
    </row>
    <row r="728" s="1" customFormat="1" spans="4:39">
      <c r="D728" s="34"/>
      <c r="E728" s="34"/>
      <c r="F728" s="86"/>
      <c r="G728" s="86"/>
      <c r="H728" s="31"/>
      <c r="I728" s="3"/>
      <c r="J728" s="106"/>
      <c r="K728" s="106"/>
      <c r="L728" s="107"/>
      <c r="M728" s="107"/>
      <c r="N728" s="101"/>
      <c r="O728" s="107"/>
      <c r="P728" s="4"/>
      <c r="V728" s="5"/>
      <c r="AC728" s="79"/>
      <c r="AD728" s="77"/>
      <c r="AE728" s="79"/>
      <c r="AF728" s="79"/>
      <c r="AG728" s="9"/>
      <c r="AH728" s="79"/>
      <c r="AL728" s="11"/>
      <c r="AM728" s="12"/>
    </row>
    <row r="729" s="1" customFormat="1" spans="4:39">
      <c r="D729" s="34"/>
      <c r="E729" s="34"/>
      <c r="F729" s="86"/>
      <c r="G729" s="86"/>
      <c r="H729" s="31"/>
      <c r="I729" s="3"/>
      <c r="J729" s="106"/>
      <c r="K729" s="106"/>
      <c r="L729" s="107"/>
      <c r="M729" s="107"/>
      <c r="N729" s="101"/>
      <c r="O729" s="107"/>
      <c r="P729" s="4"/>
      <c r="V729" s="5"/>
      <c r="AC729" s="79"/>
      <c r="AD729" s="77"/>
      <c r="AE729" s="79"/>
      <c r="AF729" s="79"/>
      <c r="AG729" s="9"/>
      <c r="AH729" s="79"/>
      <c r="AL729" s="11"/>
      <c r="AM729" s="12"/>
    </row>
    <row r="730" s="1" customFormat="1" spans="4:39">
      <c r="D730" s="34"/>
      <c r="E730" s="34"/>
      <c r="F730" s="86"/>
      <c r="G730" s="86"/>
      <c r="H730" s="31"/>
      <c r="I730" s="3"/>
      <c r="J730" s="106"/>
      <c r="K730" s="106"/>
      <c r="L730" s="107"/>
      <c r="M730" s="107"/>
      <c r="N730" s="101"/>
      <c r="O730" s="107"/>
      <c r="P730" s="4"/>
      <c r="V730" s="5"/>
      <c r="AC730" s="79"/>
      <c r="AD730" s="77"/>
      <c r="AE730" s="79"/>
      <c r="AF730" s="79"/>
      <c r="AG730" s="9"/>
      <c r="AH730" s="79"/>
      <c r="AL730" s="11"/>
      <c r="AM730" s="12"/>
    </row>
    <row r="731" s="1" customFormat="1" spans="4:39">
      <c r="D731" s="34"/>
      <c r="E731" s="34"/>
      <c r="F731" s="86"/>
      <c r="G731" s="86"/>
      <c r="H731" s="31"/>
      <c r="I731" s="3"/>
      <c r="J731" s="106"/>
      <c r="K731" s="106"/>
      <c r="L731" s="107"/>
      <c r="M731" s="107"/>
      <c r="N731" s="101"/>
      <c r="O731" s="107"/>
      <c r="P731" s="4"/>
      <c r="V731" s="5"/>
      <c r="AC731" s="79"/>
      <c r="AD731" s="77"/>
      <c r="AE731" s="79"/>
      <c r="AF731" s="79"/>
      <c r="AG731" s="9"/>
      <c r="AH731" s="79"/>
      <c r="AL731" s="11"/>
      <c r="AM731" s="12"/>
    </row>
    <row r="732" s="1" customFormat="1" spans="4:39">
      <c r="D732" s="34"/>
      <c r="E732" s="34"/>
      <c r="F732" s="86"/>
      <c r="G732" s="86"/>
      <c r="H732" s="31"/>
      <c r="I732" s="3"/>
      <c r="J732" s="106"/>
      <c r="K732" s="106"/>
      <c r="L732" s="107"/>
      <c r="M732" s="107"/>
      <c r="N732" s="101"/>
      <c r="O732" s="107"/>
      <c r="P732" s="4"/>
      <c r="V732" s="5"/>
      <c r="AC732" s="79"/>
      <c r="AD732" s="77"/>
      <c r="AE732" s="79"/>
      <c r="AF732" s="79"/>
      <c r="AG732" s="9"/>
      <c r="AH732" s="79"/>
      <c r="AL732" s="11"/>
      <c r="AM732" s="12"/>
    </row>
    <row r="733" s="1" customFormat="1" spans="4:39">
      <c r="D733" s="34"/>
      <c r="E733" s="34"/>
      <c r="F733" s="86"/>
      <c r="G733" s="86"/>
      <c r="H733" s="31"/>
      <c r="I733" s="3"/>
      <c r="J733" s="106"/>
      <c r="K733" s="106"/>
      <c r="L733" s="107"/>
      <c r="M733" s="107"/>
      <c r="N733" s="101"/>
      <c r="O733" s="107"/>
      <c r="P733" s="4"/>
      <c r="V733" s="5"/>
      <c r="AC733" s="79"/>
      <c r="AD733" s="77"/>
      <c r="AE733" s="79"/>
      <c r="AF733" s="79"/>
      <c r="AG733" s="9"/>
      <c r="AH733" s="79"/>
      <c r="AL733" s="11"/>
      <c r="AM733" s="12"/>
    </row>
    <row r="734" s="1" customFormat="1" spans="4:39">
      <c r="D734" s="34"/>
      <c r="E734" s="34"/>
      <c r="F734" s="86"/>
      <c r="G734" s="86"/>
      <c r="H734" s="31"/>
      <c r="I734" s="3"/>
      <c r="J734" s="106"/>
      <c r="K734" s="106"/>
      <c r="L734" s="107"/>
      <c r="M734" s="107"/>
      <c r="N734" s="101"/>
      <c r="O734" s="107"/>
      <c r="P734" s="4"/>
      <c r="V734" s="5"/>
      <c r="AC734" s="79"/>
      <c r="AD734" s="77"/>
      <c r="AE734" s="79"/>
      <c r="AF734" s="79"/>
      <c r="AG734" s="9"/>
      <c r="AH734" s="79"/>
      <c r="AL734" s="11"/>
      <c r="AM734" s="12"/>
    </row>
    <row r="735" s="1" customFormat="1" spans="4:39">
      <c r="D735" s="34"/>
      <c r="E735" s="34"/>
      <c r="F735" s="86"/>
      <c r="G735" s="86"/>
      <c r="H735" s="31"/>
      <c r="I735" s="3"/>
      <c r="J735" s="106"/>
      <c r="K735" s="106"/>
      <c r="L735" s="107"/>
      <c r="M735" s="107"/>
      <c r="N735" s="101"/>
      <c r="O735" s="107"/>
      <c r="P735" s="4"/>
      <c r="V735" s="5"/>
      <c r="AC735" s="79"/>
      <c r="AD735" s="77"/>
      <c r="AE735" s="79"/>
      <c r="AF735" s="79"/>
      <c r="AG735" s="9"/>
      <c r="AH735" s="79"/>
      <c r="AL735" s="11"/>
      <c r="AM735" s="12"/>
    </row>
    <row r="736" s="1" customFormat="1" spans="4:39">
      <c r="D736" s="34"/>
      <c r="E736" s="34"/>
      <c r="F736" s="86"/>
      <c r="G736" s="86"/>
      <c r="H736" s="31"/>
      <c r="I736" s="3"/>
      <c r="J736" s="106"/>
      <c r="K736" s="106"/>
      <c r="L736" s="107"/>
      <c r="M736" s="107"/>
      <c r="N736" s="101"/>
      <c r="O736" s="107"/>
      <c r="P736" s="4"/>
      <c r="V736" s="5"/>
      <c r="AC736" s="79"/>
      <c r="AD736" s="77"/>
      <c r="AE736" s="79"/>
      <c r="AF736" s="79"/>
      <c r="AG736" s="9"/>
      <c r="AH736" s="79"/>
      <c r="AL736" s="11"/>
      <c r="AM736" s="12"/>
    </row>
    <row r="737" s="1" customFormat="1" spans="4:39">
      <c r="D737" s="34"/>
      <c r="E737" s="34"/>
      <c r="F737" s="86"/>
      <c r="G737" s="86"/>
      <c r="H737" s="31"/>
      <c r="I737" s="3"/>
      <c r="J737" s="106"/>
      <c r="K737" s="106"/>
      <c r="L737" s="107"/>
      <c r="M737" s="107"/>
      <c r="N737" s="101"/>
      <c r="O737" s="107"/>
      <c r="P737" s="4"/>
      <c r="V737" s="5"/>
      <c r="AC737" s="79"/>
      <c r="AD737" s="77"/>
      <c r="AE737" s="79"/>
      <c r="AF737" s="79"/>
      <c r="AG737" s="9"/>
      <c r="AH737" s="79"/>
      <c r="AL737" s="11"/>
      <c r="AM737" s="12"/>
    </row>
    <row r="738" s="1" customFormat="1" spans="4:39">
      <c r="D738" s="34"/>
      <c r="E738" s="34"/>
      <c r="F738" s="86"/>
      <c r="G738" s="86"/>
      <c r="H738" s="31"/>
      <c r="I738" s="3"/>
      <c r="J738" s="106"/>
      <c r="K738" s="106"/>
      <c r="L738" s="107"/>
      <c r="M738" s="107"/>
      <c r="N738" s="101"/>
      <c r="O738" s="107"/>
      <c r="P738" s="4"/>
      <c r="V738" s="5"/>
      <c r="AC738" s="79"/>
      <c r="AD738" s="77"/>
      <c r="AE738" s="79"/>
      <c r="AF738" s="79"/>
      <c r="AG738" s="9"/>
      <c r="AH738" s="79"/>
      <c r="AL738" s="11"/>
      <c r="AM738" s="12"/>
    </row>
    <row r="739" s="1" customFormat="1" spans="4:39">
      <c r="D739" s="34"/>
      <c r="E739" s="34"/>
      <c r="F739" s="86"/>
      <c r="G739" s="86"/>
      <c r="H739" s="31"/>
      <c r="I739" s="3"/>
      <c r="J739" s="106"/>
      <c r="K739" s="106"/>
      <c r="L739" s="107"/>
      <c r="M739" s="107"/>
      <c r="N739" s="101"/>
      <c r="O739" s="107"/>
      <c r="P739" s="4"/>
      <c r="V739" s="5"/>
      <c r="AC739" s="79"/>
      <c r="AD739" s="77"/>
      <c r="AE739" s="79"/>
      <c r="AF739" s="79"/>
      <c r="AG739" s="9"/>
      <c r="AH739" s="79"/>
      <c r="AL739" s="11"/>
      <c r="AM739" s="12"/>
    </row>
    <row r="740" s="1" customFormat="1" spans="4:39">
      <c r="D740" s="34"/>
      <c r="E740" s="34"/>
      <c r="F740" s="86"/>
      <c r="G740" s="86"/>
      <c r="H740" s="31"/>
      <c r="I740" s="3"/>
      <c r="J740" s="106"/>
      <c r="K740" s="106"/>
      <c r="L740" s="107"/>
      <c r="M740" s="107"/>
      <c r="N740" s="101"/>
      <c r="O740" s="107"/>
      <c r="P740" s="4"/>
      <c r="V740" s="5"/>
      <c r="AC740" s="79"/>
      <c r="AD740" s="77"/>
      <c r="AE740" s="79"/>
      <c r="AF740" s="79"/>
      <c r="AG740" s="9"/>
      <c r="AH740" s="79"/>
      <c r="AL740" s="11"/>
      <c r="AM740" s="12"/>
    </row>
    <row r="741" s="1" customFormat="1" spans="4:39">
      <c r="D741" s="34"/>
      <c r="E741" s="34"/>
      <c r="F741" s="86"/>
      <c r="G741" s="86"/>
      <c r="H741" s="31"/>
      <c r="I741" s="3"/>
      <c r="J741" s="106"/>
      <c r="K741" s="106"/>
      <c r="L741" s="107"/>
      <c r="M741" s="107"/>
      <c r="N741" s="101"/>
      <c r="O741" s="107"/>
      <c r="P741" s="4"/>
      <c r="V741" s="5"/>
      <c r="AC741" s="79"/>
      <c r="AD741" s="77"/>
      <c r="AE741" s="79"/>
      <c r="AF741" s="79"/>
      <c r="AG741" s="9"/>
      <c r="AH741" s="79"/>
      <c r="AL741" s="11"/>
      <c r="AM741" s="12"/>
    </row>
    <row r="742" s="1" customFormat="1" spans="4:39">
      <c r="D742" s="34"/>
      <c r="E742" s="34"/>
      <c r="F742" s="86"/>
      <c r="G742" s="86"/>
      <c r="H742" s="31"/>
      <c r="I742" s="3"/>
      <c r="J742" s="106"/>
      <c r="K742" s="106"/>
      <c r="L742" s="107"/>
      <c r="M742" s="107"/>
      <c r="N742" s="101"/>
      <c r="O742" s="107"/>
      <c r="P742" s="4"/>
      <c r="V742" s="5"/>
      <c r="AC742" s="79"/>
      <c r="AD742" s="77"/>
      <c r="AE742" s="79"/>
      <c r="AF742" s="79"/>
      <c r="AG742" s="9"/>
      <c r="AH742" s="79"/>
      <c r="AL742" s="11"/>
      <c r="AM742" s="12"/>
    </row>
    <row r="743" s="1" customFormat="1" spans="4:39">
      <c r="D743" s="34"/>
      <c r="E743" s="34"/>
      <c r="F743" s="86"/>
      <c r="G743" s="86"/>
      <c r="H743" s="31"/>
      <c r="I743" s="3"/>
      <c r="J743" s="106"/>
      <c r="K743" s="106"/>
      <c r="L743" s="107"/>
      <c r="M743" s="107"/>
      <c r="N743" s="101"/>
      <c r="O743" s="107"/>
      <c r="P743" s="4"/>
      <c r="V743" s="5"/>
      <c r="AC743" s="79"/>
      <c r="AD743" s="77"/>
      <c r="AE743" s="79"/>
      <c r="AF743" s="79"/>
      <c r="AG743" s="9"/>
      <c r="AH743" s="79"/>
      <c r="AL743" s="11"/>
      <c r="AM743" s="12"/>
    </row>
    <row r="744" s="1" customFormat="1" spans="4:39">
      <c r="D744" s="34"/>
      <c r="E744" s="34"/>
      <c r="F744" s="86"/>
      <c r="G744" s="86"/>
      <c r="H744" s="31"/>
      <c r="I744" s="3"/>
      <c r="J744" s="106"/>
      <c r="K744" s="106"/>
      <c r="L744" s="107"/>
      <c r="M744" s="107"/>
      <c r="N744" s="101"/>
      <c r="O744" s="107"/>
      <c r="P744" s="4"/>
      <c r="V744" s="5"/>
      <c r="AC744" s="79"/>
      <c r="AD744" s="77"/>
      <c r="AE744" s="79"/>
      <c r="AF744" s="79"/>
      <c r="AG744" s="9"/>
      <c r="AH744" s="79"/>
      <c r="AL744" s="11"/>
      <c r="AM744" s="12"/>
    </row>
    <row r="745" s="1" customFormat="1" spans="4:39">
      <c r="D745" s="34"/>
      <c r="E745" s="34"/>
      <c r="F745" s="86"/>
      <c r="G745" s="86"/>
      <c r="H745" s="31"/>
      <c r="I745" s="3"/>
      <c r="J745" s="106"/>
      <c r="K745" s="106"/>
      <c r="L745" s="107"/>
      <c r="M745" s="107"/>
      <c r="N745" s="101"/>
      <c r="O745" s="107"/>
      <c r="P745" s="4"/>
      <c r="V745" s="5"/>
      <c r="AC745" s="79"/>
      <c r="AD745" s="77"/>
      <c r="AE745" s="79"/>
      <c r="AF745" s="79"/>
      <c r="AG745" s="9"/>
      <c r="AH745" s="79"/>
      <c r="AL745" s="11"/>
      <c r="AM745" s="12"/>
    </row>
    <row r="746" s="1" customFormat="1" spans="4:39">
      <c r="D746" s="34"/>
      <c r="E746" s="34"/>
      <c r="F746" s="86"/>
      <c r="G746" s="86"/>
      <c r="H746" s="31"/>
      <c r="I746" s="3"/>
      <c r="J746" s="106"/>
      <c r="K746" s="106"/>
      <c r="L746" s="107"/>
      <c r="M746" s="107"/>
      <c r="N746" s="101"/>
      <c r="O746" s="107"/>
      <c r="P746" s="4"/>
      <c r="V746" s="5"/>
      <c r="AC746" s="79"/>
      <c r="AD746" s="77"/>
      <c r="AE746" s="79"/>
      <c r="AF746" s="79"/>
      <c r="AG746" s="9"/>
      <c r="AH746" s="79"/>
      <c r="AL746" s="11"/>
      <c r="AM746" s="12"/>
    </row>
    <row r="747" s="1" customFormat="1" spans="4:39">
      <c r="D747" s="34"/>
      <c r="E747" s="34"/>
      <c r="F747" s="86"/>
      <c r="G747" s="86"/>
      <c r="H747" s="31"/>
      <c r="I747" s="3"/>
      <c r="J747" s="106"/>
      <c r="K747" s="106"/>
      <c r="L747" s="107"/>
      <c r="M747" s="107"/>
      <c r="N747" s="101"/>
      <c r="O747" s="107"/>
      <c r="P747" s="4"/>
      <c r="V747" s="5"/>
      <c r="AC747" s="79"/>
      <c r="AD747" s="77"/>
      <c r="AE747" s="79"/>
      <c r="AF747" s="79"/>
      <c r="AG747" s="9"/>
      <c r="AH747" s="79"/>
      <c r="AL747" s="11"/>
      <c r="AM747" s="12"/>
    </row>
    <row r="748" s="1" customFormat="1" spans="4:39">
      <c r="D748" s="34"/>
      <c r="E748" s="34"/>
      <c r="F748" s="86"/>
      <c r="G748" s="86"/>
      <c r="H748" s="31"/>
      <c r="I748" s="3"/>
      <c r="J748" s="106"/>
      <c r="K748" s="106"/>
      <c r="L748" s="107"/>
      <c r="M748" s="107"/>
      <c r="N748" s="101"/>
      <c r="O748" s="107"/>
      <c r="P748" s="4"/>
      <c r="V748" s="5"/>
      <c r="AC748" s="79"/>
      <c r="AD748" s="77"/>
      <c r="AE748" s="79"/>
      <c r="AF748" s="79"/>
      <c r="AG748" s="9"/>
      <c r="AH748" s="79"/>
      <c r="AL748" s="11"/>
      <c r="AM748" s="12"/>
    </row>
    <row r="749" s="1" customFormat="1" spans="4:39">
      <c r="D749" s="34"/>
      <c r="E749" s="34"/>
      <c r="F749" s="86"/>
      <c r="G749" s="86"/>
      <c r="H749" s="31"/>
      <c r="I749" s="3"/>
      <c r="J749" s="106"/>
      <c r="K749" s="106"/>
      <c r="L749" s="107"/>
      <c r="M749" s="107"/>
      <c r="N749" s="101"/>
      <c r="O749" s="107"/>
      <c r="P749" s="4"/>
      <c r="V749" s="5"/>
      <c r="AC749" s="79"/>
      <c r="AD749" s="77"/>
      <c r="AE749" s="79"/>
      <c r="AF749" s="79"/>
      <c r="AG749" s="9"/>
      <c r="AH749" s="79"/>
      <c r="AL749" s="11"/>
      <c r="AM749" s="12"/>
    </row>
    <row r="750" s="1" customFormat="1" spans="4:39">
      <c r="D750" s="34"/>
      <c r="E750" s="34"/>
      <c r="F750" s="86"/>
      <c r="G750" s="86"/>
      <c r="H750" s="31"/>
      <c r="I750" s="3"/>
      <c r="J750" s="106"/>
      <c r="K750" s="106"/>
      <c r="L750" s="107"/>
      <c r="M750" s="107"/>
      <c r="N750" s="101"/>
      <c r="O750" s="107"/>
      <c r="P750" s="4"/>
      <c r="V750" s="5"/>
      <c r="AC750" s="79"/>
      <c r="AD750" s="77"/>
      <c r="AE750" s="79"/>
      <c r="AF750" s="79"/>
      <c r="AG750" s="9"/>
      <c r="AH750" s="79"/>
      <c r="AL750" s="11"/>
      <c r="AM750" s="12"/>
    </row>
    <row r="751" s="1" customFormat="1" spans="4:39">
      <c r="D751" s="34"/>
      <c r="E751" s="34"/>
      <c r="F751" s="86"/>
      <c r="G751" s="86"/>
      <c r="H751" s="31"/>
      <c r="I751" s="3"/>
      <c r="J751" s="106"/>
      <c r="K751" s="106"/>
      <c r="L751" s="107"/>
      <c r="M751" s="107"/>
      <c r="N751" s="101"/>
      <c r="O751" s="107"/>
      <c r="P751" s="4"/>
      <c r="V751" s="5"/>
      <c r="AC751" s="79"/>
      <c r="AD751" s="77"/>
      <c r="AE751" s="79"/>
      <c r="AF751" s="79"/>
      <c r="AG751" s="9"/>
      <c r="AH751" s="79"/>
      <c r="AL751" s="11"/>
      <c r="AM751" s="12"/>
    </row>
    <row r="752" s="1" customFormat="1" spans="4:39">
      <c r="D752" s="34"/>
      <c r="E752" s="34"/>
      <c r="F752" s="86"/>
      <c r="G752" s="86"/>
      <c r="H752" s="31"/>
      <c r="I752" s="3"/>
      <c r="J752" s="106"/>
      <c r="K752" s="106"/>
      <c r="L752" s="107"/>
      <c r="M752" s="107"/>
      <c r="N752" s="101"/>
      <c r="O752" s="107"/>
      <c r="P752" s="4"/>
      <c r="V752" s="5"/>
      <c r="AC752" s="79"/>
      <c r="AD752" s="77"/>
      <c r="AE752" s="79"/>
      <c r="AF752" s="79"/>
      <c r="AG752" s="9"/>
      <c r="AH752" s="79"/>
      <c r="AL752" s="11"/>
      <c r="AM752" s="12"/>
    </row>
    <row r="753" s="1" customFormat="1" spans="4:39">
      <c r="D753" s="34"/>
      <c r="E753" s="34"/>
      <c r="F753" s="86"/>
      <c r="G753" s="86"/>
      <c r="H753" s="31"/>
      <c r="I753" s="3"/>
      <c r="J753" s="106"/>
      <c r="K753" s="106"/>
      <c r="L753" s="107"/>
      <c r="M753" s="107"/>
      <c r="N753" s="101"/>
      <c r="O753" s="107"/>
      <c r="P753" s="4"/>
      <c r="V753" s="5"/>
      <c r="AC753" s="79"/>
      <c r="AD753" s="77"/>
      <c r="AE753" s="79"/>
      <c r="AF753" s="79"/>
      <c r="AG753" s="9"/>
      <c r="AH753" s="79"/>
      <c r="AL753" s="11"/>
      <c r="AM753" s="12"/>
    </row>
    <row r="754" s="1" customFormat="1" spans="4:39">
      <c r="D754" s="34"/>
      <c r="E754" s="34"/>
      <c r="F754" s="86"/>
      <c r="G754" s="86"/>
      <c r="H754" s="31"/>
      <c r="I754" s="3"/>
      <c r="J754" s="106"/>
      <c r="K754" s="106"/>
      <c r="L754" s="107"/>
      <c r="M754" s="107"/>
      <c r="N754" s="101"/>
      <c r="O754" s="107"/>
      <c r="P754" s="4"/>
      <c r="V754" s="5"/>
      <c r="AC754" s="79"/>
      <c r="AD754" s="77"/>
      <c r="AE754" s="79"/>
      <c r="AF754" s="79"/>
      <c r="AG754" s="9"/>
      <c r="AH754" s="79"/>
      <c r="AL754" s="11"/>
      <c r="AM754" s="12"/>
    </row>
    <row r="755" s="1" customFormat="1" spans="4:39">
      <c r="D755" s="34"/>
      <c r="E755" s="34"/>
      <c r="F755" s="86"/>
      <c r="G755" s="86"/>
      <c r="H755" s="31"/>
      <c r="I755" s="3"/>
      <c r="J755" s="106"/>
      <c r="K755" s="106"/>
      <c r="L755" s="107"/>
      <c r="M755" s="107"/>
      <c r="N755" s="101"/>
      <c r="O755" s="107"/>
      <c r="P755" s="4"/>
      <c r="V755" s="5"/>
      <c r="AC755" s="79"/>
      <c r="AD755" s="77"/>
      <c r="AE755" s="79"/>
      <c r="AF755" s="79"/>
      <c r="AG755" s="9"/>
      <c r="AH755" s="79"/>
      <c r="AL755" s="11"/>
      <c r="AM755" s="12"/>
    </row>
    <row r="756" s="1" customFormat="1" spans="4:39">
      <c r="D756" s="34"/>
      <c r="E756" s="34"/>
      <c r="F756" s="86"/>
      <c r="G756" s="86"/>
      <c r="H756" s="31"/>
      <c r="I756" s="3"/>
      <c r="J756" s="106"/>
      <c r="K756" s="106"/>
      <c r="L756" s="107"/>
      <c r="M756" s="107"/>
      <c r="N756" s="101"/>
      <c r="O756" s="107"/>
      <c r="P756" s="4"/>
      <c r="V756" s="5"/>
      <c r="AC756" s="79"/>
      <c r="AD756" s="77"/>
      <c r="AE756" s="79"/>
      <c r="AF756" s="79"/>
      <c r="AG756" s="9"/>
      <c r="AH756" s="79"/>
      <c r="AL756" s="11"/>
      <c r="AM756" s="12"/>
    </row>
    <row r="757" s="1" customFormat="1" spans="4:39">
      <c r="D757" s="34"/>
      <c r="E757" s="34"/>
      <c r="F757" s="86"/>
      <c r="G757" s="86"/>
      <c r="H757" s="31"/>
      <c r="I757" s="3"/>
      <c r="J757" s="106"/>
      <c r="K757" s="106"/>
      <c r="L757" s="107"/>
      <c r="M757" s="107"/>
      <c r="N757" s="101"/>
      <c r="O757" s="107"/>
      <c r="P757" s="4"/>
      <c r="V757" s="5"/>
      <c r="AC757" s="79"/>
      <c r="AD757" s="77"/>
      <c r="AE757" s="79"/>
      <c r="AF757" s="79"/>
      <c r="AG757" s="9"/>
      <c r="AH757" s="79"/>
      <c r="AL757" s="11"/>
      <c r="AM757" s="12"/>
    </row>
    <row r="758" s="1" customFormat="1" spans="4:39">
      <c r="D758" s="34"/>
      <c r="E758" s="34"/>
      <c r="F758" s="86"/>
      <c r="G758" s="86"/>
      <c r="H758" s="31"/>
      <c r="I758" s="3"/>
      <c r="J758" s="106"/>
      <c r="K758" s="106"/>
      <c r="L758" s="107"/>
      <c r="M758" s="107"/>
      <c r="N758" s="101"/>
      <c r="O758" s="107"/>
      <c r="P758" s="4"/>
      <c r="V758" s="5"/>
      <c r="AC758" s="79"/>
      <c r="AD758" s="77"/>
      <c r="AE758" s="79"/>
      <c r="AF758" s="79"/>
      <c r="AG758" s="9"/>
      <c r="AH758" s="79"/>
      <c r="AL758" s="11"/>
      <c r="AM758" s="12"/>
    </row>
    <row r="759" s="1" customFormat="1" spans="4:39">
      <c r="D759" s="34"/>
      <c r="E759" s="34"/>
      <c r="F759" s="86"/>
      <c r="G759" s="86"/>
      <c r="H759" s="31"/>
      <c r="I759" s="3"/>
      <c r="J759" s="106"/>
      <c r="K759" s="106"/>
      <c r="L759" s="107"/>
      <c r="M759" s="107"/>
      <c r="N759" s="101"/>
      <c r="O759" s="107"/>
      <c r="P759" s="4"/>
      <c r="V759" s="5"/>
      <c r="AC759" s="79"/>
      <c r="AD759" s="77"/>
      <c r="AE759" s="79"/>
      <c r="AF759" s="79"/>
      <c r="AG759" s="9"/>
      <c r="AH759" s="79"/>
      <c r="AL759" s="11"/>
      <c r="AM759" s="12"/>
    </row>
    <row r="760" s="1" customFormat="1" spans="4:39">
      <c r="D760" s="34"/>
      <c r="E760" s="34"/>
      <c r="F760" s="86"/>
      <c r="G760" s="86"/>
      <c r="H760" s="31"/>
      <c r="I760" s="3"/>
      <c r="J760" s="106"/>
      <c r="K760" s="106"/>
      <c r="L760" s="107"/>
      <c r="M760" s="107"/>
      <c r="N760" s="101"/>
      <c r="O760" s="107"/>
      <c r="P760" s="4"/>
      <c r="V760" s="5"/>
      <c r="AC760" s="79"/>
      <c r="AD760" s="77"/>
      <c r="AE760" s="79"/>
      <c r="AF760" s="79"/>
      <c r="AG760" s="9"/>
      <c r="AH760" s="79"/>
      <c r="AL760" s="11"/>
      <c r="AM760" s="12"/>
    </row>
    <row r="761" s="1" customFormat="1" spans="4:39">
      <c r="D761" s="34"/>
      <c r="E761" s="34"/>
      <c r="F761" s="86"/>
      <c r="G761" s="86"/>
      <c r="H761" s="31"/>
      <c r="I761" s="3"/>
      <c r="J761" s="106"/>
      <c r="K761" s="106"/>
      <c r="L761" s="107"/>
      <c r="M761" s="107"/>
      <c r="N761" s="101"/>
      <c r="O761" s="107"/>
      <c r="P761" s="4"/>
      <c r="V761" s="5"/>
      <c r="AC761" s="79"/>
      <c r="AD761" s="77"/>
      <c r="AE761" s="79"/>
      <c r="AF761" s="79"/>
      <c r="AG761" s="9"/>
      <c r="AH761" s="79"/>
      <c r="AL761" s="11"/>
      <c r="AM761" s="12"/>
    </row>
    <row r="762" s="1" customFormat="1" spans="4:39">
      <c r="D762" s="34"/>
      <c r="E762" s="34"/>
      <c r="F762" s="86"/>
      <c r="G762" s="86"/>
      <c r="H762" s="31"/>
      <c r="I762" s="3"/>
      <c r="J762" s="106"/>
      <c r="K762" s="106"/>
      <c r="L762" s="107"/>
      <c r="M762" s="107"/>
      <c r="N762" s="101"/>
      <c r="O762" s="107"/>
      <c r="P762" s="4"/>
      <c r="V762" s="5"/>
      <c r="AC762" s="79"/>
      <c r="AD762" s="77"/>
      <c r="AE762" s="79"/>
      <c r="AF762" s="79"/>
      <c r="AG762" s="9"/>
      <c r="AH762" s="79"/>
      <c r="AL762" s="11"/>
      <c r="AM762" s="12"/>
    </row>
    <row r="763" s="1" customFormat="1" spans="4:39">
      <c r="D763" s="34"/>
      <c r="E763" s="34"/>
      <c r="F763" s="86"/>
      <c r="G763" s="86"/>
      <c r="H763" s="31"/>
      <c r="I763" s="3"/>
      <c r="J763" s="106"/>
      <c r="K763" s="106"/>
      <c r="L763" s="107"/>
      <c r="M763" s="107"/>
      <c r="N763" s="101"/>
      <c r="O763" s="107"/>
      <c r="P763" s="4"/>
      <c r="V763" s="5"/>
      <c r="AC763" s="79"/>
      <c r="AD763" s="77"/>
      <c r="AE763" s="79"/>
      <c r="AF763" s="79"/>
      <c r="AG763" s="9"/>
      <c r="AH763" s="79"/>
      <c r="AL763" s="11"/>
      <c r="AM763" s="12"/>
    </row>
    <row r="764" s="1" customFormat="1" spans="4:39">
      <c r="D764" s="34"/>
      <c r="E764" s="34"/>
      <c r="F764" s="86"/>
      <c r="G764" s="86"/>
      <c r="H764" s="31"/>
      <c r="I764" s="3"/>
      <c r="J764" s="106"/>
      <c r="K764" s="106"/>
      <c r="L764" s="107"/>
      <c r="M764" s="107"/>
      <c r="N764" s="101"/>
      <c r="O764" s="107"/>
      <c r="P764" s="4"/>
      <c r="V764" s="5"/>
      <c r="AC764" s="79"/>
      <c r="AD764" s="77"/>
      <c r="AE764" s="79"/>
      <c r="AF764" s="79"/>
      <c r="AG764" s="9"/>
      <c r="AH764" s="79"/>
      <c r="AL764" s="11"/>
      <c r="AM764" s="12"/>
    </row>
    <row r="765" s="1" customFormat="1" spans="4:39">
      <c r="D765" s="34"/>
      <c r="E765" s="34"/>
      <c r="F765" s="86"/>
      <c r="G765" s="86"/>
      <c r="H765" s="31"/>
      <c r="I765" s="3"/>
      <c r="J765" s="106"/>
      <c r="K765" s="106"/>
      <c r="L765" s="107"/>
      <c r="M765" s="107"/>
      <c r="N765" s="101"/>
      <c r="O765" s="107"/>
      <c r="P765" s="4"/>
      <c r="V765" s="5"/>
      <c r="AC765" s="79"/>
      <c r="AD765" s="77"/>
      <c r="AE765" s="79"/>
      <c r="AF765" s="79"/>
      <c r="AG765" s="9"/>
      <c r="AH765" s="79"/>
      <c r="AL765" s="11"/>
      <c r="AM765" s="12"/>
    </row>
    <row r="766" s="1" customFormat="1" spans="4:39">
      <c r="D766" s="34"/>
      <c r="E766" s="34"/>
      <c r="F766" s="86"/>
      <c r="G766" s="86"/>
      <c r="H766" s="31"/>
      <c r="I766" s="3"/>
      <c r="J766" s="106"/>
      <c r="K766" s="106"/>
      <c r="L766" s="107"/>
      <c r="M766" s="107"/>
      <c r="N766" s="101"/>
      <c r="O766" s="107"/>
      <c r="P766" s="4"/>
      <c r="V766" s="5"/>
      <c r="AC766" s="79"/>
      <c r="AD766" s="77"/>
      <c r="AE766" s="79"/>
      <c r="AF766" s="79"/>
      <c r="AG766" s="9"/>
      <c r="AH766" s="79"/>
      <c r="AL766" s="11"/>
      <c r="AM766" s="12"/>
    </row>
    <row r="767" s="1" customFormat="1" spans="4:39">
      <c r="D767" s="34"/>
      <c r="E767" s="34"/>
      <c r="F767" s="86"/>
      <c r="G767" s="86"/>
      <c r="H767" s="31"/>
      <c r="I767" s="3"/>
      <c r="J767" s="106"/>
      <c r="K767" s="106"/>
      <c r="L767" s="107"/>
      <c r="M767" s="107"/>
      <c r="N767" s="101"/>
      <c r="O767" s="107"/>
      <c r="P767" s="4"/>
      <c r="V767" s="5"/>
      <c r="AC767" s="79"/>
      <c r="AD767" s="77"/>
      <c r="AE767" s="79"/>
      <c r="AF767" s="79"/>
      <c r="AG767" s="9"/>
      <c r="AH767" s="79"/>
      <c r="AL767" s="11"/>
      <c r="AM767" s="12"/>
    </row>
    <row r="768" s="1" customFormat="1" spans="4:39">
      <c r="D768" s="34"/>
      <c r="E768" s="34"/>
      <c r="F768" s="86"/>
      <c r="G768" s="86"/>
      <c r="H768" s="31"/>
      <c r="I768" s="3"/>
      <c r="J768" s="106"/>
      <c r="K768" s="106"/>
      <c r="L768" s="107"/>
      <c r="M768" s="107"/>
      <c r="N768" s="101"/>
      <c r="O768" s="107"/>
      <c r="P768" s="4"/>
      <c r="V768" s="5"/>
      <c r="AC768" s="79"/>
      <c r="AD768" s="77"/>
      <c r="AE768" s="79"/>
      <c r="AF768" s="79"/>
      <c r="AG768" s="9"/>
      <c r="AH768" s="79"/>
      <c r="AL768" s="11"/>
      <c r="AM768" s="12"/>
    </row>
    <row r="769" s="1" customFormat="1" spans="4:39">
      <c r="D769" s="34"/>
      <c r="E769" s="34"/>
      <c r="F769" s="86"/>
      <c r="G769" s="86"/>
      <c r="H769" s="31"/>
      <c r="I769" s="3"/>
      <c r="J769" s="106"/>
      <c r="K769" s="106"/>
      <c r="L769" s="107"/>
      <c r="M769" s="107"/>
      <c r="N769" s="101"/>
      <c r="O769" s="107"/>
      <c r="P769" s="4"/>
      <c r="V769" s="5"/>
      <c r="AC769" s="79"/>
      <c r="AD769" s="77"/>
      <c r="AE769" s="79"/>
      <c r="AF769" s="79"/>
      <c r="AG769" s="9"/>
      <c r="AH769" s="79"/>
      <c r="AL769" s="11"/>
      <c r="AM769" s="12"/>
    </row>
    <row r="770" s="1" customFormat="1" spans="4:39">
      <c r="D770" s="34"/>
      <c r="E770" s="34"/>
      <c r="F770" s="86"/>
      <c r="G770" s="86"/>
      <c r="H770" s="31"/>
      <c r="I770" s="3"/>
      <c r="J770" s="106"/>
      <c r="K770" s="106"/>
      <c r="L770" s="107"/>
      <c r="M770" s="107"/>
      <c r="N770" s="101"/>
      <c r="O770" s="107"/>
      <c r="P770" s="4"/>
      <c r="V770" s="5"/>
      <c r="AC770" s="79"/>
      <c r="AD770" s="77"/>
      <c r="AE770" s="79"/>
      <c r="AF770" s="79"/>
      <c r="AG770" s="9"/>
      <c r="AH770" s="79"/>
      <c r="AL770" s="11"/>
      <c r="AM770" s="12"/>
    </row>
    <row r="771" s="1" customFormat="1" spans="4:39">
      <c r="D771" s="34"/>
      <c r="E771" s="34"/>
      <c r="F771" s="86"/>
      <c r="G771" s="86"/>
      <c r="H771" s="31"/>
      <c r="I771" s="3"/>
      <c r="J771" s="106"/>
      <c r="K771" s="106"/>
      <c r="L771" s="107"/>
      <c r="M771" s="107"/>
      <c r="N771" s="101"/>
      <c r="O771" s="107"/>
      <c r="P771" s="4"/>
      <c r="V771" s="5"/>
      <c r="AC771" s="79"/>
      <c r="AD771" s="77"/>
      <c r="AE771" s="79"/>
      <c r="AF771" s="79"/>
      <c r="AG771" s="9"/>
      <c r="AH771" s="79"/>
      <c r="AL771" s="11"/>
      <c r="AM771" s="12"/>
    </row>
    <row r="772" s="1" customFormat="1" spans="4:39">
      <c r="D772" s="34"/>
      <c r="E772" s="34"/>
      <c r="F772" s="86"/>
      <c r="G772" s="86"/>
      <c r="H772" s="31"/>
      <c r="I772" s="3"/>
      <c r="J772" s="106"/>
      <c r="K772" s="106"/>
      <c r="L772" s="107"/>
      <c r="M772" s="107"/>
      <c r="N772" s="101"/>
      <c r="O772" s="107"/>
      <c r="P772" s="4"/>
      <c r="V772" s="5"/>
      <c r="AC772" s="79"/>
      <c r="AD772" s="77"/>
      <c r="AE772" s="79"/>
      <c r="AF772" s="79"/>
      <c r="AG772" s="9"/>
      <c r="AH772" s="79"/>
      <c r="AL772" s="11"/>
      <c r="AM772" s="12"/>
    </row>
    <row r="773" s="1" customFormat="1" spans="4:39">
      <c r="D773" s="34"/>
      <c r="E773" s="34"/>
      <c r="F773" s="86"/>
      <c r="G773" s="86"/>
      <c r="H773" s="31"/>
      <c r="I773" s="3"/>
      <c r="J773" s="106"/>
      <c r="K773" s="106"/>
      <c r="L773" s="107"/>
      <c r="M773" s="107"/>
      <c r="N773" s="101"/>
      <c r="O773" s="107"/>
      <c r="P773" s="4"/>
      <c r="V773" s="5"/>
      <c r="AC773" s="79"/>
      <c r="AD773" s="77"/>
      <c r="AE773" s="79"/>
      <c r="AF773" s="79"/>
      <c r="AG773" s="9"/>
      <c r="AH773" s="79"/>
      <c r="AL773" s="11"/>
      <c r="AM773" s="12"/>
    </row>
    <row r="774" s="1" customFormat="1" spans="4:39">
      <c r="D774" s="34"/>
      <c r="E774" s="34"/>
      <c r="F774" s="86"/>
      <c r="G774" s="86"/>
      <c r="H774" s="31"/>
      <c r="I774" s="3"/>
      <c r="J774" s="106"/>
      <c r="K774" s="106"/>
      <c r="L774" s="107"/>
      <c r="M774" s="107"/>
      <c r="N774" s="101"/>
      <c r="O774" s="107"/>
      <c r="P774" s="4"/>
      <c r="V774" s="5"/>
      <c r="AC774" s="79"/>
      <c r="AD774" s="77"/>
      <c r="AE774" s="79"/>
      <c r="AF774" s="79"/>
      <c r="AG774" s="9"/>
      <c r="AH774" s="79"/>
      <c r="AL774" s="11"/>
      <c r="AM774" s="12"/>
    </row>
    <row r="775" s="1" customFormat="1" spans="4:39">
      <c r="D775" s="34"/>
      <c r="E775" s="34"/>
      <c r="F775" s="86"/>
      <c r="G775" s="86"/>
      <c r="H775" s="31"/>
      <c r="I775" s="3"/>
      <c r="J775" s="106"/>
      <c r="K775" s="106"/>
      <c r="L775" s="107"/>
      <c r="M775" s="107"/>
      <c r="N775" s="101"/>
      <c r="O775" s="107"/>
      <c r="P775" s="4"/>
      <c r="V775" s="5"/>
      <c r="AC775" s="79"/>
      <c r="AD775" s="77"/>
      <c r="AE775" s="79"/>
      <c r="AF775" s="79"/>
      <c r="AG775" s="9"/>
      <c r="AH775" s="79"/>
      <c r="AL775" s="11"/>
      <c r="AM775" s="12"/>
    </row>
    <row r="776" s="1" customFormat="1" spans="4:39">
      <c r="D776" s="34"/>
      <c r="E776" s="34"/>
      <c r="F776" s="86"/>
      <c r="G776" s="86"/>
      <c r="H776" s="31"/>
      <c r="I776" s="3"/>
      <c r="J776" s="106"/>
      <c r="K776" s="106"/>
      <c r="L776" s="107"/>
      <c r="M776" s="107"/>
      <c r="N776" s="101"/>
      <c r="O776" s="107"/>
      <c r="P776" s="4"/>
      <c r="V776" s="5"/>
      <c r="AC776" s="79"/>
      <c r="AD776" s="77"/>
      <c r="AE776" s="79"/>
      <c r="AF776" s="79"/>
      <c r="AG776" s="9"/>
      <c r="AH776" s="79"/>
      <c r="AL776" s="11"/>
      <c r="AM776" s="12"/>
    </row>
    <row r="777" s="1" customFormat="1" spans="4:39">
      <c r="D777" s="34"/>
      <c r="E777" s="34"/>
      <c r="F777" s="86"/>
      <c r="G777" s="86"/>
      <c r="H777" s="31"/>
      <c r="I777" s="3"/>
      <c r="J777" s="106"/>
      <c r="K777" s="106"/>
      <c r="L777" s="107"/>
      <c r="M777" s="107"/>
      <c r="N777" s="101"/>
      <c r="O777" s="107"/>
      <c r="P777" s="4"/>
      <c r="V777" s="5"/>
      <c r="AC777" s="79"/>
      <c r="AD777" s="77"/>
      <c r="AE777" s="79"/>
      <c r="AF777" s="79"/>
      <c r="AG777" s="9"/>
      <c r="AH777" s="79"/>
      <c r="AL777" s="11"/>
      <c r="AM777" s="12"/>
    </row>
    <row r="778" s="1" customFormat="1" spans="4:39">
      <c r="D778" s="34"/>
      <c r="E778" s="34"/>
      <c r="F778" s="86"/>
      <c r="G778" s="86"/>
      <c r="H778" s="31"/>
      <c r="I778" s="3"/>
      <c r="J778" s="106"/>
      <c r="K778" s="106"/>
      <c r="L778" s="107"/>
      <c r="M778" s="107"/>
      <c r="N778" s="101"/>
      <c r="O778" s="107"/>
      <c r="P778" s="4"/>
      <c r="V778" s="5"/>
      <c r="AC778" s="79"/>
      <c r="AD778" s="77"/>
      <c r="AE778" s="79"/>
      <c r="AF778" s="79"/>
      <c r="AG778" s="9"/>
      <c r="AH778" s="79"/>
      <c r="AL778" s="11"/>
      <c r="AM778" s="12"/>
    </row>
    <row r="779" s="1" customFormat="1" spans="4:39">
      <c r="D779" s="34"/>
      <c r="E779" s="34"/>
      <c r="F779" s="86"/>
      <c r="G779" s="86"/>
      <c r="H779" s="31"/>
      <c r="I779" s="3"/>
      <c r="J779" s="106"/>
      <c r="K779" s="106"/>
      <c r="L779" s="107"/>
      <c r="M779" s="107"/>
      <c r="N779" s="101"/>
      <c r="O779" s="107"/>
      <c r="P779" s="4"/>
      <c r="V779" s="5"/>
      <c r="AC779" s="79"/>
      <c r="AD779" s="77"/>
      <c r="AE779" s="79"/>
      <c r="AF779" s="79"/>
      <c r="AG779" s="9"/>
      <c r="AH779" s="79"/>
      <c r="AL779" s="11"/>
      <c r="AM779" s="12"/>
    </row>
    <row r="780" s="1" customFormat="1" spans="4:39">
      <c r="D780" s="34"/>
      <c r="E780" s="34"/>
      <c r="F780" s="86"/>
      <c r="G780" s="86"/>
      <c r="H780" s="31"/>
      <c r="I780" s="3"/>
      <c r="J780" s="106"/>
      <c r="K780" s="106"/>
      <c r="L780" s="107"/>
      <c r="M780" s="107"/>
      <c r="N780" s="101"/>
      <c r="O780" s="107"/>
      <c r="P780" s="4"/>
      <c r="V780" s="5"/>
      <c r="AC780" s="79"/>
      <c r="AD780" s="77"/>
      <c r="AE780" s="79"/>
      <c r="AF780" s="79"/>
      <c r="AG780" s="9"/>
      <c r="AH780" s="79"/>
      <c r="AL780" s="11"/>
      <c r="AM780" s="12"/>
    </row>
    <row r="781" s="1" customFormat="1" spans="4:39">
      <c r="D781" s="34"/>
      <c r="E781" s="34"/>
      <c r="F781" s="86"/>
      <c r="G781" s="86"/>
      <c r="H781" s="31"/>
      <c r="I781" s="3"/>
      <c r="J781" s="106"/>
      <c r="K781" s="106"/>
      <c r="L781" s="107"/>
      <c r="M781" s="107"/>
      <c r="N781" s="101"/>
      <c r="O781" s="107"/>
      <c r="P781" s="4"/>
      <c r="V781" s="5"/>
      <c r="AC781" s="79"/>
      <c r="AD781" s="77"/>
      <c r="AE781" s="79"/>
      <c r="AF781" s="79"/>
      <c r="AG781" s="9"/>
      <c r="AH781" s="79"/>
      <c r="AL781" s="11"/>
      <c r="AM781" s="12"/>
    </row>
    <row r="782" s="1" customFormat="1" spans="4:39">
      <c r="D782" s="34"/>
      <c r="E782" s="34"/>
      <c r="F782" s="86"/>
      <c r="G782" s="86"/>
      <c r="H782" s="31"/>
      <c r="I782" s="3"/>
      <c r="J782" s="106"/>
      <c r="K782" s="106"/>
      <c r="L782" s="107"/>
      <c r="M782" s="107"/>
      <c r="N782" s="101"/>
      <c r="O782" s="107"/>
      <c r="P782" s="4"/>
      <c r="V782" s="5"/>
      <c r="AC782" s="79"/>
      <c r="AD782" s="77"/>
      <c r="AE782" s="79"/>
      <c r="AF782" s="79"/>
      <c r="AG782" s="9"/>
      <c r="AH782" s="79"/>
      <c r="AL782" s="11"/>
      <c r="AM782" s="12"/>
    </row>
    <row r="783" s="1" customFormat="1" spans="4:39">
      <c r="D783" s="34"/>
      <c r="E783" s="34"/>
      <c r="F783" s="86"/>
      <c r="G783" s="86"/>
      <c r="H783" s="31"/>
      <c r="I783" s="3"/>
      <c r="J783" s="106"/>
      <c r="K783" s="106"/>
      <c r="L783" s="107"/>
      <c r="M783" s="107"/>
      <c r="N783" s="101"/>
      <c r="O783" s="107"/>
      <c r="P783" s="4"/>
      <c r="V783" s="5"/>
      <c r="AC783" s="79"/>
      <c r="AD783" s="77"/>
      <c r="AE783" s="79"/>
      <c r="AF783" s="79"/>
      <c r="AG783" s="9"/>
      <c r="AH783" s="79"/>
      <c r="AL783" s="11"/>
      <c r="AM783" s="12"/>
    </row>
    <row r="784" s="1" customFormat="1" spans="4:39">
      <c r="D784" s="34"/>
      <c r="E784" s="34"/>
      <c r="F784" s="86"/>
      <c r="G784" s="86"/>
      <c r="H784" s="31"/>
      <c r="I784" s="3"/>
      <c r="J784" s="106"/>
      <c r="K784" s="106"/>
      <c r="L784" s="107"/>
      <c r="M784" s="107"/>
      <c r="N784" s="101"/>
      <c r="O784" s="107"/>
      <c r="P784" s="4"/>
      <c r="V784" s="5"/>
      <c r="AC784" s="79"/>
      <c r="AD784" s="77"/>
      <c r="AE784" s="79"/>
      <c r="AF784" s="79"/>
      <c r="AG784" s="9"/>
      <c r="AH784" s="79"/>
      <c r="AL784" s="11"/>
      <c r="AM784" s="12"/>
    </row>
    <row r="785" s="1" customFormat="1" spans="4:39">
      <c r="D785" s="34"/>
      <c r="E785" s="34"/>
      <c r="F785" s="86"/>
      <c r="G785" s="86"/>
      <c r="H785" s="31"/>
      <c r="I785" s="3"/>
      <c r="J785" s="106"/>
      <c r="K785" s="106"/>
      <c r="L785" s="107"/>
      <c r="M785" s="107"/>
      <c r="N785" s="101"/>
      <c r="O785" s="107"/>
      <c r="P785" s="4"/>
      <c r="V785" s="5"/>
      <c r="AC785" s="79"/>
      <c r="AD785" s="77"/>
      <c r="AE785" s="79"/>
      <c r="AF785" s="79"/>
      <c r="AG785" s="9"/>
      <c r="AH785" s="79"/>
      <c r="AL785" s="11"/>
      <c r="AM785" s="12"/>
    </row>
    <row r="786" s="1" customFormat="1" spans="4:39">
      <c r="D786" s="34"/>
      <c r="E786" s="34"/>
      <c r="F786" s="86"/>
      <c r="G786" s="86"/>
      <c r="H786" s="31"/>
      <c r="I786" s="3"/>
      <c r="J786" s="106"/>
      <c r="K786" s="106"/>
      <c r="L786" s="107"/>
      <c r="M786" s="107"/>
      <c r="N786" s="101"/>
      <c r="O786" s="107"/>
      <c r="P786" s="4"/>
      <c r="V786" s="5"/>
      <c r="AC786" s="79"/>
      <c r="AD786" s="77"/>
      <c r="AE786" s="79"/>
      <c r="AF786" s="79"/>
      <c r="AG786" s="9"/>
      <c r="AH786" s="79"/>
      <c r="AL786" s="11"/>
      <c r="AM786" s="12"/>
    </row>
    <row r="787" s="1" customFormat="1" spans="4:39">
      <c r="D787" s="34"/>
      <c r="E787" s="34"/>
      <c r="F787" s="86"/>
      <c r="G787" s="86"/>
      <c r="H787" s="31"/>
      <c r="I787" s="3"/>
      <c r="J787" s="106"/>
      <c r="K787" s="106"/>
      <c r="L787" s="107"/>
      <c r="M787" s="107"/>
      <c r="N787" s="101"/>
      <c r="O787" s="107"/>
      <c r="P787" s="4"/>
      <c r="V787" s="5"/>
      <c r="AC787" s="79"/>
      <c r="AD787" s="77"/>
      <c r="AE787" s="79"/>
      <c r="AF787" s="79"/>
      <c r="AG787" s="9"/>
      <c r="AH787" s="79"/>
      <c r="AL787" s="11"/>
      <c r="AM787" s="12"/>
    </row>
    <row r="788" s="1" customFormat="1" spans="4:39">
      <c r="D788" s="34"/>
      <c r="E788" s="34"/>
      <c r="F788" s="86"/>
      <c r="G788" s="86"/>
      <c r="H788" s="31"/>
      <c r="I788" s="3"/>
      <c r="J788" s="106"/>
      <c r="K788" s="106"/>
      <c r="L788" s="107"/>
      <c r="M788" s="107"/>
      <c r="N788" s="101"/>
      <c r="O788" s="107"/>
      <c r="P788" s="4"/>
      <c r="V788" s="5"/>
      <c r="AC788" s="79"/>
      <c r="AD788" s="77"/>
      <c r="AE788" s="79"/>
      <c r="AF788" s="79"/>
      <c r="AG788" s="9"/>
      <c r="AH788" s="79"/>
      <c r="AL788" s="11"/>
      <c r="AM788" s="12"/>
    </row>
    <row r="789" s="1" customFormat="1" spans="4:39">
      <c r="D789" s="34"/>
      <c r="E789" s="34"/>
      <c r="F789" s="86"/>
      <c r="G789" s="86"/>
      <c r="H789" s="31"/>
      <c r="I789" s="3"/>
      <c r="J789" s="106"/>
      <c r="K789" s="106"/>
      <c r="L789" s="107"/>
      <c r="M789" s="107"/>
      <c r="N789" s="101"/>
      <c r="O789" s="107"/>
      <c r="P789" s="4"/>
      <c r="V789" s="5"/>
      <c r="AC789" s="79"/>
      <c r="AD789" s="77"/>
      <c r="AE789" s="79"/>
      <c r="AF789" s="79"/>
      <c r="AG789" s="9"/>
      <c r="AH789" s="79"/>
      <c r="AL789" s="11"/>
      <c r="AM789" s="12"/>
    </row>
    <row r="790" s="1" customFormat="1" spans="4:39">
      <c r="D790" s="34"/>
      <c r="E790" s="34"/>
      <c r="F790" s="86"/>
      <c r="G790" s="86"/>
      <c r="H790" s="31"/>
      <c r="I790" s="3"/>
      <c r="J790" s="106"/>
      <c r="K790" s="106"/>
      <c r="L790" s="107"/>
      <c r="M790" s="107"/>
      <c r="N790" s="101"/>
      <c r="O790" s="107"/>
      <c r="P790" s="4"/>
      <c r="V790" s="5"/>
      <c r="AC790" s="79"/>
      <c r="AD790" s="77"/>
      <c r="AE790" s="79"/>
      <c r="AF790" s="79"/>
      <c r="AG790" s="9"/>
      <c r="AH790" s="79"/>
      <c r="AL790" s="11"/>
      <c r="AM790" s="12"/>
    </row>
    <row r="791" s="1" customFormat="1" spans="4:39">
      <c r="D791" s="34"/>
      <c r="E791" s="34"/>
      <c r="F791" s="86"/>
      <c r="G791" s="86"/>
      <c r="H791" s="31"/>
      <c r="I791" s="3"/>
      <c r="J791" s="106"/>
      <c r="K791" s="106"/>
      <c r="L791" s="107"/>
      <c r="M791" s="107"/>
      <c r="N791" s="101"/>
      <c r="O791" s="107"/>
      <c r="P791" s="4"/>
      <c r="V791" s="5"/>
      <c r="AC791" s="79"/>
      <c r="AD791" s="77"/>
      <c r="AE791" s="79"/>
      <c r="AF791" s="79"/>
      <c r="AG791" s="9"/>
      <c r="AH791" s="79"/>
      <c r="AL791" s="11"/>
      <c r="AM791" s="12"/>
    </row>
    <row r="792" s="1" customFormat="1" spans="4:39">
      <c r="D792" s="34"/>
      <c r="E792" s="34"/>
      <c r="F792" s="86"/>
      <c r="G792" s="86"/>
      <c r="H792" s="31"/>
      <c r="I792" s="3"/>
      <c r="J792" s="106"/>
      <c r="K792" s="106"/>
      <c r="L792" s="107"/>
      <c r="M792" s="107"/>
      <c r="N792" s="101"/>
      <c r="O792" s="107"/>
      <c r="P792" s="4"/>
      <c r="V792" s="5"/>
      <c r="AC792" s="79"/>
      <c r="AD792" s="77"/>
      <c r="AE792" s="79"/>
      <c r="AF792" s="79"/>
      <c r="AG792" s="9"/>
      <c r="AH792" s="79"/>
      <c r="AL792" s="11"/>
      <c r="AM792" s="12"/>
    </row>
    <row r="793" s="1" customFormat="1" spans="4:39">
      <c r="D793" s="34"/>
      <c r="E793" s="34"/>
      <c r="F793" s="86"/>
      <c r="G793" s="86"/>
      <c r="H793" s="31"/>
      <c r="I793" s="3"/>
      <c r="J793" s="106"/>
      <c r="K793" s="106"/>
      <c r="L793" s="107"/>
      <c r="M793" s="107"/>
      <c r="N793" s="101"/>
      <c r="O793" s="107"/>
      <c r="P793" s="4"/>
      <c r="V793" s="5"/>
      <c r="AC793" s="79"/>
      <c r="AD793" s="77"/>
      <c r="AE793" s="79"/>
      <c r="AF793" s="79"/>
      <c r="AG793" s="9"/>
      <c r="AH793" s="79"/>
      <c r="AL793" s="11"/>
      <c r="AM793" s="12"/>
    </row>
    <row r="794" s="1" customFormat="1" spans="4:39">
      <c r="D794" s="34"/>
      <c r="E794" s="34"/>
      <c r="F794" s="86"/>
      <c r="G794" s="86"/>
      <c r="H794" s="31"/>
      <c r="I794" s="3"/>
      <c r="J794" s="106"/>
      <c r="K794" s="106"/>
      <c r="L794" s="107"/>
      <c r="M794" s="107"/>
      <c r="N794" s="101"/>
      <c r="O794" s="107"/>
      <c r="P794" s="4"/>
      <c r="V794" s="5"/>
      <c r="AC794" s="79"/>
      <c r="AD794" s="77"/>
      <c r="AE794" s="79"/>
      <c r="AF794" s="79"/>
      <c r="AG794" s="9"/>
      <c r="AH794" s="79"/>
      <c r="AL794" s="11"/>
      <c r="AM794" s="12"/>
    </row>
    <row r="795" s="1" customFormat="1" spans="4:39">
      <c r="D795" s="34"/>
      <c r="E795" s="34"/>
      <c r="F795" s="86"/>
      <c r="G795" s="86"/>
      <c r="H795" s="31"/>
      <c r="I795" s="3"/>
      <c r="J795" s="106"/>
      <c r="K795" s="106"/>
      <c r="L795" s="107"/>
      <c r="M795" s="107"/>
      <c r="N795" s="101"/>
      <c r="O795" s="107"/>
      <c r="P795" s="4"/>
      <c r="V795" s="5"/>
      <c r="AC795" s="79"/>
      <c r="AD795" s="77"/>
      <c r="AE795" s="79"/>
      <c r="AF795" s="79"/>
      <c r="AG795" s="9"/>
      <c r="AH795" s="79"/>
      <c r="AL795" s="11"/>
      <c r="AM795" s="12"/>
    </row>
    <row r="796" s="1" customFormat="1" spans="4:39">
      <c r="D796" s="34"/>
      <c r="E796" s="34"/>
      <c r="F796" s="86"/>
      <c r="G796" s="86"/>
      <c r="H796" s="31"/>
      <c r="I796" s="3"/>
      <c r="J796" s="106"/>
      <c r="K796" s="106"/>
      <c r="L796" s="107"/>
      <c r="M796" s="107"/>
      <c r="N796" s="101"/>
      <c r="O796" s="107"/>
      <c r="P796" s="4"/>
      <c r="V796" s="5"/>
      <c r="AC796" s="79"/>
      <c r="AD796" s="77"/>
      <c r="AE796" s="79"/>
      <c r="AF796" s="79"/>
      <c r="AG796" s="9"/>
      <c r="AH796" s="79"/>
      <c r="AL796" s="11"/>
      <c r="AM796" s="12"/>
    </row>
    <row r="797" s="1" customFormat="1" spans="4:39">
      <c r="D797" s="34"/>
      <c r="E797" s="34"/>
      <c r="F797" s="86"/>
      <c r="G797" s="86"/>
      <c r="H797" s="31"/>
      <c r="I797" s="3"/>
      <c r="J797" s="106"/>
      <c r="K797" s="106"/>
      <c r="L797" s="107"/>
      <c r="M797" s="107"/>
      <c r="N797" s="101"/>
      <c r="O797" s="107"/>
      <c r="P797" s="4"/>
      <c r="V797" s="5"/>
      <c r="AC797" s="79"/>
      <c r="AD797" s="77"/>
      <c r="AE797" s="79"/>
      <c r="AF797" s="79"/>
      <c r="AG797" s="9"/>
      <c r="AH797" s="79"/>
      <c r="AL797" s="11"/>
      <c r="AM797" s="12"/>
    </row>
    <row r="798" s="1" customFormat="1" spans="4:39">
      <c r="D798" s="34"/>
      <c r="E798" s="34"/>
      <c r="F798" s="86"/>
      <c r="G798" s="86"/>
      <c r="H798" s="31"/>
      <c r="I798" s="3"/>
      <c r="J798" s="106"/>
      <c r="K798" s="106"/>
      <c r="L798" s="107"/>
      <c r="M798" s="107"/>
      <c r="N798" s="101"/>
      <c r="O798" s="107"/>
      <c r="P798" s="4"/>
      <c r="V798" s="5"/>
      <c r="AC798" s="79"/>
      <c r="AD798" s="77"/>
      <c r="AE798" s="79"/>
      <c r="AF798" s="79"/>
      <c r="AG798" s="9"/>
      <c r="AH798" s="79"/>
      <c r="AL798" s="11"/>
      <c r="AM798" s="12"/>
    </row>
    <row r="799" s="1" customFormat="1" spans="4:39">
      <c r="D799" s="34"/>
      <c r="E799" s="34"/>
      <c r="F799" s="86"/>
      <c r="G799" s="86"/>
      <c r="H799" s="31"/>
      <c r="I799" s="3"/>
      <c r="J799" s="106"/>
      <c r="K799" s="106"/>
      <c r="L799" s="107"/>
      <c r="M799" s="107"/>
      <c r="N799" s="101"/>
      <c r="O799" s="107"/>
      <c r="P799" s="4"/>
      <c r="V799" s="5"/>
      <c r="AC799" s="79"/>
      <c r="AD799" s="77"/>
      <c r="AE799" s="79"/>
      <c r="AF799" s="79"/>
      <c r="AG799" s="9"/>
      <c r="AH799" s="79"/>
      <c r="AL799" s="11"/>
      <c r="AM799" s="12"/>
    </row>
    <row r="800" s="1" customFormat="1" spans="4:39">
      <c r="D800" s="34"/>
      <c r="E800" s="34"/>
      <c r="F800" s="86"/>
      <c r="G800" s="86"/>
      <c r="H800" s="31"/>
      <c r="I800" s="3"/>
      <c r="J800" s="106"/>
      <c r="K800" s="106"/>
      <c r="L800" s="107"/>
      <c r="M800" s="107"/>
      <c r="N800" s="101"/>
      <c r="O800" s="107"/>
      <c r="P800" s="4"/>
      <c r="V800" s="5"/>
      <c r="AC800" s="79"/>
      <c r="AD800" s="77"/>
      <c r="AE800" s="79"/>
      <c r="AF800" s="79"/>
      <c r="AG800" s="9"/>
      <c r="AH800" s="79"/>
      <c r="AL800" s="11"/>
      <c r="AM800" s="12"/>
    </row>
    <row r="801" s="1" customFormat="1" spans="4:39">
      <c r="D801" s="34"/>
      <c r="E801" s="34"/>
      <c r="F801" s="86"/>
      <c r="G801" s="86"/>
      <c r="H801" s="31"/>
      <c r="I801" s="3"/>
      <c r="J801" s="106"/>
      <c r="K801" s="106"/>
      <c r="L801" s="107"/>
      <c r="M801" s="107"/>
      <c r="N801" s="101"/>
      <c r="O801" s="107"/>
      <c r="P801" s="4"/>
      <c r="V801" s="5"/>
      <c r="AC801" s="79"/>
      <c r="AD801" s="77"/>
      <c r="AE801" s="79"/>
      <c r="AF801" s="79"/>
      <c r="AG801" s="9"/>
      <c r="AH801" s="79"/>
      <c r="AL801" s="11"/>
      <c r="AM801" s="12"/>
    </row>
    <row r="802" s="1" customFormat="1" spans="4:39">
      <c r="D802" s="34"/>
      <c r="E802" s="34"/>
      <c r="F802" s="86"/>
      <c r="G802" s="86"/>
      <c r="H802" s="31"/>
      <c r="I802" s="3"/>
      <c r="J802" s="106"/>
      <c r="K802" s="106"/>
      <c r="L802" s="107"/>
      <c r="M802" s="107"/>
      <c r="N802" s="101"/>
      <c r="O802" s="107"/>
      <c r="P802" s="4"/>
      <c r="V802" s="5"/>
      <c r="AC802" s="79"/>
      <c r="AD802" s="77"/>
      <c r="AE802" s="79"/>
      <c r="AF802" s="79"/>
      <c r="AG802" s="9"/>
      <c r="AH802" s="79"/>
      <c r="AL802" s="11"/>
      <c r="AM802" s="12"/>
    </row>
    <row r="803" s="1" customFormat="1" spans="4:39">
      <c r="D803" s="34"/>
      <c r="E803" s="34"/>
      <c r="F803" s="86"/>
      <c r="G803" s="86"/>
      <c r="H803" s="31"/>
      <c r="I803" s="3"/>
      <c r="J803" s="106"/>
      <c r="K803" s="106"/>
      <c r="L803" s="107"/>
      <c r="M803" s="107"/>
      <c r="N803" s="101"/>
      <c r="O803" s="107"/>
      <c r="P803" s="4"/>
      <c r="V803" s="5"/>
      <c r="AC803" s="79"/>
      <c r="AD803" s="77"/>
      <c r="AE803" s="79"/>
      <c r="AF803" s="79"/>
      <c r="AG803" s="9"/>
      <c r="AH803" s="79"/>
      <c r="AL803" s="11"/>
      <c r="AM803" s="12"/>
    </row>
    <row r="804" s="1" customFormat="1" spans="4:39">
      <c r="D804" s="34"/>
      <c r="E804" s="34"/>
      <c r="F804" s="86"/>
      <c r="G804" s="86"/>
      <c r="H804" s="31"/>
      <c r="I804" s="3"/>
      <c r="J804" s="106"/>
      <c r="K804" s="106"/>
      <c r="L804" s="107"/>
      <c r="M804" s="107"/>
      <c r="N804" s="101"/>
      <c r="O804" s="107"/>
      <c r="P804" s="4"/>
      <c r="V804" s="5"/>
      <c r="AC804" s="79"/>
      <c r="AD804" s="77"/>
      <c r="AE804" s="79"/>
      <c r="AF804" s="79"/>
      <c r="AG804" s="9"/>
      <c r="AH804" s="79"/>
      <c r="AL804" s="11"/>
      <c r="AM804" s="12"/>
    </row>
    <row r="805" s="1" customFormat="1" spans="4:39">
      <c r="D805" s="34"/>
      <c r="E805" s="34"/>
      <c r="F805" s="86"/>
      <c r="G805" s="86"/>
      <c r="H805" s="31"/>
      <c r="I805" s="3"/>
      <c r="J805" s="106"/>
      <c r="K805" s="106"/>
      <c r="L805" s="107"/>
      <c r="M805" s="107"/>
      <c r="N805" s="101"/>
      <c r="O805" s="107"/>
      <c r="P805" s="4"/>
      <c r="V805" s="5"/>
      <c r="AC805" s="79"/>
      <c r="AD805" s="77"/>
      <c r="AE805" s="79"/>
      <c r="AF805" s="79"/>
      <c r="AG805" s="9"/>
      <c r="AH805" s="79"/>
      <c r="AL805" s="11"/>
      <c r="AM805" s="12"/>
    </row>
    <row r="806" s="1" customFormat="1" spans="4:39">
      <c r="D806" s="34"/>
      <c r="E806" s="34"/>
      <c r="F806" s="86"/>
      <c r="G806" s="86"/>
      <c r="H806" s="31"/>
      <c r="I806" s="3"/>
      <c r="J806" s="106"/>
      <c r="K806" s="106"/>
      <c r="L806" s="107"/>
      <c r="M806" s="107"/>
      <c r="N806" s="101"/>
      <c r="O806" s="107"/>
      <c r="P806" s="4"/>
      <c r="V806" s="5"/>
      <c r="AC806" s="79"/>
      <c r="AD806" s="77"/>
      <c r="AE806" s="79"/>
      <c r="AF806" s="79"/>
      <c r="AG806" s="9"/>
      <c r="AH806" s="79"/>
      <c r="AL806" s="11"/>
      <c r="AM806" s="12"/>
    </row>
    <row r="807" s="1" customFormat="1" spans="4:39">
      <c r="D807" s="34"/>
      <c r="E807" s="34"/>
      <c r="F807" s="86"/>
      <c r="G807" s="86"/>
      <c r="H807" s="31"/>
      <c r="I807" s="3"/>
      <c r="J807" s="106"/>
      <c r="K807" s="106"/>
      <c r="L807" s="107"/>
      <c r="M807" s="107"/>
      <c r="N807" s="101"/>
      <c r="O807" s="107"/>
      <c r="P807" s="4"/>
      <c r="V807" s="5"/>
      <c r="AC807" s="79"/>
      <c r="AD807" s="77"/>
      <c r="AE807" s="79"/>
      <c r="AF807" s="79"/>
      <c r="AG807" s="9"/>
      <c r="AH807" s="79"/>
      <c r="AL807" s="11"/>
      <c r="AM807" s="12"/>
    </row>
    <row r="808" s="1" customFormat="1" spans="4:39">
      <c r="D808" s="34"/>
      <c r="E808" s="34"/>
      <c r="F808" s="86"/>
      <c r="G808" s="86"/>
      <c r="H808" s="31"/>
      <c r="I808" s="3"/>
      <c r="J808" s="106"/>
      <c r="K808" s="106"/>
      <c r="L808" s="107"/>
      <c r="M808" s="107"/>
      <c r="N808" s="101"/>
      <c r="O808" s="107"/>
      <c r="P808" s="4"/>
      <c r="V808" s="5"/>
      <c r="AC808" s="79"/>
      <c r="AD808" s="77"/>
      <c r="AE808" s="79"/>
      <c r="AF808" s="79"/>
      <c r="AG808" s="9"/>
      <c r="AH808" s="79"/>
      <c r="AL808" s="11"/>
      <c r="AM808" s="12"/>
    </row>
    <row r="809" s="1" customFormat="1" spans="4:39">
      <c r="D809" s="34"/>
      <c r="E809" s="34"/>
      <c r="F809" s="86"/>
      <c r="G809" s="86"/>
      <c r="H809" s="31"/>
      <c r="I809" s="3"/>
      <c r="J809" s="106"/>
      <c r="K809" s="106"/>
      <c r="L809" s="107"/>
      <c r="M809" s="107"/>
      <c r="N809" s="101"/>
      <c r="O809" s="107"/>
      <c r="P809" s="4"/>
      <c r="V809" s="5"/>
      <c r="AC809" s="85"/>
      <c r="AD809" s="77"/>
      <c r="AE809" s="79"/>
      <c r="AF809" s="79"/>
      <c r="AG809" s="9"/>
      <c r="AH809" s="79"/>
      <c r="AL809" s="11"/>
      <c r="AM809" s="12"/>
    </row>
    <row r="810" s="1" customFormat="1" spans="4:39">
      <c r="D810" s="34"/>
      <c r="E810" s="34"/>
      <c r="F810" s="86"/>
      <c r="G810" s="86"/>
      <c r="H810" s="31"/>
      <c r="I810" s="3"/>
      <c r="J810" s="106"/>
      <c r="K810" s="106"/>
      <c r="L810" s="107"/>
      <c r="M810" s="107"/>
      <c r="N810" s="101"/>
      <c r="O810" s="107"/>
      <c r="P810" s="4"/>
      <c r="V810" s="5"/>
      <c r="AC810" s="85"/>
      <c r="AD810" s="77"/>
      <c r="AE810" s="79"/>
      <c r="AF810" s="79"/>
      <c r="AG810" s="9"/>
      <c r="AH810" s="79"/>
      <c r="AL810" s="11"/>
      <c r="AM810" s="12"/>
    </row>
    <row r="811" s="1" customFormat="1" spans="5:39">
      <c r="E811" s="2"/>
      <c r="F811" s="2"/>
      <c r="G811" s="2"/>
      <c r="H811" s="31"/>
      <c r="I811" s="3"/>
      <c r="J811" s="106"/>
      <c r="K811" s="106"/>
      <c r="L811" s="107"/>
      <c r="M811" s="107"/>
      <c r="N811" s="101"/>
      <c r="O811" s="107"/>
      <c r="P811" s="4"/>
      <c r="V811" s="5"/>
      <c r="AC811" s="85"/>
      <c r="AD811" s="77"/>
      <c r="AE811" s="79"/>
      <c r="AF811" s="79"/>
      <c r="AG811" s="9"/>
      <c r="AH811" s="79"/>
      <c r="AL811" s="11"/>
      <c r="AM811" s="12"/>
    </row>
    <row r="812" s="1" customFormat="1" spans="5:39">
      <c r="E812" s="2"/>
      <c r="F812" s="2"/>
      <c r="G812" s="2"/>
      <c r="H812" s="31"/>
      <c r="I812" s="3"/>
      <c r="J812" s="106"/>
      <c r="K812" s="106"/>
      <c r="L812" s="107"/>
      <c r="M812" s="107"/>
      <c r="N812" s="101"/>
      <c r="O812" s="107"/>
      <c r="P812" s="4"/>
      <c r="V812" s="5"/>
      <c r="AC812" s="85"/>
      <c r="AD812" s="77"/>
      <c r="AE812" s="79"/>
      <c r="AF812" s="79"/>
      <c r="AG812" s="9"/>
      <c r="AH812" s="79"/>
      <c r="AL812" s="11"/>
      <c r="AM812" s="12"/>
    </row>
    <row r="813" s="1" customFormat="1" spans="5:39">
      <c r="E813" s="2"/>
      <c r="F813" s="2"/>
      <c r="G813" s="2"/>
      <c r="H813" s="31"/>
      <c r="I813" s="3"/>
      <c r="J813" s="106"/>
      <c r="K813" s="106"/>
      <c r="L813" s="107"/>
      <c r="M813" s="107"/>
      <c r="N813" s="101"/>
      <c r="O813" s="107"/>
      <c r="P813" s="4"/>
      <c r="V813" s="5"/>
      <c r="AC813" s="85"/>
      <c r="AD813" s="77"/>
      <c r="AE813" s="79"/>
      <c r="AF813" s="79"/>
      <c r="AG813" s="9"/>
      <c r="AH813" s="79"/>
      <c r="AL813" s="11"/>
      <c r="AM813" s="12"/>
    </row>
    <row r="814" s="1" customFormat="1" spans="5:39">
      <c r="E814" s="2"/>
      <c r="F814" s="2"/>
      <c r="G814" s="2"/>
      <c r="H814" s="31"/>
      <c r="I814" s="3"/>
      <c r="J814" s="106"/>
      <c r="K814" s="106"/>
      <c r="L814" s="107"/>
      <c r="M814" s="107"/>
      <c r="N814" s="101"/>
      <c r="O814" s="107"/>
      <c r="P814" s="4"/>
      <c r="V814" s="5"/>
      <c r="AC814" s="85"/>
      <c r="AD814" s="77"/>
      <c r="AE814" s="79"/>
      <c r="AF814" s="79"/>
      <c r="AG814" s="9"/>
      <c r="AH814" s="79"/>
      <c r="AL814" s="11"/>
      <c r="AM814" s="12"/>
    </row>
    <row r="815" s="1" customFormat="1" spans="5:39">
      <c r="E815" s="2"/>
      <c r="F815" s="2"/>
      <c r="G815" s="2"/>
      <c r="H815" s="31"/>
      <c r="I815" s="3"/>
      <c r="J815" s="106"/>
      <c r="K815" s="106"/>
      <c r="L815" s="107"/>
      <c r="M815" s="107"/>
      <c r="N815" s="101"/>
      <c r="O815" s="107"/>
      <c r="P815" s="4"/>
      <c r="V815" s="5"/>
      <c r="AC815" s="85"/>
      <c r="AD815" s="77"/>
      <c r="AE815" s="79"/>
      <c r="AF815" s="79"/>
      <c r="AG815" s="9"/>
      <c r="AH815" s="79"/>
      <c r="AL815" s="11"/>
      <c r="AM815" s="12"/>
    </row>
    <row r="816" s="1" customFormat="1" spans="5:39">
      <c r="E816" s="2"/>
      <c r="F816" s="2"/>
      <c r="G816" s="2"/>
      <c r="H816" s="31"/>
      <c r="I816" s="3"/>
      <c r="J816" s="106"/>
      <c r="K816" s="106"/>
      <c r="L816" s="107"/>
      <c r="M816" s="107"/>
      <c r="N816" s="101"/>
      <c r="O816" s="107"/>
      <c r="P816" s="4"/>
      <c r="V816" s="5"/>
      <c r="AC816" s="85"/>
      <c r="AD816" s="77"/>
      <c r="AE816" s="79"/>
      <c r="AF816" s="79"/>
      <c r="AG816" s="9"/>
      <c r="AH816" s="79"/>
      <c r="AL816" s="11"/>
      <c r="AM816" s="12"/>
    </row>
    <row r="817" s="1" customFormat="1" spans="5:39">
      <c r="E817" s="2"/>
      <c r="F817" s="2"/>
      <c r="G817" s="2"/>
      <c r="H817" s="31"/>
      <c r="I817" s="3"/>
      <c r="J817" s="106"/>
      <c r="K817" s="106"/>
      <c r="L817" s="107"/>
      <c r="M817" s="107"/>
      <c r="N817" s="101"/>
      <c r="O817" s="107"/>
      <c r="P817" s="4"/>
      <c r="V817" s="5"/>
      <c r="AC817" s="85"/>
      <c r="AD817" s="77"/>
      <c r="AE817" s="79"/>
      <c r="AF817" s="79"/>
      <c r="AG817" s="9"/>
      <c r="AH817" s="79"/>
      <c r="AL817" s="11"/>
      <c r="AM817" s="12"/>
    </row>
    <row r="818" s="1" customFormat="1" spans="5:39">
      <c r="E818" s="2"/>
      <c r="F818" s="2"/>
      <c r="G818" s="2"/>
      <c r="H818" s="31"/>
      <c r="I818" s="3"/>
      <c r="J818" s="106"/>
      <c r="K818" s="106"/>
      <c r="L818" s="107"/>
      <c r="M818" s="107"/>
      <c r="N818" s="101"/>
      <c r="O818" s="107"/>
      <c r="P818" s="4"/>
      <c r="V818" s="5"/>
      <c r="AC818" s="85"/>
      <c r="AD818" s="77"/>
      <c r="AE818" s="79"/>
      <c r="AF818" s="79"/>
      <c r="AG818" s="9"/>
      <c r="AH818" s="79"/>
      <c r="AL818" s="11"/>
      <c r="AM818" s="12"/>
    </row>
    <row r="819" s="1" customFormat="1" spans="5:39">
      <c r="E819" s="2"/>
      <c r="F819" s="2"/>
      <c r="G819" s="2"/>
      <c r="H819" s="31"/>
      <c r="I819" s="3"/>
      <c r="J819" s="106"/>
      <c r="K819" s="106"/>
      <c r="L819" s="107"/>
      <c r="M819" s="107"/>
      <c r="N819" s="101"/>
      <c r="O819" s="107"/>
      <c r="P819" s="4"/>
      <c r="V819" s="5"/>
      <c r="AC819" s="85"/>
      <c r="AD819" s="77"/>
      <c r="AE819" s="79"/>
      <c r="AF819" s="79"/>
      <c r="AG819" s="9"/>
      <c r="AH819" s="79"/>
      <c r="AL819" s="11"/>
      <c r="AM819" s="12"/>
    </row>
    <row r="820" s="1" customFormat="1" spans="5:39">
      <c r="E820" s="2"/>
      <c r="F820" s="2"/>
      <c r="G820" s="2"/>
      <c r="H820" s="31"/>
      <c r="I820" s="3"/>
      <c r="J820" s="106"/>
      <c r="K820" s="106"/>
      <c r="L820" s="107"/>
      <c r="M820" s="107"/>
      <c r="N820" s="101"/>
      <c r="O820" s="107"/>
      <c r="P820" s="4"/>
      <c r="V820" s="5"/>
      <c r="AC820" s="108"/>
      <c r="AD820" s="77"/>
      <c r="AE820" s="79"/>
      <c r="AF820" s="79"/>
      <c r="AG820" s="9"/>
      <c r="AH820" s="79"/>
      <c r="AL820" s="11"/>
      <c r="AM820" s="12"/>
    </row>
    <row r="821" s="1" customFormat="1" spans="5:39">
      <c r="E821" s="2"/>
      <c r="F821" s="2"/>
      <c r="G821" s="2"/>
      <c r="H821" s="31"/>
      <c r="I821" s="3"/>
      <c r="J821" s="106"/>
      <c r="K821" s="106"/>
      <c r="L821" s="107"/>
      <c r="M821" s="107"/>
      <c r="N821" s="101"/>
      <c r="O821" s="107"/>
      <c r="P821" s="4"/>
      <c r="V821" s="5"/>
      <c r="AC821" s="108"/>
      <c r="AD821" s="77"/>
      <c r="AE821" s="79"/>
      <c r="AF821" s="79"/>
      <c r="AG821" s="9"/>
      <c r="AH821" s="79"/>
      <c r="AL821" s="11"/>
      <c r="AM821" s="12"/>
    </row>
    <row r="822" s="1" customFormat="1" spans="5:39">
      <c r="E822" s="2"/>
      <c r="F822" s="2"/>
      <c r="G822" s="2"/>
      <c r="H822" s="31"/>
      <c r="I822" s="3"/>
      <c r="J822" s="106"/>
      <c r="K822" s="106"/>
      <c r="L822" s="107"/>
      <c r="M822" s="107"/>
      <c r="N822" s="101"/>
      <c r="O822" s="107"/>
      <c r="P822" s="4"/>
      <c r="V822" s="5"/>
      <c r="AC822" s="108"/>
      <c r="AD822" s="77"/>
      <c r="AE822" s="79"/>
      <c r="AF822" s="79"/>
      <c r="AG822" s="9"/>
      <c r="AH822" s="79"/>
      <c r="AL822" s="11"/>
      <c r="AM822" s="12"/>
    </row>
    <row r="823" s="1" customFormat="1" spans="5:39">
      <c r="E823" s="2"/>
      <c r="F823" s="2"/>
      <c r="G823" s="2"/>
      <c r="H823" s="31"/>
      <c r="I823" s="3"/>
      <c r="J823" s="106"/>
      <c r="K823" s="106"/>
      <c r="L823" s="107"/>
      <c r="M823" s="107"/>
      <c r="N823" s="101"/>
      <c r="O823" s="107"/>
      <c r="P823" s="4"/>
      <c r="V823" s="5"/>
      <c r="AC823" s="108"/>
      <c r="AD823" s="77"/>
      <c r="AE823" s="79"/>
      <c r="AF823" s="79"/>
      <c r="AG823" s="9"/>
      <c r="AH823" s="79"/>
      <c r="AL823" s="11"/>
      <c r="AM823" s="12"/>
    </row>
    <row r="824" s="1" customFormat="1" spans="5:39">
      <c r="E824" s="2"/>
      <c r="F824" s="2"/>
      <c r="G824" s="2"/>
      <c r="H824" s="31"/>
      <c r="I824" s="3"/>
      <c r="J824" s="106"/>
      <c r="K824" s="106"/>
      <c r="L824" s="107"/>
      <c r="M824" s="107"/>
      <c r="N824" s="101"/>
      <c r="O824" s="107"/>
      <c r="P824" s="4"/>
      <c r="V824" s="5"/>
      <c r="AC824" s="108"/>
      <c r="AD824" s="77"/>
      <c r="AE824" s="79"/>
      <c r="AF824" s="79"/>
      <c r="AG824" s="9"/>
      <c r="AH824" s="79"/>
      <c r="AL824" s="11"/>
      <c r="AM824" s="12"/>
    </row>
    <row r="825" s="1" customFormat="1" spans="5:39">
      <c r="E825" s="2"/>
      <c r="F825" s="2"/>
      <c r="G825" s="2"/>
      <c r="H825" s="31"/>
      <c r="I825" s="3"/>
      <c r="J825" s="106"/>
      <c r="K825" s="106"/>
      <c r="L825" s="107"/>
      <c r="M825" s="107"/>
      <c r="N825" s="101"/>
      <c r="O825" s="107"/>
      <c r="P825" s="4"/>
      <c r="V825" s="5"/>
      <c r="AC825" s="108"/>
      <c r="AD825" s="77"/>
      <c r="AE825" s="79"/>
      <c r="AF825" s="79"/>
      <c r="AG825" s="9"/>
      <c r="AH825" s="79"/>
      <c r="AL825" s="11"/>
      <c r="AM825" s="12"/>
    </row>
    <row r="826" s="1" customFormat="1" spans="5:39">
      <c r="E826" s="2"/>
      <c r="F826" s="2"/>
      <c r="G826" s="2"/>
      <c r="H826" s="31"/>
      <c r="I826" s="3"/>
      <c r="J826" s="106"/>
      <c r="K826" s="106"/>
      <c r="L826" s="107"/>
      <c r="M826" s="107"/>
      <c r="N826" s="101"/>
      <c r="O826" s="107"/>
      <c r="P826" s="4"/>
      <c r="V826" s="5"/>
      <c r="AC826" s="108"/>
      <c r="AD826" s="77"/>
      <c r="AE826" s="79"/>
      <c r="AF826" s="79"/>
      <c r="AG826" s="9"/>
      <c r="AH826" s="79"/>
      <c r="AL826" s="11"/>
      <c r="AM826" s="12"/>
    </row>
    <row r="827" s="1" customFormat="1" spans="5:39">
      <c r="E827" s="2"/>
      <c r="F827" s="2"/>
      <c r="G827" s="2"/>
      <c r="H827" s="31"/>
      <c r="I827" s="3"/>
      <c r="J827" s="106"/>
      <c r="K827" s="106"/>
      <c r="L827" s="107"/>
      <c r="M827" s="107"/>
      <c r="N827" s="101"/>
      <c r="O827" s="107"/>
      <c r="P827" s="4"/>
      <c r="V827" s="5"/>
      <c r="AC827" s="108"/>
      <c r="AD827" s="77"/>
      <c r="AE827" s="79"/>
      <c r="AF827" s="79"/>
      <c r="AG827" s="9"/>
      <c r="AH827" s="79"/>
      <c r="AL827" s="11"/>
      <c r="AM827" s="12"/>
    </row>
    <row r="828" s="1" customFormat="1" spans="5:39">
      <c r="E828" s="2"/>
      <c r="F828" s="2"/>
      <c r="G828" s="2"/>
      <c r="H828" s="31"/>
      <c r="I828" s="3"/>
      <c r="J828" s="106"/>
      <c r="K828" s="106"/>
      <c r="L828" s="107"/>
      <c r="M828" s="107"/>
      <c r="N828" s="101"/>
      <c r="O828" s="107"/>
      <c r="P828" s="4"/>
      <c r="V828" s="5"/>
      <c r="AC828" s="108"/>
      <c r="AD828" s="77"/>
      <c r="AE828" s="79"/>
      <c r="AF828" s="79"/>
      <c r="AG828" s="9"/>
      <c r="AH828" s="79"/>
      <c r="AL828" s="11"/>
      <c r="AM828" s="12"/>
    </row>
    <row r="829" s="1" customFormat="1" spans="5:39">
      <c r="E829" s="2"/>
      <c r="F829" s="2"/>
      <c r="G829" s="2"/>
      <c r="H829" s="31"/>
      <c r="I829" s="3"/>
      <c r="J829" s="106"/>
      <c r="K829" s="106"/>
      <c r="L829" s="107"/>
      <c r="M829" s="107"/>
      <c r="N829" s="101"/>
      <c r="O829" s="107"/>
      <c r="P829" s="4"/>
      <c r="V829" s="5"/>
      <c r="AC829" s="108"/>
      <c r="AD829" s="77"/>
      <c r="AE829" s="79"/>
      <c r="AF829" s="79"/>
      <c r="AG829" s="9"/>
      <c r="AH829" s="79"/>
      <c r="AL829" s="11"/>
      <c r="AM829" s="12"/>
    </row>
    <row r="830" s="1" customFormat="1" spans="5:39">
      <c r="E830" s="2"/>
      <c r="F830" s="2"/>
      <c r="G830" s="2"/>
      <c r="H830" s="31"/>
      <c r="I830" s="3"/>
      <c r="J830" s="106"/>
      <c r="K830" s="106"/>
      <c r="L830" s="107"/>
      <c r="M830" s="107"/>
      <c r="N830" s="101"/>
      <c r="O830" s="107"/>
      <c r="P830" s="4"/>
      <c r="V830" s="5"/>
      <c r="AC830" s="108"/>
      <c r="AD830" s="77"/>
      <c r="AE830" s="79"/>
      <c r="AF830" s="79"/>
      <c r="AG830" s="9"/>
      <c r="AH830" s="79"/>
      <c r="AL830" s="11"/>
      <c r="AM830" s="12"/>
    </row>
    <row r="831" s="1" customFormat="1" spans="5:39">
      <c r="E831" s="2"/>
      <c r="F831" s="2"/>
      <c r="G831" s="2"/>
      <c r="H831" s="31"/>
      <c r="I831" s="3"/>
      <c r="J831" s="106"/>
      <c r="K831" s="106"/>
      <c r="L831" s="107"/>
      <c r="M831" s="107"/>
      <c r="N831" s="101"/>
      <c r="O831" s="107"/>
      <c r="P831" s="4"/>
      <c r="V831" s="5"/>
      <c r="AC831" s="108"/>
      <c r="AD831" s="77"/>
      <c r="AE831" s="79"/>
      <c r="AF831" s="79"/>
      <c r="AG831" s="9"/>
      <c r="AH831" s="79"/>
      <c r="AL831" s="11"/>
      <c r="AM831" s="12"/>
    </row>
    <row r="832" s="1" customFormat="1" spans="5:39">
      <c r="E832" s="2"/>
      <c r="F832" s="2"/>
      <c r="G832" s="2"/>
      <c r="H832" s="31"/>
      <c r="I832" s="3"/>
      <c r="J832" s="106"/>
      <c r="K832" s="106"/>
      <c r="L832" s="107"/>
      <c r="M832" s="107"/>
      <c r="N832" s="101"/>
      <c r="O832" s="107"/>
      <c r="P832" s="4"/>
      <c r="V832" s="5"/>
      <c r="AC832" s="108"/>
      <c r="AD832" s="77"/>
      <c r="AE832" s="79"/>
      <c r="AF832" s="79"/>
      <c r="AG832" s="9"/>
      <c r="AH832" s="79"/>
      <c r="AL832" s="11"/>
      <c r="AM832" s="12"/>
    </row>
    <row r="833" s="1" customFormat="1" spans="5:39">
      <c r="E833" s="2"/>
      <c r="F833" s="2"/>
      <c r="G833" s="2"/>
      <c r="H833" s="31"/>
      <c r="I833" s="3"/>
      <c r="J833" s="106"/>
      <c r="K833" s="106"/>
      <c r="L833" s="107"/>
      <c r="M833" s="107"/>
      <c r="N833" s="101"/>
      <c r="O833" s="107"/>
      <c r="P833" s="4"/>
      <c r="V833" s="5"/>
      <c r="AC833" s="108"/>
      <c r="AD833" s="77"/>
      <c r="AE833" s="79"/>
      <c r="AF833" s="79"/>
      <c r="AG833" s="9"/>
      <c r="AH833" s="79"/>
      <c r="AL833" s="11"/>
      <c r="AM833" s="12"/>
    </row>
    <row r="834" s="1" customFormat="1" spans="5:39">
      <c r="E834" s="2"/>
      <c r="F834" s="2"/>
      <c r="G834" s="2"/>
      <c r="H834" s="31"/>
      <c r="I834" s="3"/>
      <c r="J834" s="106"/>
      <c r="K834" s="106"/>
      <c r="L834" s="107"/>
      <c r="M834" s="107"/>
      <c r="N834" s="101"/>
      <c r="O834" s="107"/>
      <c r="P834" s="4"/>
      <c r="V834" s="5"/>
      <c r="AC834" s="108"/>
      <c r="AD834" s="77"/>
      <c r="AE834" s="79"/>
      <c r="AF834" s="79"/>
      <c r="AG834" s="9"/>
      <c r="AH834" s="79"/>
      <c r="AL834" s="11"/>
      <c r="AM834" s="12"/>
    </row>
    <row r="835" s="1" customFormat="1" spans="5:39">
      <c r="E835" s="2"/>
      <c r="F835" s="2"/>
      <c r="G835" s="2"/>
      <c r="H835" s="31"/>
      <c r="I835" s="3"/>
      <c r="J835" s="106"/>
      <c r="K835" s="106"/>
      <c r="L835" s="107"/>
      <c r="M835" s="107"/>
      <c r="N835" s="101"/>
      <c r="O835" s="107"/>
      <c r="P835" s="4"/>
      <c r="V835" s="5"/>
      <c r="AC835" s="108"/>
      <c r="AD835" s="77"/>
      <c r="AE835" s="79"/>
      <c r="AF835" s="79"/>
      <c r="AG835" s="9"/>
      <c r="AH835" s="79"/>
      <c r="AL835" s="11"/>
      <c r="AM835" s="12"/>
    </row>
    <row r="836" s="1" customFormat="1" spans="5:39">
      <c r="E836" s="2"/>
      <c r="F836" s="2"/>
      <c r="G836" s="2"/>
      <c r="H836" s="31"/>
      <c r="I836" s="3"/>
      <c r="J836" s="106"/>
      <c r="K836" s="106"/>
      <c r="L836" s="107"/>
      <c r="M836" s="107"/>
      <c r="N836" s="101"/>
      <c r="O836" s="107"/>
      <c r="P836" s="4"/>
      <c r="V836" s="5"/>
      <c r="AC836" s="108"/>
      <c r="AD836" s="77"/>
      <c r="AE836" s="79"/>
      <c r="AF836" s="79"/>
      <c r="AG836" s="9"/>
      <c r="AH836" s="79"/>
      <c r="AL836" s="11"/>
      <c r="AM836" s="12"/>
    </row>
    <row r="837" s="1" customFormat="1" spans="5:39">
      <c r="E837" s="2"/>
      <c r="F837" s="2"/>
      <c r="G837" s="2"/>
      <c r="H837" s="31"/>
      <c r="I837" s="3"/>
      <c r="J837" s="106"/>
      <c r="K837" s="106"/>
      <c r="L837" s="107"/>
      <c r="M837" s="107"/>
      <c r="N837" s="101"/>
      <c r="O837" s="107"/>
      <c r="P837" s="4"/>
      <c r="V837" s="5"/>
      <c r="AC837" s="108"/>
      <c r="AD837" s="77"/>
      <c r="AE837" s="79"/>
      <c r="AF837" s="79"/>
      <c r="AG837" s="9"/>
      <c r="AH837" s="79"/>
      <c r="AL837" s="11"/>
      <c r="AM837" s="12"/>
    </row>
    <row r="838" s="1" customFormat="1" spans="5:39">
      <c r="E838" s="2"/>
      <c r="F838" s="2"/>
      <c r="G838" s="2"/>
      <c r="H838" s="31"/>
      <c r="I838" s="3"/>
      <c r="J838" s="106"/>
      <c r="K838" s="106"/>
      <c r="L838" s="107"/>
      <c r="M838" s="107"/>
      <c r="N838" s="101"/>
      <c r="O838" s="107"/>
      <c r="P838" s="4"/>
      <c r="V838" s="5"/>
      <c r="AC838" s="108"/>
      <c r="AD838" s="77"/>
      <c r="AE838" s="79"/>
      <c r="AF838" s="79"/>
      <c r="AG838" s="9"/>
      <c r="AH838" s="79"/>
      <c r="AL838" s="11"/>
      <c r="AM838" s="12"/>
    </row>
    <row r="839" s="1" customFormat="1" spans="5:39">
      <c r="E839" s="2"/>
      <c r="F839" s="2"/>
      <c r="G839" s="2"/>
      <c r="H839" s="31"/>
      <c r="I839" s="3"/>
      <c r="J839" s="106"/>
      <c r="K839" s="106"/>
      <c r="L839" s="107"/>
      <c r="M839" s="107"/>
      <c r="N839" s="101"/>
      <c r="O839" s="107"/>
      <c r="P839" s="4"/>
      <c r="V839" s="5"/>
      <c r="AC839" s="108"/>
      <c r="AD839" s="77"/>
      <c r="AE839" s="79"/>
      <c r="AF839" s="79"/>
      <c r="AG839" s="9"/>
      <c r="AH839" s="79"/>
      <c r="AL839" s="11"/>
      <c r="AM839" s="12"/>
    </row>
    <row r="840" s="1" customFormat="1" spans="5:39">
      <c r="E840" s="2"/>
      <c r="F840" s="2"/>
      <c r="G840" s="2"/>
      <c r="H840" s="31"/>
      <c r="I840" s="3"/>
      <c r="J840" s="106"/>
      <c r="K840" s="106"/>
      <c r="L840" s="107"/>
      <c r="M840" s="107"/>
      <c r="N840" s="101"/>
      <c r="O840" s="107"/>
      <c r="P840" s="4"/>
      <c r="V840" s="5"/>
      <c r="AC840" s="108"/>
      <c r="AD840" s="77"/>
      <c r="AE840" s="79"/>
      <c r="AF840" s="79"/>
      <c r="AG840" s="9"/>
      <c r="AH840" s="79"/>
      <c r="AL840" s="11"/>
      <c r="AM840" s="12"/>
    </row>
    <row r="841" s="1" customFormat="1" spans="5:39">
      <c r="E841" s="2"/>
      <c r="F841" s="2"/>
      <c r="G841" s="2"/>
      <c r="H841" s="31"/>
      <c r="I841" s="3"/>
      <c r="J841" s="106"/>
      <c r="K841" s="106"/>
      <c r="L841" s="107"/>
      <c r="M841" s="107"/>
      <c r="N841" s="101"/>
      <c r="O841" s="107"/>
      <c r="P841" s="4"/>
      <c r="V841" s="5"/>
      <c r="AC841" s="108"/>
      <c r="AD841" s="77"/>
      <c r="AE841" s="79"/>
      <c r="AF841" s="79"/>
      <c r="AG841" s="9"/>
      <c r="AH841" s="79"/>
      <c r="AL841" s="11"/>
      <c r="AM841" s="12"/>
    </row>
    <row r="842" s="1" customFormat="1" spans="5:39">
      <c r="E842" s="2"/>
      <c r="F842" s="2"/>
      <c r="G842" s="2"/>
      <c r="H842" s="31"/>
      <c r="I842" s="3"/>
      <c r="J842" s="106"/>
      <c r="K842" s="106"/>
      <c r="L842" s="107"/>
      <c r="M842" s="107"/>
      <c r="N842" s="101"/>
      <c r="O842" s="107"/>
      <c r="P842" s="4"/>
      <c r="V842" s="5"/>
      <c r="AC842" s="108"/>
      <c r="AD842" s="77"/>
      <c r="AE842" s="79"/>
      <c r="AF842" s="79"/>
      <c r="AG842" s="9"/>
      <c r="AH842" s="79"/>
      <c r="AL842" s="11"/>
      <c r="AM842" s="12"/>
    </row>
    <row r="843" s="1" customFormat="1" spans="5:39">
      <c r="E843" s="2"/>
      <c r="F843" s="2"/>
      <c r="G843" s="2"/>
      <c r="H843" s="31"/>
      <c r="I843" s="3"/>
      <c r="J843" s="106"/>
      <c r="K843" s="106"/>
      <c r="L843" s="107"/>
      <c r="M843" s="107"/>
      <c r="N843" s="101"/>
      <c r="O843" s="107"/>
      <c r="P843" s="4"/>
      <c r="V843" s="5"/>
      <c r="AC843" s="108"/>
      <c r="AD843" s="77"/>
      <c r="AE843" s="79"/>
      <c r="AF843" s="79"/>
      <c r="AG843" s="9"/>
      <c r="AH843" s="79"/>
      <c r="AL843" s="11"/>
      <c r="AM843" s="12"/>
    </row>
    <row r="844" s="1" customFormat="1" spans="5:39">
      <c r="E844" s="2"/>
      <c r="F844" s="2"/>
      <c r="G844" s="2"/>
      <c r="H844" s="31"/>
      <c r="I844" s="3"/>
      <c r="J844" s="106"/>
      <c r="K844" s="106"/>
      <c r="L844" s="107"/>
      <c r="M844" s="107"/>
      <c r="N844" s="101"/>
      <c r="O844" s="107"/>
      <c r="P844" s="4"/>
      <c r="V844" s="5"/>
      <c r="AC844" s="108"/>
      <c r="AD844" s="77"/>
      <c r="AE844" s="79"/>
      <c r="AF844" s="79"/>
      <c r="AG844" s="9"/>
      <c r="AH844" s="79"/>
      <c r="AL844" s="11"/>
      <c r="AM844" s="12"/>
    </row>
    <row r="845" s="1" customFormat="1" spans="5:39">
      <c r="E845" s="2"/>
      <c r="F845" s="2"/>
      <c r="G845" s="2"/>
      <c r="H845" s="31"/>
      <c r="I845" s="3"/>
      <c r="J845" s="106"/>
      <c r="K845" s="106"/>
      <c r="L845" s="107"/>
      <c r="M845" s="107"/>
      <c r="N845" s="101"/>
      <c r="O845" s="107"/>
      <c r="P845" s="4"/>
      <c r="V845" s="5"/>
      <c r="AC845" s="108"/>
      <c r="AD845" s="77"/>
      <c r="AE845" s="79"/>
      <c r="AF845" s="79"/>
      <c r="AG845" s="9"/>
      <c r="AH845" s="79"/>
      <c r="AL845" s="11"/>
      <c r="AM845" s="12"/>
    </row>
    <row r="846" s="1" customFormat="1" spans="5:39">
      <c r="E846" s="2"/>
      <c r="F846" s="2"/>
      <c r="G846" s="2"/>
      <c r="H846" s="31"/>
      <c r="I846" s="3"/>
      <c r="J846" s="106"/>
      <c r="K846" s="106"/>
      <c r="L846" s="107"/>
      <c r="M846" s="107"/>
      <c r="N846" s="101"/>
      <c r="O846" s="107"/>
      <c r="P846" s="4"/>
      <c r="V846" s="5"/>
      <c r="AC846" s="108"/>
      <c r="AD846" s="77"/>
      <c r="AE846" s="79"/>
      <c r="AF846" s="79"/>
      <c r="AG846" s="9"/>
      <c r="AH846" s="79"/>
      <c r="AL846" s="11"/>
      <c r="AM846" s="12"/>
    </row>
    <row r="847" s="1" customFormat="1" spans="5:39">
      <c r="E847" s="2"/>
      <c r="F847" s="2"/>
      <c r="G847" s="2"/>
      <c r="H847" s="31"/>
      <c r="I847" s="3"/>
      <c r="J847" s="106"/>
      <c r="K847" s="106"/>
      <c r="L847" s="107"/>
      <c r="M847" s="107"/>
      <c r="N847" s="101"/>
      <c r="O847" s="107"/>
      <c r="P847" s="4"/>
      <c r="V847" s="5"/>
      <c r="AC847" s="108"/>
      <c r="AD847" s="77"/>
      <c r="AE847" s="79"/>
      <c r="AF847" s="79"/>
      <c r="AG847" s="9"/>
      <c r="AH847" s="79"/>
      <c r="AL847" s="11"/>
      <c r="AM847" s="12"/>
    </row>
    <row r="848" s="1" customFormat="1" spans="5:39">
      <c r="E848" s="2"/>
      <c r="F848" s="2"/>
      <c r="G848" s="2"/>
      <c r="H848" s="31"/>
      <c r="I848" s="3"/>
      <c r="J848" s="106"/>
      <c r="K848" s="106"/>
      <c r="L848" s="107"/>
      <c r="M848" s="107"/>
      <c r="N848" s="101"/>
      <c r="O848" s="107"/>
      <c r="P848" s="4"/>
      <c r="V848" s="5"/>
      <c r="AC848" s="108"/>
      <c r="AD848" s="77"/>
      <c r="AE848" s="79"/>
      <c r="AF848" s="79"/>
      <c r="AG848" s="9"/>
      <c r="AH848" s="79"/>
      <c r="AL848" s="11"/>
      <c r="AM848" s="12"/>
    </row>
    <row r="849" s="1" customFormat="1" spans="5:39">
      <c r="E849" s="2"/>
      <c r="F849" s="2"/>
      <c r="G849" s="2"/>
      <c r="H849" s="31"/>
      <c r="I849" s="3"/>
      <c r="J849" s="106"/>
      <c r="K849" s="106"/>
      <c r="L849" s="107"/>
      <c r="M849" s="107"/>
      <c r="N849" s="101"/>
      <c r="O849" s="107"/>
      <c r="P849" s="4"/>
      <c r="V849" s="5"/>
      <c r="AC849" s="108"/>
      <c r="AD849" s="77"/>
      <c r="AE849" s="79"/>
      <c r="AF849" s="79"/>
      <c r="AG849" s="9"/>
      <c r="AH849" s="79"/>
      <c r="AL849" s="11"/>
      <c r="AM849" s="12"/>
    </row>
    <row r="850" s="1" customFormat="1" spans="5:39">
      <c r="E850" s="2"/>
      <c r="F850" s="2"/>
      <c r="G850" s="2"/>
      <c r="H850" s="31"/>
      <c r="I850" s="3"/>
      <c r="J850" s="106"/>
      <c r="K850" s="106"/>
      <c r="L850" s="107"/>
      <c r="M850" s="107"/>
      <c r="N850" s="101"/>
      <c r="O850" s="107"/>
      <c r="P850" s="4"/>
      <c r="V850" s="5"/>
      <c r="AC850" s="108"/>
      <c r="AD850" s="77"/>
      <c r="AE850" s="79"/>
      <c r="AF850" s="79"/>
      <c r="AG850" s="9"/>
      <c r="AH850" s="79"/>
      <c r="AL850" s="11"/>
      <c r="AM850" s="12"/>
    </row>
    <row r="851" s="1" customFormat="1" spans="5:39">
      <c r="E851" s="2"/>
      <c r="F851" s="2"/>
      <c r="G851" s="2"/>
      <c r="H851" s="31"/>
      <c r="I851" s="3"/>
      <c r="J851" s="106"/>
      <c r="K851" s="106"/>
      <c r="L851" s="107"/>
      <c r="M851" s="107"/>
      <c r="N851" s="101"/>
      <c r="O851" s="107"/>
      <c r="P851" s="4"/>
      <c r="V851" s="5"/>
      <c r="AC851" s="108"/>
      <c r="AD851" s="77"/>
      <c r="AE851" s="79"/>
      <c r="AF851" s="79"/>
      <c r="AG851" s="9"/>
      <c r="AH851" s="79"/>
      <c r="AL851" s="11"/>
      <c r="AM851" s="12"/>
    </row>
    <row r="852" s="1" customFormat="1" spans="5:39">
      <c r="E852" s="2"/>
      <c r="F852" s="2"/>
      <c r="G852" s="2"/>
      <c r="H852" s="31"/>
      <c r="I852" s="3"/>
      <c r="J852" s="106"/>
      <c r="K852" s="106"/>
      <c r="L852" s="107"/>
      <c r="M852" s="107"/>
      <c r="N852" s="101"/>
      <c r="O852" s="107"/>
      <c r="P852" s="4"/>
      <c r="V852" s="5"/>
      <c r="AC852" s="108"/>
      <c r="AD852" s="77"/>
      <c r="AE852" s="79"/>
      <c r="AF852" s="79"/>
      <c r="AG852" s="9"/>
      <c r="AH852" s="79"/>
      <c r="AL852" s="11"/>
      <c r="AM852" s="12"/>
    </row>
    <row r="853" s="1" customFormat="1" spans="5:39">
      <c r="E853" s="2"/>
      <c r="F853" s="2"/>
      <c r="G853" s="2"/>
      <c r="H853" s="31"/>
      <c r="I853" s="3"/>
      <c r="J853" s="106"/>
      <c r="K853" s="106"/>
      <c r="L853" s="107"/>
      <c r="M853" s="107"/>
      <c r="N853" s="101"/>
      <c r="O853" s="107"/>
      <c r="P853" s="4"/>
      <c r="V853" s="5"/>
      <c r="AC853" s="108"/>
      <c r="AD853" s="77"/>
      <c r="AE853" s="79"/>
      <c r="AF853" s="79"/>
      <c r="AG853" s="9"/>
      <c r="AH853" s="79"/>
      <c r="AL853" s="11"/>
      <c r="AM853" s="12"/>
    </row>
    <row r="854" s="1" customFormat="1" spans="5:39">
      <c r="E854" s="2"/>
      <c r="F854" s="2"/>
      <c r="G854" s="2"/>
      <c r="H854" s="31"/>
      <c r="I854" s="3"/>
      <c r="J854" s="106"/>
      <c r="K854" s="106"/>
      <c r="L854" s="107"/>
      <c r="M854" s="107"/>
      <c r="N854" s="101"/>
      <c r="O854" s="107"/>
      <c r="P854" s="4"/>
      <c r="V854" s="5"/>
      <c r="AC854" s="108"/>
      <c r="AD854" s="77"/>
      <c r="AE854" s="79"/>
      <c r="AF854" s="79"/>
      <c r="AG854" s="9"/>
      <c r="AH854" s="79"/>
      <c r="AL854" s="11"/>
      <c r="AM854" s="12"/>
    </row>
    <row r="855" s="1" customFormat="1" spans="5:39">
      <c r="E855" s="2"/>
      <c r="F855" s="2"/>
      <c r="G855" s="2"/>
      <c r="H855" s="31"/>
      <c r="I855" s="3"/>
      <c r="J855" s="106"/>
      <c r="K855" s="106"/>
      <c r="L855" s="107"/>
      <c r="M855" s="107"/>
      <c r="N855" s="101"/>
      <c r="O855" s="107"/>
      <c r="P855" s="4"/>
      <c r="V855" s="5"/>
      <c r="AC855" s="108"/>
      <c r="AD855" s="77"/>
      <c r="AE855" s="79"/>
      <c r="AF855" s="79"/>
      <c r="AG855" s="9"/>
      <c r="AH855" s="79"/>
      <c r="AL855" s="11"/>
      <c r="AM855" s="12"/>
    </row>
    <row r="856" s="1" customFormat="1" spans="5:39">
      <c r="E856" s="2"/>
      <c r="F856" s="2"/>
      <c r="G856" s="2"/>
      <c r="H856" s="31"/>
      <c r="I856" s="3"/>
      <c r="J856" s="106"/>
      <c r="K856" s="106"/>
      <c r="L856" s="107"/>
      <c r="M856" s="107"/>
      <c r="N856" s="101"/>
      <c r="O856" s="107"/>
      <c r="P856" s="4"/>
      <c r="V856" s="5"/>
      <c r="AC856" s="108"/>
      <c r="AD856" s="77"/>
      <c r="AE856" s="79"/>
      <c r="AF856" s="79"/>
      <c r="AG856" s="9"/>
      <c r="AH856" s="79"/>
      <c r="AL856" s="11"/>
      <c r="AM856" s="12"/>
    </row>
    <row r="857" s="1" customFormat="1" spans="5:39">
      <c r="E857" s="2"/>
      <c r="F857" s="2"/>
      <c r="G857" s="2"/>
      <c r="H857" s="31"/>
      <c r="I857" s="3"/>
      <c r="J857" s="106"/>
      <c r="K857" s="106"/>
      <c r="L857" s="107"/>
      <c r="M857" s="107"/>
      <c r="N857" s="101"/>
      <c r="O857" s="107"/>
      <c r="P857" s="4"/>
      <c r="V857" s="5"/>
      <c r="AC857" s="108"/>
      <c r="AD857" s="77"/>
      <c r="AE857" s="79"/>
      <c r="AF857" s="79"/>
      <c r="AG857" s="9"/>
      <c r="AH857" s="79"/>
      <c r="AL857" s="11"/>
      <c r="AM857" s="12"/>
    </row>
    <row r="858" s="1" customFormat="1" spans="5:39">
      <c r="E858" s="2"/>
      <c r="F858" s="2"/>
      <c r="G858" s="2"/>
      <c r="H858" s="31"/>
      <c r="I858" s="3"/>
      <c r="J858" s="106"/>
      <c r="K858" s="106"/>
      <c r="L858" s="107"/>
      <c r="M858" s="107"/>
      <c r="N858" s="101"/>
      <c r="O858" s="107"/>
      <c r="P858" s="4"/>
      <c r="V858" s="5"/>
      <c r="AC858" s="108"/>
      <c r="AD858" s="77"/>
      <c r="AE858" s="79"/>
      <c r="AF858" s="79"/>
      <c r="AG858" s="9"/>
      <c r="AH858" s="79"/>
      <c r="AL858" s="11"/>
      <c r="AM858" s="12"/>
    </row>
    <row r="859" s="1" customFormat="1" spans="5:39">
      <c r="E859" s="2"/>
      <c r="F859" s="2"/>
      <c r="G859" s="2"/>
      <c r="H859" s="31"/>
      <c r="I859" s="3"/>
      <c r="J859" s="106"/>
      <c r="K859" s="106"/>
      <c r="L859" s="107"/>
      <c r="M859" s="107"/>
      <c r="N859" s="101"/>
      <c r="O859" s="107"/>
      <c r="P859" s="4"/>
      <c r="V859" s="5"/>
      <c r="AC859" s="108"/>
      <c r="AD859" s="77"/>
      <c r="AE859" s="79"/>
      <c r="AF859" s="79"/>
      <c r="AG859" s="9"/>
      <c r="AH859" s="79"/>
      <c r="AL859" s="11"/>
      <c r="AM859" s="12"/>
    </row>
    <row r="860" s="1" customFormat="1" spans="5:39">
      <c r="E860" s="2"/>
      <c r="F860" s="2"/>
      <c r="G860" s="2"/>
      <c r="H860" s="31"/>
      <c r="I860" s="3"/>
      <c r="J860" s="106"/>
      <c r="K860" s="106"/>
      <c r="L860" s="107"/>
      <c r="M860" s="107"/>
      <c r="N860" s="101"/>
      <c r="O860" s="107"/>
      <c r="P860" s="4"/>
      <c r="V860" s="5"/>
      <c r="AC860" s="108"/>
      <c r="AD860" s="77"/>
      <c r="AE860" s="79"/>
      <c r="AF860" s="79"/>
      <c r="AG860" s="9"/>
      <c r="AH860" s="79"/>
      <c r="AL860" s="11"/>
      <c r="AM860" s="12"/>
    </row>
    <row r="861" s="1" customFormat="1" spans="5:39">
      <c r="E861" s="2"/>
      <c r="F861" s="2"/>
      <c r="G861" s="2"/>
      <c r="H861" s="31"/>
      <c r="I861" s="3"/>
      <c r="J861" s="106"/>
      <c r="K861" s="106"/>
      <c r="L861" s="107"/>
      <c r="M861" s="107"/>
      <c r="N861" s="101"/>
      <c r="O861" s="107"/>
      <c r="P861" s="4"/>
      <c r="V861" s="5"/>
      <c r="AC861" s="108"/>
      <c r="AD861" s="77"/>
      <c r="AE861" s="79"/>
      <c r="AF861" s="79"/>
      <c r="AG861" s="9"/>
      <c r="AH861" s="79"/>
      <c r="AL861" s="11"/>
      <c r="AM861" s="12"/>
    </row>
    <row r="862" s="1" customFormat="1" spans="5:39">
      <c r="E862" s="2"/>
      <c r="F862" s="2"/>
      <c r="G862" s="2"/>
      <c r="H862" s="31"/>
      <c r="I862" s="3"/>
      <c r="J862" s="106"/>
      <c r="K862" s="106"/>
      <c r="L862" s="107"/>
      <c r="M862" s="107"/>
      <c r="N862" s="101"/>
      <c r="O862" s="107"/>
      <c r="P862" s="4"/>
      <c r="V862" s="5"/>
      <c r="AC862" s="108"/>
      <c r="AD862" s="77"/>
      <c r="AE862" s="79"/>
      <c r="AF862" s="79"/>
      <c r="AG862" s="9"/>
      <c r="AH862" s="79"/>
      <c r="AL862" s="11"/>
      <c r="AM862" s="12"/>
    </row>
    <row r="863" s="1" customFormat="1" spans="5:39">
      <c r="E863" s="2"/>
      <c r="F863" s="2"/>
      <c r="G863" s="2"/>
      <c r="H863" s="31"/>
      <c r="I863" s="3"/>
      <c r="J863" s="106"/>
      <c r="K863" s="106"/>
      <c r="L863" s="107"/>
      <c r="M863" s="107"/>
      <c r="N863" s="101"/>
      <c r="O863" s="107"/>
      <c r="P863" s="4"/>
      <c r="V863" s="5"/>
      <c r="AC863" s="108"/>
      <c r="AD863" s="77"/>
      <c r="AE863" s="79"/>
      <c r="AF863" s="79"/>
      <c r="AG863" s="9"/>
      <c r="AH863" s="79"/>
      <c r="AL863" s="11"/>
      <c r="AM863" s="12"/>
    </row>
    <row r="864" s="1" customFormat="1" spans="5:39">
      <c r="E864" s="2"/>
      <c r="F864" s="2"/>
      <c r="G864" s="2"/>
      <c r="H864" s="31"/>
      <c r="I864" s="3"/>
      <c r="J864" s="106"/>
      <c r="K864" s="106"/>
      <c r="L864" s="107"/>
      <c r="M864" s="107"/>
      <c r="N864" s="101"/>
      <c r="O864" s="107"/>
      <c r="P864" s="4"/>
      <c r="V864" s="5"/>
      <c r="AC864" s="108"/>
      <c r="AD864" s="77"/>
      <c r="AE864" s="79"/>
      <c r="AF864" s="79"/>
      <c r="AG864" s="9"/>
      <c r="AH864" s="79"/>
      <c r="AL864" s="11"/>
      <c r="AM864" s="12"/>
    </row>
    <row r="865" s="1" customFormat="1" spans="5:39">
      <c r="E865" s="2"/>
      <c r="F865" s="2"/>
      <c r="G865" s="2"/>
      <c r="H865" s="31"/>
      <c r="I865" s="3"/>
      <c r="J865" s="106"/>
      <c r="K865" s="106"/>
      <c r="L865" s="107"/>
      <c r="M865" s="107"/>
      <c r="N865" s="101"/>
      <c r="O865" s="107"/>
      <c r="P865" s="4"/>
      <c r="V865" s="5"/>
      <c r="AC865" s="108"/>
      <c r="AD865" s="77"/>
      <c r="AE865" s="79"/>
      <c r="AF865" s="79"/>
      <c r="AG865" s="9"/>
      <c r="AH865" s="79"/>
      <c r="AL865" s="11"/>
      <c r="AM865" s="12"/>
    </row>
    <row r="866" s="1" customFormat="1" spans="5:39">
      <c r="E866" s="2"/>
      <c r="F866" s="2"/>
      <c r="G866" s="2"/>
      <c r="H866" s="31"/>
      <c r="I866" s="3"/>
      <c r="J866" s="106"/>
      <c r="K866" s="106"/>
      <c r="L866" s="107"/>
      <c r="M866" s="107"/>
      <c r="N866" s="101"/>
      <c r="O866" s="107"/>
      <c r="P866" s="4"/>
      <c r="V866" s="5"/>
      <c r="AC866" s="108"/>
      <c r="AD866" s="77"/>
      <c r="AE866" s="79"/>
      <c r="AF866" s="79"/>
      <c r="AG866" s="9"/>
      <c r="AH866" s="79"/>
      <c r="AL866" s="11"/>
      <c r="AM866" s="12"/>
    </row>
    <row r="867" s="1" customFormat="1" spans="5:39">
      <c r="E867" s="2"/>
      <c r="F867" s="2"/>
      <c r="G867" s="2"/>
      <c r="H867" s="31"/>
      <c r="I867" s="3"/>
      <c r="J867" s="106"/>
      <c r="K867" s="106"/>
      <c r="L867" s="107"/>
      <c r="M867" s="107"/>
      <c r="N867" s="101"/>
      <c r="O867" s="107"/>
      <c r="P867" s="4"/>
      <c r="V867" s="5"/>
      <c r="AC867" s="108"/>
      <c r="AD867" s="77"/>
      <c r="AE867" s="79"/>
      <c r="AF867" s="79"/>
      <c r="AG867" s="9"/>
      <c r="AH867" s="79"/>
      <c r="AL867" s="11"/>
      <c r="AM867" s="12"/>
    </row>
    <row r="868" s="1" customFormat="1" spans="5:39">
      <c r="E868" s="2"/>
      <c r="F868" s="2"/>
      <c r="G868" s="2"/>
      <c r="H868" s="31"/>
      <c r="I868" s="3"/>
      <c r="J868" s="106"/>
      <c r="K868" s="106"/>
      <c r="L868" s="107"/>
      <c r="M868" s="107"/>
      <c r="N868" s="101"/>
      <c r="O868" s="107"/>
      <c r="P868" s="4"/>
      <c r="V868" s="5"/>
      <c r="AC868" s="108"/>
      <c r="AD868" s="77"/>
      <c r="AE868" s="79"/>
      <c r="AF868" s="79"/>
      <c r="AG868" s="9"/>
      <c r="AH868" s="79"/>
      <c r="AL868" s="11"/>
      <c r="AM868" s="12"/>
    </row>
    <row r="869" s="1" customFormat="1" spans="5:39">
      <c r="E869" s="2"/>
      <c r="F869" s="2"/>
      <c r="G869" s="2"/>
      <c r="H869" s="31"/>
      <c r="I869" s="3"/>
      <c r="J869" s="106"/>
      <c r="K869" s="106"/>
      <c r="L869" s="107"/>
      <c r="M869" s="107"/>
      <c r="N869" s="101"/>
      <c r="O869" s="107"/>
      <c r="P869" s="4"/>
      <c r="V869" s="5"/>
      <c r="AC869" s="108"/>
      <c r="AD869" s="77"/>
      <c r="AE869" s="79"/>
      <c r="AF869" s="79"/>
      <c r="AG869" s="9"/>
      <c r="AH869" s="79"/>
      <c r="AL869" s="11"/>
      <c r="AM869" s="12"/>
    </row>
    <row r="870" s="1" customFormat="1" spans="5:39">
      <c r="E870" s="2"/>
      <c r="F870" s="2"/>
      <c r="G870" s="2"/>
      <c r="H870" s="31"/>
      <c r="I870" s="3"/>
      <c r="J870" s="106"/>
      <c r="K870" s="106"/>
      <c r="L870" s="107"/>
      <c r="M870" s="107"/>
      <c r="N870" s="101"/>
      <c r="O870" s="107"/>
      <c r="P870" s="4"/>
      <c r="V870" s="5"/>
      <c r="AC870" s="108"/>
      <c r="AD870" s="77"/>
      <c r="AE870" s="79"/>
      <c r="AF870" s="79"/>
      <c r="AG870" s="9"/>
      <c r="AH870" s="79"/>
      <c r="AL870" s="11"/>
      <c r="AM870" s="12"/>
    </row>
    <row r="871" s="1" customFormat="1" spans="5:39">
      <c r="E871" s="2"/>
      <c r="F871" s="2"/>
      <c r="G871" s="2"/>
      <c r="H871" s="31"/>
      <c r="I871" s="3"/>
      <c r="J871" s="106"/>
      <c r="K871" s="106"/>
      <c r="L871" s="107"/>
      <c r="M871" s="107"/>
      <c r="N871" s="101"/>
      <c r="O871" s="107"/>
      <c r="P871" s="4"/>
      <c r="V871" s="5"/>
      <c r="AC871" s="108"/>
      <c r="AD871" s="77"/>
      <c r="AE871" s="79"/>
      <c r="AF871" s="79"/>
      <c r="AG871" s="9"/>
      <c r="AH871" s="79"/>
      <c r="AL871" s="11"/>
      <c r="AM871" s="12"/>
    </row>
    <row r="872" s="1" customFormat="1" spans="5:39">
      <c r="E872" s="2"/>
      <c r="F872" s="2"/>
      <c r="G872" s="2"/>
      <c r="H872" s="31"/>
      <c r="I872" s="3"/>
      <c r="J872" s="106"/>
      <c r="K872" s="106"/>
      <c r="L872" s="107"/>
      <c r="M872" s="107"/>
      <c r="N872" s="101"/>
      <c r="O872" s="107"/>
      <c r="P872" s="4"/>
      <c r="V872" s="5"/>
      <c r="AC872" s="108"/>
      <c r="AD872" s="77"/>
      <c r="AE872" s="79"/>
      <c r="AF872" s="79"/>
      <c r="AG872" s="9"/>
      <c r="AH872" s="79"/>
      <c r="AL872" s="11"/>
      <c r="AM872" s="12"/>
    </row>
    <row r="873" s="1" customFormat="1" spans="5:39">
      <c r="E873" s="2"/>
      <c r="F873" s="2"/>
      <c r="G873" s="2"/>
      <c r="H873" s="31"/>
      <c r="I873" s="3"/>
      <c r="J873" s="106"/>
      <c r="K873" s="106"/>
      <c r="L873" s="107"/>
      <c r="M873" s="107"/>
      <c r="N873" s="101"/>
      <c r="O873" s="107"/>
      <c r="P873" s="4"/>
      <c r="V873" s="5"/>
      <c r="AC873" s="108"/>
      <c r="AD873" s="77"/>
      <c r="AE873" s="79"/>
      <c r="AF873" s="79"/>
      <c r="AG873" s="9"/>
      <c r="AH873" s="79"/>
      <c r="AL873" s="11"/>
      <c r="AM873" s="12"/>
    </row>
    <row r="874" s="1" customFormat="1" spans="5:39">
      <c r="E874" s="2"/>
      <c r="F874" s="2"/>
      <c r="G874" s="2"/>
      <c r="H874" s="31"/>
      <c r="I874" s="3"/>
      <c r="J874" s="106"/>
      <c r="K874" s="106"/>
      <c r="L874" s="107"/>
      <c r="M874" s="107"/>
      <c r="N874" s="101"/>
      <c r="O874" s="107"/>
      <c r="P874" s="4"/>
      <c r="V874" s="5"/>
      <c r="AC874" s="108"/>
      <c r="AD874" s="77"/>
      <c r="AE874" s="79"/>
      <c r="AF874" s="79"/>
      <c r="AG874" s="9"/>
      <c r="AH874" s="79"/>
      <c r="AL874" s="11"/>
      <c r="AM874" s="12"/>
    </row>
    <row r="875" s="1" customFormat="1" spans="5:39">
      <c r="E875" s="2"/>
      <c r="F875" s="2"/>
      <c r="G875" s="2"/>
      <c r="H875" s="31"/>
      <c r="I875" s="3"/>
      <c r="J875" s="106"/>
      <c r="K875" s="106"/>
      <c r="L875" s="107"/>
      <c r="M875" s="107"/>
      <c r="N875" s="101"/>
      <c r="O875" s="107"/>
      <c r="P875" s="4"/>
      <c r="V875" s="5"/>
      <c r="AC875" s="108"/>
      <c r="AD875" s="77"/>
      <c r="AE875" s="79"/>
      <c r="AF875" s="79"/>
      <c r="AG875" s="9"/>
      <c r="AH875" s="79"/>
      <c r="AL875" s="11"/>
      <c r="AM875" s="12"/>
    </row>
    <row r="876" s="1" customFormat="1" spans="5:39">
      <c r="E876" s="2"/>
      <c r="F876" s="2"/>
      <c r="G876" s="2"/>
      <c r="H876" s="31"/>
      <c r="I876" s="3"/>
      <c r="J876" s="106"/>
      <c r="K876" s="106"/>
      <c r="L876" s="107"/>
      <c r="M876" s="107"/>
      <c r="N876" s="101"/>
      <c r="O876" s="107"/>
      <c r="P876" s="4"/>
      <c r="V876" s="5"/>
      <c r="AC876" s="108"/>
      <c r="AD876" s="77"/>
      <c r="AE876" s="79"/>
      <c r="AF876" s="79"/>
      <c r="AG876" s="9"/>
      <c r="AH876" s="79"/>
      <c r="AL876" s="11"/>
      <c r="AM876" s="12"/>
    </row>
    <row r="877" s="1" customFormat="1" spans="5:39">
      <c r="E877" s="2"/>
      <c r="F877" s="2"/>
      <c r="G877" s="2"/>
      <c r="H877" s="31"/>
      <c r="I877" s="3"/>
      <c r="J877" s="106"/>
      <c r="K877" s="106"/>
      <c r="L877" s="107"/>
      <c r="M877" s="107"/>
      <c r="N877" s="101"/>
      <c r="O877" s="107"/>
      <c r="P877" s="4"/>
      <c r="V877" s="5"/>
      <c r="AC877" s="108"/>
      <c r="AD877" s="77"/>
      <c r="AE877" s="79"/>
      <c r="AF877" s="79"/>
      <c r="AG877" s="9"/>
      <c r="AH877" s="79"/>
      <c r="AL877" s="11"/>
      <c r="AM877" s="12"/>
    </row>
    <row r="878" s="1" customFormat="1" spans="5:39">
      <c r="E878" s="2"/>
      <c r="F878" s="2"/>
      <c r="G878" s="2"/>
      <c r="H878" s="31"/>
      <c r="I878" s="3"/>
      <c r="J878" s="106"/>
      <c r="K878" s="106"/>
      <c r="L878" s="107"/>
      <c r="M878" s="107"/>
      <c r="N878" s="101"/>
      <c r="O878" s="107"/>
      <c r="P878" s="4"/>
      <c r="V878" s="5"/>
      <c r="AC878" s="108"/>
      <c r="AD878" s="77"/>
      <c r="AE878" s="79"/>
      <c r="AF878" s="79"/>
      <c r="AG878" s="9"/>
      <c r="AH878" s="79"/>
      <c r="AL878" s="11"/>
      <c r="AM878" s="12"/>
    </row>
    <row r="879" s="1" customFormat="1" spans="5:39">
      <c r="E879" s="2"/>
      <c r="F879" s="2"/>
      <c r="G879" s="2"/>
      <c r="H879" s="31"/>
      <c r="I879" s="3"/>
      <c r="J879" s="106"/>
      <c r="K879" s="106"/>
      <c r="L879" s="107"/>
      <c r="M879" s="107"/>
      <c r="N879" s="101"/>
      <c r="O879" s="107"/>
      <c r="P879" s="4"/>
      <c r="V879" s="5"/>
      <c r="AC879" s="108"/>
      <c r="AD879" s="77"/>
      <c r="AE879" s="79"/>
      <c r="AF879" s="79"/>
      <c r="AG879" s="9"/>
      <c r="AH879" s="79"/>
      <c r="AL879" s="11"/>
      <c r="AM879" s="12"/>
    </row>
    <row r="880" s="1" customFormat="1" spans="5:39">
      <c r="E880" s="2"/>
      <c r="F880" s="2"/>
      <c r="G880" s="2"/>
      <c r="H880" s="31"/>
      <c r="I880" s="3"/>
      <c r="J880" s="106"/>
      <c r="K880" s="106"/>
      <c r="L880" s="107"/>
      <c r="M880" s="107"/>
      <c r="N880" s="101"/>
      <c r="O880" s="107"/>
      <c r="P880" s="4"/>
      <c r="V880" s="5"/>
      <c r="AC880" s="108"/>
      <c r="AD880" s="77"/>
      <c r="AE880" s="79"/>
      <c r="AF880" s="79"/>
      <c r="AG880" s="9"/>
      <c r="AH880" s="79"/>
      <c r="AL880" s="11"/>
      <c r="AM880" s="12"/>
    </row>
    <row r="881" s="1" customFormat="1" spans="5:39">
      <c r="E881" s="2"/>
      <c r="F881" s="2"/>
      <c r="G881" s="2"/>
      <c r="H881" s="31"/>
      <c r="I881" s="3"/>
      <c r="J881" s="106"/>
      <c r="K881" s="106"/>
      <c r="L881" s="107"/>
      <c r="M881" s="107"/>
      <c r="N881" s="101"/>
      <c r="O881" s="107"/>
      <c r="P881" s="4"/>
      <c r="V881" s="5"/>
      <c r="AC881" s="108"/>
      <c r="AD881" s="77"/>
      <c r="AE881" s="79"/>
      <c r="AF881" s="79"/>
      <c r="AG881" s="9"/>
      <c r="AH881" s="79"/>
      <c r="AL881" s="11"/>
      <c r="AM881" s="12"/>
    </row>
    <row r="882" s="1" customFormat="1" spans="5:39">
      <c r="E882" s="2"/>
      <c r="F882" s="2"/>
      <c r="G882" s="2"/>
      <c r="H882" s="31"/>
      <c r="I882" s="3"/>
      <c r="J882" s="106"/>
      <c r="K882" s="106"/>
      <c r="L882" s="107"/>
      <c r="M882" s="107"/>
      <c r="N882" s="101"/>
      <c r="O882" s="107"/>
      <c r="P882" s="4"/>
      <c r="V882" s="5"/>
      <c r="AC882" s="108"/>
      <c r="AD882" s="77"/>
      <c r="AE882" s="79"/>
      <c r="AF882" s="79"/>
      <c r="AG882" s="9"/>
      <c r="AH882" s="79"/>
      <c r="AL882" s="11"/>
      <c r="AM882" s="12"/>
    </row>
    <row r="883" s="1" customFormat="1" spans="5:39">
      <c r="E883" s="2"/>
      <c r="F883" s="2"/>
      <c r="G883" s="2"/>
      <c r="H883" s="31"/>
      <c r="I883" s="3"/>
      <c r="J883" s="106"/>
      <c r="K883" s="106"/>
      <c r="L883" s="107"/>
      <c r="M883" s="107"/>
      <c r="N883" s="101"/>
      <c r="O883" s="107"/>
      <c r="P883" s="4"/>
      <c r="V883" s="5"/>
      <c r="AC883" s="108"/>
      <c r="AD883" s="77"/>
      <c r="AE883" s="79"/>
      <c r="AF883" s="79"/>
      <c r="AG883" s="9"/>
      <c r="AH883" s="79"/>
      <c r="AL883" s="11"/>
      <c r="AM883" s="12"/>
    </row>
    <row r="884" s="1" customFormat="1" spans="5:39">
      <c r="E884" s="2"/>
      <c r="F884" s="2"/>
      <c r="G884" s="2"/>
      <c r="H884" s="31"/>
      <c r="I884" s="3"/>
      <c r="J884" s="106"/>
      <c r="K884" s="106"/>
      <c r="L884" s="107"/>
      <c r="M884" s="107"/>
      <c r="N884" s="101"/>
      <c r="O884" s="107"/>
      <c r="P884" s="4"/>
      <c r="V884" s="5"/>
      <c r="AC884" s="108"/>
      <c r="AD884" s="77"/>
      <c r="AE884" s="79"/>
      <c r="AF884" s="79"/>
      <c r="AG884" s="9"/>
      <c r="AH884" s="79"/>
      <c r="AL884" s="11"/>
      <c r="AM884" s="12"/>
    </row>
    <row r="885" s="1" customFormat="1" spans="5:39">
      <c r="E885" s="2"/>
      <c r="F885" s="2"/>
      <c r="G885" s="2"/>
      <c r="H885" s="31"/>
      <c r="I885" s="3"/>
      <c r="J885" s="106"/>
      <c r="K885" s="106"/>
      <c r="L885" s="107"/>
      <c r="M885" s="107"/>
      <c r="N885" s="101"/>
      <c r="O885" s="107"/>
      <c r="P885" s="4"/>
      <c r="V885" s="5"/>
      <c r="AC885" s="108"/>
      <c r="AD885" s="77"/>
      <c r="AE885" s="79"/>
      <c r="AF885" s="79"/>
      <c r="AG885" s="9"/>
      <c r="AH885" s="79"/>
      <c r="AL885" s="11"/>
      <c r="AM885" s="12"/>
    </row>
    <row r="886" s="1" customFormat="1" spans="5:39">
      <c r="E886" s="2"/>
      <c r="F886" s="2"/>
      <c r="G886" s="2"/>
      <c r="H886" s="31"/>
      <c r="I886" s="3"/>
      <c r="J886" s="106"/>
      <c r="K886" s="106"/>
      <c r="L886" s="107"/>
      <c r="M886" s="107"/>
      <c r="N886" s="101"/>
      <c r="O886" s="107"/>
      <c r="P886" s="4"/>
      <c r="V886" s="5"/>
      <c r="AC886" s="108"/>
      <c r="AD886" s="77"/>
      <c r="AE886" s="79"/>
      <c r="AF886" s="79"/>
      <c r="AG886" s="9"/>
      <c r="AH886" s="79"/>
      <c r="AL886" s="11"/>
      <c r="AM886" s="12"/>
    </row>
    <row r="887" s="1" customFormat="1" spans="5:39">
      <c r="E887" s="2"/>
      <c r="F887" s="2"/>
      <c r="G887" s="2"/>
      <c r="H887" s="31"/>
      <c r="I887" s="3"/>
      <c r="J887" s="106"/>
      <c r="K887" s="106"/>
      <c r="L887" s="107"/>
      <c r="M887" s="107"/>
      <c r="N887" s="101"/>
      <c r="O887" s="107"/>
      <c r="P887" s="4"/>
      <c r="V887" s="5"/>
      <c r="AC887" s="108"/>
      <c r="AD887" s="77"/>
      <c r="AE887" s="79"/>
      <c r="AF887" s="79"/>
      <c r="AG887" s="9"/>
      <c r="AH887" s="79"/>
      <c r="AL887" s="11"/>
      <c r="AM887" s="12"/>
    </row>
    <row r="888" s="1" customFormat="1" spans="5:39">
      <c r="E888" s="2"/>
      <c r="F888" s="2"/>
      <c r="G888" s="2"/>
      <c r="H888" s="31"/>
      <c r="I888" s="3"/>
      <c r="J888" s="106"/>
      <c r="K888" s="106"/>
      <c r="L888" s="107"/>
      <c r="M888" s="107"/>
      <c r="N888" s="101"/>
      <c r="O888" s="107"/>
      <c r="P888" s="4"/>
      <c r="V888" s="5"/>
      <c r="AC888" s="108"/>
      <c r="AD888" s="77"/>
      <c r="AE888" s="79"/>
      <c r="AF888" s="79"/>
      <c r="AG888" s="9"/>
      <c r="AH888" s="79"/>
      <c r="AL888" s="11"/>
      <c r="AM888" s="12"/>
    </row>
    <row r="889" s="1" customFormat="1" spans="5:39">
      <c r="E889" s="2"/>
      <c r="F889" s="2"/>
      <c r="G889" s="2"/>
      <c r="H889" s="31"/>
      <c r="I889" s="3"/>
      <c r="J889" s="106"/>
      <c r="K889" s="106"/>
      <c r="L889" s="107"/>
      <c r="M889" s="107"/>
      <c r="N889" s="101"/>
      <c r="O889" s="107"/>
      <c r="P889" s="4"/>
      <c r="V889" s="5"/>
      <c r="AC889" s="108"/>
      <c r="AD889" s="77"/>
      <c r="AE889" s="79"/>
      <c r="AF889" s="79"/>
      <c r="AG889" s="9"/>
      <c r="AH889" s="79"/>
      <c r="AL889" s="11"/>
      <c r="AM889" s="12"/>
    </row>
    <row r="890" s="1" customFormat="1" spans="5:39">
      <c r="E890" s="2"/>
      <c r="F890" s="2"/>
      <c r="G890" s="2"/>
      <c r="H890" s="31"/>
      <c r="I890" s="3"/>
      <c r="J890" s="106"/>
      <c r="K890" s="106"/>
      <c r="L890" s="107"/>
      <c r="M890" s="107"/>
      <c r="N890" s="101"/>
      <c r="O890" s="107"/>
      <c r="P890" s="4"/>
      <c r="V890" s="5"/>
      <c r="AC890" s="6"/>
      <c r="AD890" s="7"/>
      <c r="AE890" s="79"/>
      <c r="AF890" s="79"/>
      <c r="AG890" s="9"/>
      <c r="AH890" s="79"/>
      <c r="AL890" s="11"/>
      <c r="AM890" s="12"/>
    </row>
    <row r="891" s="1" customFormat="1" spans="5:39">
      <c r="E891" s="2"/>
      <c r="F891" s="2"/>
      <c r="G891" s="2"/>
      <c r="H891" s="31"/>
      <c r="I891" s="3"/>
      <c r="J891" s="106"/>
      <c r="K891" s="106"/>
      <c r="L891" s="107"/>
      <c r="M891" s="107"/>
      <c r="N891" s="101"/>
      <c r="O891" s="107"/>
      <c r="P891" s="4"/>
      <c r="V891" s="5"/>
      <c r="AC891" s="6"/>
      <c r="AD891" s="7"/>
      <c r="AE891" s="79"/>
      <c r="AF891" s="79"/>
      <c r="AG891" s="9"/>
      <c r="AH891" s="79"/>
      <c r="AL891" s="11"/>
      <c r="AM891" s="12"/>
    </row>
    <row r="892" s="1" customFormat="1" spans="5:39">
      <c r="E892" s="2"/>
      <c r="F892" s="2"/>
      <c r="G892" s="2"/>
      <c r="H892" s="31"/>
      <c r="I892" s="3"/>
      <c r="J892" s="106"/>
      <c r="K892" s="106"/>
      <c r="L892" s="107"/>
      <c r="M892" s="107"/>
      <c r="N892" s="101"/>
      <c r="O892" s="107"/>
      <c r="P892" s="4"/>
      <c r="V892" s="5"/>
      <c r="AC892" s="6"/>
      <c r="AD892" s="7"/>
      <c r="AE892" s="79"/>
      <c r="AF892" s="79"/>
      <c r="AG892" s="9"/>
      <c r="AH892" s="79"/>
      <c r="AL892" s="11"/>
      <c r="AM892" s="12"/>
    </row>
    <row r="893" s="1" customFormat="1" spans="5:39">
      <c r="E893" s="2"/>
      <c r="F893" s="2"/>
      <c r="G893" s="2"/>
      <c r="H893" s="31"/>
      <c r="I893" s="3"/>
      <c r="J893" s="106"/>
      <c r="K893" s="106"/>
      <c r="L893" s="107"/>
      <c r="M893" s="107"/>
      <c r="N893" s="101"/>
      <c r="O893" s="107"/>
      <c r="P893" s="4"/>
      <c r="V893" s="5"/>
      <c r="AC893" s="6"/>
      <c r="AD893" s="7"/>
      <c r="AE893" s="79"/>
      <c r="AF893" s="79"/>
      <c r="AG893" s="9"/>
      <c r="AH893" s="79"/>
      <c r="AL893" s="11"/>
      <c r="AM893" s="12"/>
    </row>
    <row r="894" s="1" customFormat="1" spans="5:39">
      <c r="E894" s="2"/>
      <c r="F894" s="2"/>
      <c r="G894" s="2"/>
      <c r="H894" s="31"/>
      <c r="I894" s="3"/>
      <c r="J894" s="106"/>
      <c r="K894" s="106"/>
      <c r="L894" s="107"/>
      <c r="M894" s="107"/>
      <c r="N894" s="101"/>
      <c r="O894" s="107"/>
      <c r="P894" s="4"/>
      <c r="V894" s="5"/>
      <c r="AC894" s="6"/>
      <c r="AD894" s="7"/>
      <c r="AE894" s="79"/>
      <c r="AF894" s="79"/>
      <c r="AG894" s="9"/>
      <c r="AH894" s="79"/>
      <c r="AL894" s="11"/>
      <c r="AM894" s="12"/>
    </row>
    <row r="895" s="1" customFormat="1" spans="5:39">
      <c r="E895" s="2"/>
      <c r="F895" s="2"/>
      <c r="G895" s="2"/>
      <c r="H895" s="31"/>
      <c r="I895" s="3"/>
      <c r="J895" s="106"/>
      <c r="K895" s="106"/>
      <c r="L895" s="107"/>
      <c r="M895" s="107"/>
      <c r="N895" s="101"/>
      <c r="O895" s="107"/>
      <c r="P895" s="4"/>
      <c r="V895" s="5"/>
      <c r="AC895" s="6"/>
      <c r="AD895" s="7"/>
      <c r="AE895" s="79"/>
      <c r="AF895" s="79"/>
      <c r="AG895" s="9"/>
      <c r="AH895" s="79"/>
      <c r="AL895" s="11"/>
      <c r="AM895" s="12"/>
    </row>
    <row r="896" s="1" customFormat="1" spans="5:39">
      <c r="E896" s="2"/>
      <c r="F896" s="2"/>
      <c r="G896" s="2"/>
      <c r="H896" s="31"/>
      <c r="I896" s="3"/>
      <c r="J896" s="106"/>
      <c r="K896" s="106"/>
      <c r="L896" s="107"/>
      <c r="M896" s="107"/>
      <c r="N896" s="101"/>
      <c r="O896" s="107"/>
      <c r="P896" s="4"/>
      <c r="V896" s="5"/>
      <c r="AC896" s="6"/>
      <c r="AD896" s="7"/>
      <c r="AE896" s="79"/>
      <c r="AF896" s="79"/>
      <c r="AG896" s="9"/>
      <c r="AH896" s="79"/>
      <c r="AL896" s="11"/>
      <c r="AM896" s="12"/>
    </row>
    <row r="897" s="1" customFormat="1" spans="5:39">
      <c r="E897" s="2"/>
      <c r="F897" s="2"/>
      <c r="G897" s="2"/>
      <c r="H897" s="31"/>
      <c r="I897" s="3"/>
      <c r="J897" s="106"/>
      <c r="K897" s="106"/>
      <c r="L897" s="107"/>
      <c r="M897" s="107"/>
      <c r="N897" s="101"/>
      <c r="O897" s="107"/>
      <c r="P897" s="4"/>
      <c r="V897" s="5"/>
      <c r="AC897" s="6"/>
      <c r="AD897" s="7"/>
      <c r="AE897" s="79"/>
      <c r="AF897" s="79"/>
      <c r="AG897" s="9"/>
      <c r="AH897" s="79"/>
      <c r="AL897" s="11"/>
      <c r="AM897" s="12"/>
    </row>
    <row r="898" s="1" customFormat="1" spans="5:39">
      <c r="E898" s="2"/>
      <c r="F898" s="2"/>
      <c r="G898" s="2"/>
      <c r="H898" s="31"/>
      <c r="I898" s="3"/>
      <c r="J898" s="106"/>
      <c r="K898" s="106"/>
      <c r="L898" s="107"/>
      <c r="M898" s="107"/>
      <c r="N898" s="101"/>
      <c r="O898" s="107"/>
      <c r="P898" s="4"/>
      <c r="V898" s="5"/>
      <c r="AC898" s="6"/>
      <c r="AD898" s="7"/>
      <c r="AE898" s="79"/>
      <c r="AF898" s="79"/>
      <c r="AG898" s="9"/>
      <c r="AH898" s="79"/>
      <c r="AL898" s="11"/>
      <c r="AM898" s="12"/>
    </row>
    <row r="899" s="1" customFormat="1" spans="5:39">
      <c r="E899" s="2"/>
      <c r="F899" s="2"/>
      <c r="G899" s="2"/>
      <c r="H899" s="31"/>
      <c r="I899" s="3"/>
      <c r="J899" s="106"/>
      <c r="K899" s="106"/>
      <c r="L899" s="107"/>
      <c r="M899" s="107"/>
      <c r="N899" s="101"/>
      <c r="O899" s="107"/>
      <c r="P899" s="4"/>
      <c r="V899" s="5"/>
      <c r="AC899" s="6"/>
      <c r="AD899" s="7"/>
      <c r="AE899" s="79"/>
      <c r="AF899" s="79"/>
      <c r="AG899" s="9"/>
      <c r="AH899" s="79"/>
      <c r="AL899" s="11"/>
      <c r="AM899" s="12"/>
    </row>
    <row r="900" s="1" customFormat="1" spans="5:39">
      <c r="E900" s="2"/>
      <c r="F900" s="2"/>
      <c r="G900" s="2"/>
      <c r="H900" s="31"/>
      <c r="I900" s="3"/>
      <c r="J900" s="106"/>
      <c r="K900" s="106"/>
      <c r="L900" s="107"/>
      <c r="M900" s="107"/>
      <c r="N900" s="101"/>
      <c r="O900" s="107"/>
      <c r="P900" s="4"/>
      <c r="V900" s="5"/>
      <c r="AC900" s="6"/>
      <c r="AD900" s="7"/>
      <c r="AE900" s="79"/>
      <c r="AF900" s="79"/>
      <c r="AG900" s="9"/>
      <c r="AH900" s="79"/>
      <c r="AL900" s="11"/>
      <c r="AM900" s="12"/>
    </row>
    <row r="901" s="1" customFormat="1" spans="5:39">
      <c r="E901" s="2"/>
      <c r="F901" s="2"/>
      <c r="G901" s="2"/>
      <c r="H901" s="31"/>
      <c r="I901" s="3"/>
      <c r="J901" s="106"/>
      <c r="K901" s="106"/>
      <c r="L901" s="107"/>
      <c r="M901" s="107"/>
      <c r="N901" s="101"/>
      <c r="O901" s="107"/>
      <c r="P901" s="4"/>
      <c r="V901" s="5"/>
      <c r="AC901" s="6"/>
      <c r="AD901" s="7"/>
      <c r="AE901" s="79"/>
      <c r="AF901" s="79"/>
      <c r="AG901" s="9"/>
      <c r="AH901" s="79"/>
      <c r="AL901" s="11"/>
      <c r="AM901" s="12"/>
    </row>
    <row r="902" s="1" customFormat="1" spans="5:39">
      <c r="E902" s="2"/>
      <c r="F902" s="2"/>
      <c r="G902" s="2"/>
      <c r="H902" s="31"/>
      <c r="I902" s="3"/>
      <c r="J902" s="106"/>
      <c r="K902" s="106"/>
      <c r="L902" s="107"/>
      <c r="M902" s="107"/>
      <c r="N902" s="101"/>
      <c r="O902" s="107"/>
      <c r="P902" s="4"/>
      <c r="V902" s="5"/>
      <c r="AC902" s="6"/>
      <c r="AD902" s="7"/>
      <c r="AE902" s="79"/>
      <c r="AF902" s="79"/>
      <c r="AG902" s="9"/>
      <c r="AH902" s="79"/>
      <c r="AL902" s="11"/>
      <c r="AM902" s="12"/>
    </row>
    <row r="903" s="1" customFormat="1" spans="5:39">
      <c r="E903" s="2"/>
      <c r="F903" s="2"/>
      <c r="G903" s="2"/>
      <c r="H903" s="31"/>
      <c r="I903" s="3"/>
      <c r="J903" s="106"/>
      <c r="K903" s="106"/>
      <c r="L903" s="107"/>
      <c r="M903" s="107"/>
      <c r="N903" s="101"/>
      <c r="O903" s="107"/>
      <c r="P903" s="4"/>
      <c r="V903" s="5"/>
      <c r="AC903" s="6"/>
      <c r="AD903" s="7"/>
      <c r="AE903" s="79"/>
      <c r="AF903" s="79"/>
      <c r="AG903" s="9"/>
      <c r="AH903" s="79"/>
      <c r="AL903" s="11"/>
      <c r="AM903" s="12"/>
    </row>
    <row r="904" s="1" customFormat="1" spans="5:39">
      <c r="E904" s="2"/>
      <c r="F904" s="2"/>
      <c r="G904" s="2"/>
      <c r="H904" s="31"/>
      <c r="I904" s="3"/>
      <c r="J904" s="106"/>
      <c r="K904" s="106"/>
      <c r="L904" s="107"/>
      <c r="M904" s="107"/>
      <c r="N904" s="101"/>
      <c r="O904" s="107"/>
      <c r="P904" s="4"/>
      <c r="V904" s="5"/>
      <c r="AC904" s="6"/>
      <c r="AD904" s="7"/>
      <c r="AE904" s="79"/>
      <c r="AF904" s="79"/>
      <c r="AG904" s="9"/>
      <c r="AH904" s="79"/>
      <c r="AL904" s="11"/>
      <c r="AM904" s="12"/>
    </row>
    <row r="905" s="1" customFormat="1" spans="5:39">
      <c r="E905" s="2"/>
      <c r="F905" s="2"/>
      <c r="G905" s="2"/>
      <c r="H905" s="31"/>
      <c r="I905" s="3"/>
      <c r="J905" s="106"/>
      <c r="K905" s="106"/>
      <c r="L905" s="107"/>
      <c r="M905" s="107"/>
      <c r="N905" s="101"/>
      <c r="O905" s="107"/>
      <c r="P905" s="4"/>
      <c r="V905" s="5"/>
      <c r="AC905" s="6"/>
      <c r="AD905" s="7"/>
      <c r="AE905" s="79"/>
      <c r="AF905" s="79"/>
      <c r="AG905" s="9"/>
      <c r="AH905" s="79"/>
      <c r="AL905" s="11"/>
      <c r="AM905" s="12"/>
    </row>
    <row r="906" s="1" customFormat="1" spans="5:39">
      <c r="E906" s="2"/>
      <c r="F906" s="2"/>
      <c r="G906" s="2"/>
      <c r="H906" s="31"/>
      <c r="I906" s="3"/>
      <c r="J906" s="106"/>
      <c r="K906" s="106"/>
      <c r="L906" s="107"/>
      <c r="M906" s="107"/>
      <c r="N906" s="101"/>
      <c r="O906" s="107"/>
      <c r="P906" s="4"/>
      <c r="V906" s="5"/>
      <c r="AC906" s="6"/>
      <c r="AD906" s="7"/>
      <c r="AE906" s="79"/>
      <c r="AF906" s="79"/>
      <c r="AG906" s="9"/>
      <c r="AH906" s="79"/>
      <c r="AL906" s="11"/>
      <c r="AM906" s="12"/>
    </row>
    <row r="907" s="1" customFormat="1" spans="5:39">
      <c r="E907" s="2"/>
      <c r="F907" s="2"/>
      <c r="G907" s="2"/>
      <c r="H907" s="31"/>
      <c r="I907" s="3"/>
      <c r="J907" s="106"/>
      <c r="K907" s="106"/>
      <c r="L907" s="107"/>
      <c r="M907" s="107"/>
      <c r="N907" s="101"/>
      <c r="O907" s="107"/>
      <c r="P907" s="4"/>
      <c r="V907" s="5"/>
      <c r="AC907" s="6"/>
      <c r="AD907" s="7"/>
      <c r="AE907" s="79"/>
      <c r="AF907" s="79"/>
      <c r="AG907" s="9"/>
      <c r="AH907" s="79"/>
      <c r="AL907" s="11"/>
      <c r="AM907" s="12"/>
    </row>
    <row r="908" s="1" customFormat="1" spans="5:39">
      <c r="E908" s="2"/>
      <c r="F908" s="2"/>
      <c r="G908" s="2"/>
      <c r="H908" s="31"/>
      <c r="I908" s="3"/>
      <c r="J908" s="106"/>
      <c r="K908" s="106"/>
      <c r="L908" s="107"/>
      <c r="M908" s="107"/>
      <c r="N908" s="101"/>
      <c r="O908" s="107"/>
      <c r="P908" s="4"/>
      <c r="V908" s="5"/>
      <c r="AC908" s="6"/>
      <c r="AD908" s="7"/>
      <c r="AE908" s="79"/>
      <c r="AF908" s="79"/>
      <c r="AG908" s="9"/>
      <c r="AH908" s="79"/>
      <c r="AL908" s="11"/>
      <c r="AM908" s="12"/>
    </row>
    <row r="909" s="1" customFormat="1" spans="5:39">
      <c r="E909" s="2"/>
      <c r="F909" s="2"/>
      <c r="G909" s="2"/>
      <c r="H909" s="31"/>
      <c r="I909" s="3"/>
      <c r="J909" s="106"/>
      <c r="K909" s="106"/>
      <c r="L909" s="107"/>
      <c r="M909" s="107"/>
      <c r="N909" s="101"/>
      <c r="O909" s="107"/>
      <c r="P909" s="4"/>
      <c r="V909" s="5"/>
      <c r="AC909" s="6"/>
      <c r="AD909" s="7"/>
      <c r="AE909" s="79"/>
      <c r="AF909" s="79"/>
      <c r="AG909" s="9"/>
      <c r="AH909" s="79"/>
      <c r="AL909" s="11"/>
      <c r="AM909" s="12"/>
    </row>
    <row r="910" s="1" customFormat="1" spans="5:39">
      <c r="E910" s="2"/>
      <c r="F910" s="2"/>
      <c r="G910" s="2"/>
      <c r="H910" s="31"/>
      <c r="I910" s="3"/>
      <c r="J910" s="106"/>
      <c r="K910" s="106"/>
      <c r="L910" s="107"/>
      <c r="M910" s="107"/>
      <c r="N910" s="101"/>
      <c r="O910" s="107"/>
      <c r="P910" s="4"/>
      <c r="V910" s="5"/>
      <c r="AC910" s="6"/>
      <c r="AD910" s="7"/>
      <c r="AE910" s="79"/>
      <c r="AF910" s="79"/>
      <c r="AG910" s="9"/>
      <c r="AH910" s="79"/>
      <c r="AL910" s="11"/>
      <c r="AM910" s="12"/>
    </row>
    <row r="911" s="1" customFormat="1" spans="5:39">
      <c r="E911" s="2"/>
      <c r="F911" s="2"/>
      <c r="G911" s="2"/>
      <c r="H911" s="31"/>
      <c r="I911" s="3"/>
      <c r="J911" s="106"/>
      <c r="K911" s="106"/>
      <c r="L911" s="107"/>
      <c r="M911" s="107"/>
      <c r="N911" s="101"/>
      <c r="O911" s="107"/>
      <c r="P911" s="4"/>
      <c r="V911" s="5"/>
      <c r="AC911" s="6"/>
      <c r="AD911" s="7"/>
      <c r="AE911" s="79"/>
      <c r="AF911" s="79"/>
      <c r="AG911" s="9"/>
      <c r="AH911" s="79"/>
      <c r="AL911" s="11"/>
      <c r="AM911" s="12"/>
    </row>
    <row r="912" s="1" customFormat="1" spans="5:39">
      <c r="E912" s="2"/>
      <c r="F912" s="2"/>
      <c r="G912" s="2"/>
      <c r="H912" s="31"/>
      <c r="I912" s="3"/>
      <c r="J912" s="106"/>
      <c r="K912" s="106"/>
      <c r="L912" s="107"/>
      <c r="M912" s="107"/>
      <c r="N912" s="101"/>
      <c r="O912" s="107"/>
      <c r="P912" s="4"/>
      <c r="V912" s="5"/>
      <c r="AC912" s="6"/>
      <c r="AD912" s="7"/>
      <c r="AE912" s="79"/>
      <c r="AF912" s="79"/>
      <c r="AG912" s="9"/>
      <c r="AH912" s="79"/>
      <c r="AL912" s="11"/>
      <c r="AM912" s="12"/>
    </row>
    <row r="913" s="1" customFormat="1" spans="5:39">
      <c r="E913" s="2"/>
      <c r="F913" s="2"/>
      <c r="G913" s="2"/>
      <c r="H913" s="31"/>
      <c r="I913" s="3"/>
      <c r="J913" s="106"/>
      <c r="K913" s="106"/>
      <c r="L913" s="107"/>
      <c r="M913" s="107"/>
      <c r="N913" s="101"/>
      <c r="O913" s="107"/>
      <c r="P913" s="4"/>
      <c r="V913" s="5"/>
      <c r="AC913" s="6"/>
      <c r="AD913" s="7"/>
      <c r="AE913" s="79"/>
      <c r="AF913" s="79"/>
      <c r="AG913" s="9"/>
      <c r="AH913" s="79"/>
      <c r="AL913" s="11"/>
      <c r="AM913" s="12"/>
    </row>
    <row r="914" s="1" customFormat="1" spans="5:39">
      <c r="E914" s="2"/>
      <c r="F914" s="2"/>
      <c r="G914" s="2"/>
      <c r="H914" s="31"/>
      <c r="I914" s="3"/>
      <c r="J914" s="106"/>
      <c r="K914" s="106"/>
      <c r="L914" s="107"/>
      <c r="M914" s="107"/>
      <c r="N914" s="101"/>
      <c r="O914" s="107"/>
      <c r="P914" s="4"/>
      <c r="V914" s="5"/>
      <c r="AC914" s="6"/>
      <c r="AD914" s="7"/>
      <c r="AE914" s="79"/>
      <c r="AF914" s="79"/>
      <c r="AG914" s="9"/>
      <c r="AH914" s="79"/>
      <c r="AL914" s="11"/>
      <c r="AM914" s="12"/>
    </row>
    <row r="915" s="1" customFormat="1" spans="5:39">
      <c r="E915" s="2"/>
      <c r="F915" s="2"/>
      <c r="G915" s="2"/>
      <c r="H915" s="31"/>
      <c r="I915" s="3"/>
      <c r="J915" s="106"/>
      <c r="K915" s="106"/>
      <c r="L915" s="107"/>
      <c r="M915" s="107"/>
      <c r="N915" s="101"/>
      <c r="O915" s="107"/>
      <c r="P915" s="4"/>
      <c r="V915" s="5"/>
      <c r="AC915" s="6"/>
      <c r="AD915" s="7"/>
      <c r="AE915" s="79"/>
      <c r="AF915" s="79"/>
      <c r="AG915" s="9"/>
      <c r="AH915" s="79"/>
      <c r="AL915" s="11"/>
      <c r="AM915" s="12"/>
    </row>
    <row r="916" s="1" customFormat="1" spans="5:39">
      <c r="E916" s="2"/>
      <c r="F916" s="2"/>
      <c r="G916" s="2"/>
      <c r="H916" s="31"/>
      <c r="I916" s="3"/>
      <c r="J916" s="106"/>
      <c r="K916" s="106"/>
      <c r="L916" s="107"/>
      <c r="M916" s="107"/>
      <c r="N916" s="101"/>
      <c r="O916" s="107"/>
      <c r="P916" s="4"/>
      <c r="V916" s="5"/>
      <c r="AC916" s="6"/>
      <c r="AD916" s="7"/>
      <c r="AE916" s="79"/>
      <c r="AF916" s="79"/>
      <c r="AG916" s="9"/>
      <c r="AH916" s="79"/>
      <c r="AL916" s="11"/>
      <c r="AM916" s="12"/>
    </row>
    <row r="917" s="1" customFormat="1" spans="5:39">
      <c r="E917" s="2"/>
      <c r="F917" s="2"/>
      <c r="G917" s="2"/>
      <c r="H917" s="31"/>
      <c r="I917" s="3"/>
      <c r="J917" s="106"/>
      <c r="K917" s="106"/>
      <c r="L917" s="107"/>
      <c r="M917" s="107"/>
      <c r="N917" s="101"/>
      <c r="O917" s="107"/>
      <c r="P917" s="4"/>
      <c r="V917" s="5"/>
      <c r="AC917" s="6"/>
      <c r="AD917" s="7"/>
      <c r="AE917" s="79"/>
      <c r="AF917" s="79"/>
      <c r="AG917" s="9"/>
      <c r="AH917" s="79"/>
      <c r="AL917" s="11"/>
      <c r="AM917" s="12"/>
    </row>
    <row r="918" s="1" customFormat="1" spans="5:39">
      <c r="E918" s="2"/>
      <c r="F918" s="2"/>
      <c r="G918" s="2"/>
      <c r="H918" s="31"/>
      <c r="I918" s="3"/>
      <c r="J918" s="106"/>
      <c r="K918" s="106"/>
      <c r="L918" s="107"/>
      <c r="M918" s="107"/>
      <c r="N918" s="101"/>
      <c r="O918" s="107"/>
      <c r="P918" s="4"/>
      <c r="V918" s="5"/>
      <c r="AC918" s="6"/>
      <c r="AD918" s="7"/>
      <c r="AE918" s="79"/>
      <c r="AF918" s="79"/>
      <c r="AG918" s="9"/>
      <c r="AH918" s="79"/>
      <c r="AL918" s="11"/>
      <c r="AM918" s="12"/>
    </row>
    <row r="919" s="1" customFormat="1" spans="5:39">
      <c r="E919" s="2"/>
      <c r="F919" s="2"/>
      <c r="G919" s="2"/>
      <c r="H919" s="31"/>
      <c r="I919" s="3"/>
      <c r="J919" s="106"/>
      <c r="K919" s="106"/>
      <c r="L919" s="107"/>
      <c r="M919" s="107"/>
      <c r="N919" s="101"/>
      <c r="O919" s="107"/>
      <c r="P919" s="4"/>
      <c r="V919" s="5"/>
      <c r="AC919" s="6"/>
      <c r="AD919" s="7"/>
      <c r="AE919" s="79"/>
      <c r="AF919" s="79"/>
      <c r="AG919" s="9"/>
      <c r="AH919" s="79"/>
      <c r="AL919" s="11"/>
      <c r="AM919" s="12"/>
    </row>
    <row r="920" s="1" customFormat="1" spans="5:39">
      <c r="E920" s="2"/>
      <c r="F920" s="2"/>
      <c r="G920" s="2"/>
      <c r="H920" s="31"/>
      <c r="I920" s="3"/>
      <c r="J920" s="106"/>
      <c r="K920" s="106"/>
      <c r="L920" s="107"/>
      <c r="M920" s="107"/>
      <c r="N920" s="101"/>
      <c r="O920" s="107"/>
      <c r="P920" s="4"/>
      <c r="V920" s="5"/>
      <c r="AC920" s="6"/>
      <c r="AD920" s="7"/>
      <c r="AE920" s="79"/>
      <c r="AF920" s="79"/>
      <c r="AG920" s="9"/>
      <c r="AH920" s="79"/>
      <c r="AL920" s="11"/>
      <c r="AM920" s="12"/>
    </row>
    <row r="921" s="1" customFormat="1" spans="5:39">
      <c r="E921" s="2"/>
      <c r="F921" s="2"/>
      <c r="G921" s="2"/>
      <c r="H921" s="31"/>
      <c r="I921" s="3"/>
      <c r="J921" s="106"/>
      <c r="K921" s="106"/>
      <c r="L921" s="107"/>
      <c r="M921" s="107"/>
      <c r="N921" s="101"/>
      <c r="O921" s="107"/>
      <c r="P921" s="4"/>
      <c r="V921" s="5"/>
      <c r="AC921" s="6"/>
      <c r="AD921" s="7"/>
      <c r="AE921" s="79"/>
      <c r="AF921" s="79"/>
      <c r="AG921" s="9"/>
      <c r="AH921" s="79"/>
      <c r="AL921" s="11"/>
      <c r="AM921" s="12"/>
    </row>
    <row r="922" s="1" customFormat="1" spans="5:39">
      <c r="E922" s="2"/>
      <c r="F922" s="2"/>
      <c r="G922" s="2"/>
      <c r="H922" s="31"/>
      <c r="I922" s="3"/>
      <c r="J922" s="106"/>
      <c r="K922" s="106"/>
      <c r="L922" s="107"/>
      <c r="M922" s="107"/>
      <c r="N922" s="101"/>
      <c r="O922" s="107"/>
      <c r="P922" s="4"/>
      <c r="V922" s="5"/>
      <c r="AC922" s="6"/>
      <c r="AD922" s="7"/>
      <c r="AE922" s="79"/>
      <c r="AF922" s="79"/>
      <c r="AG922" s="9"/>
      <c r="AH922" s="79"/>
      <c r="AL922" s="11"/>
      <c r="AM922" s="12"/>
    </row>
    <row r="923" s="1" customFormat="1" spans="5:39">
      <c r="E923" s="2"/>
      <c r="F923" s="2"/>
      <c r="G923" s="2"/>
      <c r="H923" s="31"/>
      <c r="I923" s="3"/>
      <c r="J923" s="106"/>
      <c r="K923" s="106"/>
      <c r="L923" s="107"/>
      <c r="M923" s="107"/>
      <c r="N923" s="101"/>
      <c r="O923" s="107"/>
      <c r="P923" s="4"/>
      <c r="V923" s="5"/>
      <c r="AC923" s="6"/>
      <c r="AD923" s="7"/>
      <c r="AE923" s="79"/>
      <c r="AF923" s="79"/>
      <c r="AG923" s="9"/>
      <c r="AH923" s="79"/>
      <c r="AL923" s="11"/>
      <c r="AM923" s="12"/>
    </row>
    <row r="924" s="1" customFormat="1" spans="5:39">
      <c r="E924" s="2"/>
      <c r="F924" s="2"/>
      <c r="G924" s="2"/>
      <c r="H924" s="31"/>
      <c r="I924" s="3"/>
      <c r="J924" s="106"/>
      <c r="K924" s="106"/>
      <c r="L924" s="107"/>
      <c r="M924" s="107"/>
      <c r="N924" s="101"/>
      <c r="O924" s="107"/>
      <c r="P924" s="4"/>
      <c r="V924" s="5"/>
      <c r="AC924" s="6"/>
      <c r="AD924" s="7"/>
      <c r="AE924" s="79"/>
      <c r="AF924" s="79"/>
      <c r="AG924" s="9"/>
      <c r="AH924" s="79"/>
      <c r="AL924" s="11"/>
      <c r="AM924" s="12"/>
    </row>
    <row r="925" s="1" customFormat="1" spans="5:39">
      <c r="E925" s="2"/>
      <c r="F925" s="2"/>
      <c r="G925" s="2"/>
      <c r="H925" s="31"/>
      <c r="I925" s="3"/>
      <c r="J925" s="106"/>
      <c r="K925" s="106"/>
      <c r="L925" s="107"/>
      <c r="M925" s="107"/>
      <c r="N925" s="101"/>
      <c r="O925" s="107"/>
      <c r="P925" s="4"/>
      <c r="V925" s="5"/>
      <c r="AC925" s="6"/>
      <c r="AD925" s="7"/>
      <c r="AE925" s="79"/>
      <c r="AF925" s="79"/>
      <c r="AG925" s="9"/>
      <c r="AH925" s="79"/>
      <c r="AL925" s="11"/>
      <c r="AM925" s="12"/>
    </row>
    <row r="926" s="1" customFormat="1" spans="5:39">
      <c r="E926" s="2"/>
      <c r="F926" s="2"/>
      <c r="G926" s="2"/>
      <c r="H926" s="31"/>
      <c r="I926" s="3"/>
      <c r="J926" s="106"/>
      <c r="K926" s="106"/>
      <c r="L926" s="107"/>
      <c r="M926" s="107"/>
      <c r="N926" s="101"/>
      <c r="O926" s="107"/>
      <c r="P926" s="4"/>
      <c r="V926" s="5"/>
      <c r="AC926" s="6"/>
      <c r="AD926" s="7"/>
      <c r="AE926" s="79"/>
      <c r="AF926" s="79"/>
      <c r="AG926" s="9"/>
      <c r="AH926" s="79"/>
      <c r="AL926" s="11"/>
      <c r="AM926" s="12"/>
    </row>
    <row r="927" s="1" customFormat="1" spans="5:39">
      <c r="E927" s="2"/>
      <c r="F927" s="2"/>
      <c r="G927" s="2"/>
      <c r="H927" s="31"/>
      <c r="I927" s="3"/>
      <c r="J927" s="106"/>
      <c r="K927" s="106"/>
      <c r="L927" s="107"/>
      <c r="M927" s="107"/>
      <c r="N927" s="101"/>
      <c r="O927" s="107"/>
      <c r="P927" s="4"/>
      <c r="V927" s="5"/>
      <c r="AC927" s="6"/>
      <c r="AD927" s="7"/>
      <c r="AE927" s="79"/>
      <c r="AF927" s="79"/>
      <c r="AG927" s="9"/>
      <c r="AH927" s="79"/>
      <c r="AL927" s="11"/>
      <c r="AM927" s="12"/>
    </row>
    <row r="928" s="1" customFormat="1" spans="5:39">
      <c r="E928" s="2"/>
      <c r="F928" s="2"/>
      <c r="G928" s="2"/>
      <c r="H928" s="31"/>
      <c r="I928" s="3"/>
      <c r="J928" s="106"/>
      <c r="K928" s="106"/>
      <c r="L928" s="107"/>
      <c r="M928" s="107"/>
      <c r="N928" s="101"/>
      <c r="O928" s="107"/>
      <c r="P928" s="4"/>
      <c r="V928" s="5"/>
      <c r="AC928" s="6"/>
      <c r="AD928" s="7"/>
      <c r="AE928" s="79"/>
      <c r="AF928" s="79"/>
      <c r="AG928" s="9"/>
      <c r="AH928" s="79"/>
      <c r="AL928" s="11"/>
      <c r="AM928" s="12"/>
    </row>
    <row r="929" s="1" customFormat="1" spans="5:39">
      <c r="E929" s="2"/>
      <c r="F929" s="2"/>
      <c r="G929" s="2"/>
      <c r="H929" s="31"/>
      <c r="I929" s="3"/>
      <c r="J929" s="106"/>
      <c r="K929" s="106"/>
      <c r="L929" s="107"/>
      <c r="M929" s="107"/>
      <c r="N929" s="101"/>
      <c r="O929" s="107"/>
      <c r="P929" s="4"/>
      <c r="V929" s="5"/>
      <c r="AC929" s="6"/>
      <c r="AD929" s="7"/>
      <c r="AE929" s="79"/>
      <c r="AF929" s="79"/>
      <c r="AG929" s="9"/>
      <c r="AH929" s="79"/>
      <c r="AL929" s="11"/>
      <c r="AM929" s="12"/>
    </row>
    <row r="930" s="1" customFormat="1" spans="5:39">
      <c r="E930" s="2"/>
      <c r="F930" s="2"/>
      <c r="G930" s="2"/>
      <c r="H930" s="31"/>
      <c r="I930" s="3"/>
      <c r="J930" s="106"/>
      <c r="K930" s="106"/>
      <c r="L930" s="107"/>
      <c r="M930" s="107"/>
      <c r="N930" s="101"/>
      <c r="O930" s="107"/>
      <c r="P930" s="4"/>
      <c r="V930" s="5"/>
      <c r="AC930" s="6"/>
      <c r="AD930" s="7"/>
      <c r="AE930" s="79"/>
      <c r="AF930" s="79"/>
      <c r="AG930" s="9"/>
      <c r="AH930" s="79"/>
      <c r="AL930" s="11"/>
      <c r="AM930" s="12"/>
    </row>
    <row r="931" s="1" customFormat="1" spans="5:39">
      <c r="E931" s="2"/>
      <c r="F931" s="2"/>
      <c r="G931" s="2"/>
      <c r="H931" s="31"/>
      <c r="I931" s="3"/>
      <c r="J931" s="106"/>
      <c r="K931" s="106"/>
      <c r="L931" s="107"/>
      <c r="M931" s="107"/>
      <c r="N931" s="101"/>
      <c r="O931" s="107"/>
      <c r="P931" s="4"/>
      <c r="V931" s="5"/>
      <c r="AC931" s="6"/>
      <c r="AD931" s="7"/>
      <c r="AE931" s="79"/>
      <c r="AF931" s="79"/>
      <c r="AG931" s="9"/>
      <c r="AH931" s="79"/>
      <c r="AL931" s="11"/>
      <c r="AM931" s="12"/>
    </row>
    <row r="932" s="1" customFormat="1" spans="5:39">
      <c r="E932" s="2"/>
      <c r="F932" s="2"/>
      <c r="G932" s="2"/>
      <c r="H932" s="31"/>
      <c r="I932" s="3"/>
      <c r="J932" s="106"/>
      <c r="K932" s="106"/>
      <c r="L932" s="107"/>
      <c r="M932" s="107"/>
      <c r="N932" s="101"/>
      <c r="O932" s="107"/>
      <c r="P932" s="4"/>
      <c r="V932" s="5"/>
      <c r="AC932" s="6"/>
      <c r="AD932" s="7"/>
      <c r="AE932" s="79"/>
      <c r="AF932" s="79"/>
      <c r="AG932" s="9"/>
      <c r="AH932" s="79"/>
      <c r="AL932" s="11"/>
      <c r="AM932" s="12"/>
    </row>
    <row r="933" s="1" customFormat="1" spans="5:39">
      <c r="E933" s="2"/>
      <c r="F933" s="2"/>
      <c r="G933" s="2"/>
      <c r="H933" s="31"/>
      <c r="I933" s="3"/>
      <c r="J933" s="106"/>
      <c r="K933" s="106"/>
      <c r="L933" s="107"/>
      <c r="M933" s="107"/>
      <c r="N933" s="101"/>
      <c r="O933" s="107"/>
      <c r="P933" s="4"/>
      <c r="V933" s="5"/>
      <c r="AC933" s="6"/>
      <c r="AD933" s="7"/>
      <c r="AE933" s="79"/>
      <c r="AF933" s="79"/>
      <c r="AG933" s="9"/>
      <c r="AH933" s="79"/>
      <c r="AL933" s="11"/>
      <c r="AM933" s="12"/>
    </row>
    <row r="934" s="1" customFormat="1" spans="5:39">
      <c r="E934" s="2"/>
      <c r="F934" s="2"/>
      <c r="G934" s="2"/>
      <c r="H934" s="31"/>
      <c r="I934" s="3"/>
      <c r="J934" s="106"/>
      <c r="K934" s="106"/>
      <c r="L934" s="107"/>
      <c r="M934" s="107"/>
      <c r="N934" s="101"/>
      <c r="O934" s="107"/>
      <c r="P934" s="4"/>
      <c r="V934" s="5"/>
      <c r="AC934" s="6"/>
      <c r="AD934" s="7"/>
      <c r="AE934" s="79"/>
      <c r="AF934" s="79"/>
      <c r="AG934" s="9"/>
      <c r="AH934" s="79"/>
      <c r="AL934" s="11"/>
      <c r="AM934" s="1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2026-09-15T06:43:34Z</dcterms:created>
  <dcterms:modified xsi:type="dcterms:W3CDTF">2026-09-15T06:45:13Z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20D36F70ED844DD6BFB3C3A0B306EDFA_11</vt:lpwstr>
  </property>
  <property fmtid="{D5CDD505-2E9C-101B-9397-08002B2CF9AE}" pid="3" name="KSOProductBuildVer">
    <vt:lpwstr>1033-12.2.0.23206</vt:lpwstr>
  </property>
</Properties>
</file>