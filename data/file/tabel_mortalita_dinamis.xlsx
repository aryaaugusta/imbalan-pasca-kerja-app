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erjaan Arya\KKA VAB\Aplikasi\imbalan-pasca-kerja-app\data\file\"/>
    </mc:Choice>
  </mc:AlternateContent>
  <xr:revisionPtr revIDLastSave="0" documentId="8_{77AB7B4A-FAF9-4E33-AAB9-8C6B9349832B}" xr6:coauthVersionLast="47" xr6:coauthVersionMax="47" xr10:uidLastSave="{00000000-0000-0000-0000-000000000000}"/>
  <bookViews>
    <workbookView xWindow="-120" yWindow="-120" windowWidth="29040" windowHeight="15720" xr2:uid="{2C21EB3D-DA47-424B-AC62-B05791473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109" i="1" l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56" i="1"/>
  <c r="AQ55" i="1"/>
  <c r="AQ54" i="1"/>
  <c r="C54" i="1"/>
  <c r="AQ53" i="1"/>
  <c r="AQ52" i="1"/>
  <c r="AQ51" i="1"/>
  <c r="C51" i="1"/>
  <c r="AQ50" i="1"/>
  <c r="C50" i="1"/>
  <c r="AQ49" i="1"/>
  <c r="C49" i="1"/>
  <c r="AQ48" i="1"/>
  <c r="AQ47" i="1"/>
  <c r="AQ46" i="1"/>
  <c r="C46" i="1"/>
  <c r="AQ45" i="1"/>
  <c r="C45" i="1"/>
  <c r="AQ44" i="1"/>
  <c r="E44" i="1"/>
  <c r="AQ43" i="1"/>
  <c r="C43" i="1"/>
  <c r="AQ42" i="1"/>
  <c r="AQ41" i="1"/>
  <c r="C41" i="1"/>
  <c r="AQ40" i="1"/>
  <c r="AQ39" i="1"/>
  <c r="E39" i="1"/>
  <c r="C39" i="1"/>
  <c r="AQ38" i="1"/>
  <c r="AQ37" i="1"/>
  <c r="AQ36" i="1"/>
  <c r="AQ35" i="1"/>
  <c r="AQ34" i="1"/>
  <c r="AQ33" i="1"/>
  <c r="AQ32" i="1"/>
  <c r="AQ31" i="1"/>
  <c r="AQ30" i="1"/>
  <c r="C30" i="1"/>
  <c r="AQ29" i="1"/>
  <c r="C29" i="1"/>
  <c r="AQ28" i="1"/>
  <c r="AQ27" i="1"/>
  <c r="AQ26" i="1"/>
  <c r="AQ25" i="1"/>
  <c r="E25" i="1"/>
  <c r="AQ24" i="1"/>
  <c r="AQ23" i="1"/>
  <c r="C23" i="1"/>
  <c r="AQ22" i="1"/>
  <c r="AQ21" i="1"/>
  <c r="C21" i="1"/>
  <c r="AQ20" i="1"/>
  <c r="AQ19" i="1"/>
  <c r="AQ18" i="1"/>
  <c r="AQ17" i="1"/>
  <c r="AQ16" i="1"/>
  <c r="X16" i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AQ15" i="1"/>
  <c r="E15" i="1"/>
  <c r="C15" i="1"/>
  <c r="AQ14" i="1"/>
  <c r="X14" i="1"/>
  <c r="X15" i="1" s="1"/>
  <c r="C14" i="1"/>
  <c r="AX13" i="1"/>
  <c r="AX14" i="1" s="1"/>
  <c r="AX15" i="1" s="1"/>
  <c r="AX16" i="1" s="1"/>
  <c r="AX17" i="1" s="1"/>
  <c r="AX18" i="1" s="1"/>
  <c r="AX19" i="1" s="1"/>
  <c r="AX20" i="1" s="1"/>
  <c r="AX21" i="1" s="1"/>
  <c r="AX22" i="1" s="1"/>
  <c r="AX23" i="1" s="1"/>
  <c r="AX24" i="1" s="1"/>
  <c r="AX25" i="1" s="1"/>
  <c r="AX26" i="1" s="1"/>
  <c r="AX27" i="1" s="1"/>
  <c r="AX28" i="1" s="1"/>
  <c r="AX29" i="1" s="1"/>
  <c r="AX30" i="1" s="1"/>
  <c r="AX31" i="1" s="1"/>
  <c r="AX32" i="1" s="1"/>
  <c r="AX33" i="1" s="1"/>
  <c r="AX34" i="1" s="1"/>
  <c r="AX35" i="1" s="1"/>
  <c r="AX36" i="1" s="1"/>
  <c r="AX37" i="1" s="1"/>
  <c r="AX38" i="1" s="1"/>
  <c r="AX39" i="1" s="1"/>
  <c r="AX40" i="1" s="1"/>
  <c r="AX41" i="1" s="1"/>
  <c r="AX42" i="1" s="1"/>
  <c r="AX43" i="1" s="1"/>
  <c r="AX44" i="1" s="1"/>
  <c r="AX45" i="1" s="1"/>
  <c r="AX46" i="1" s="1"/>
  <c r="AX47" i="1" s="1"/>
  <c r="AX48" i="1" s="1"/>
  <c r="AX49" i="1" s="1"/>
  <c r="AX50" i="1" s="1"/>
  <c r="AX51" i="1" s="1"/>
  <c r="AX52" i="1" s="1"/>
  <c r="AX53" i="1" s="1"/>
  <c r="AX54" i="1" s="1"/>
  <c r="AX55" i="1" s="1"/>
  <c r="AX56" i="1" s="1"/>
  <c r="AX57" i="1" s="1"/>
  <c r="AX58" i="1" s="1"/>
  <c r="AX59" i="1" s="1"/>
  <c r="AX60" i="1" s="1"/>
  <c r="AX61" i="1" s="1"/>
  <c r="AX62" i="1" s="1"/>
  <c r="AX63" i="1" s="1"/>
  <c r="AX64" i="1" s="1"/>
  <c r="AX65" i="1" s="1"/>
  <c r="AX66" i="1" s="1"/>
  <c r="AX67" i="1" s="1"/>
  <c r="AX68" i="1" s="1"/>
  <c r="AX69" i="1" s="1"/>
  <c r="AX70" i="1" s="1"/>
  <c r="AX71" i="1" s="1"/>
  <c r="AX72" i="1" s="1"/>
  <c r="AX73" i="1" s="1"/>
  <c r="AX74" i="1" s="1"/>
  <c r="AX75" i="1" s="1"/>
  <c r="AX76" i="1" s="1"/>
  <c r="AX77" i="1" s="1"/>
  <c r="AX78" i="1" s="1"/>
  <c r="AX79" i="1" s="1"/>
  <c r="AX80" i="1" s="1"/>
  <c r="AX81" i="1" s="1"/>
  <c r="AX82" i="1" s="1"/>
  <c r="AX83" i="1" s="1"/>
  <c r="AX84" i="1" s="1"/>
  <c r="AX85" i="1" s="1"/>
  <c r="AX86" i="1" s="1"/>
  <c r="AX87" i="1" s="1"/>
  <c r="AX88" i="1" s="1"/>
  <c r="AX89" i="1" s="1"/>
  <c r="AX90" i="1" s="1"/>
  <c r="AX91" i="1" s="1"/>
  <c r="AX92" i="1" s="1"/>
  <c r="AX93" i="1" s="1"/>
  <c r="AX94" i="1" s="1"/>
  <c r="AX95" i="1" s="1"/>
  <c r="AX96" i="1" s="1"/>
  <c r="AX97" i="1" s="1"/>
  <c r="AX98" i="1" s="1"/>
  <c r="AX99" i="1" s="1"/>
  <c r="AX100" i="1" s="1"/>
  <c r="AX101" i="1" s="1"/>
  <c r="AX102" i="1" s="1"/>
  <c r="AX103" i="1" s="1"/>
  <c r="AX104" i="1" s="1"/>
  <c r="AX105" i="1" s="1"/>
  <c r="AX106" i="1" s="1"/>
  <c r="AX107" i="1" s="1"/>
  <c r="AX108" i="1" s="1"/>
  <c r="AX109" i="1" s="1"/>
  <c r="AX110" i="1" s="1"/>
  <c r="AX111" i="1" s="1"/>
  <c r="AX112" i="1" s="1"/>
  <c r="AX113" i="1" s="1"/>
  <c r="AX114" i="1" s="1"/>
  <c r="AX115" i="1" s="1"/>
  <c r="AX116" i="1" s="1"/>
  <c r="AX117" i="1" s="1"/>
  <c r="AX118" i="1" s="1"/>
  <c r="AX119" i="1" s="1"/>
  <c r="AX120" i="1" s="1"/>
  <c r="AQ13" i="1"/>
  <c r="AQ12" i="1"/>
  <c r="AQ11" i="1"/>
  <c r="X11" i="1"/>
  <c r="X12" i="1" s="1"/>
  <c r="X13" i="1" s="1"/>
  <c r="AX10" i="1"/>
  <c r="AX11" i="1" s="1"/>
  <c r="AX12" i="1" s="1"/>
  <c r="AQ10" i="1"/>
  <c r="X10" i="1"/>
  <c r="C10" i="1"/>
  <c r="AQ9" i="1"/>
  <c r="E8" i="1"/>
  <c r="C8" i="1"/>
  <c r="C7" i="1"/>
  <c r="D7" i="1" s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B7" i="1"/>
  <c r="Y6" i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Q4" i="1"/>
  <c r="O4" i="1"/>
  <c r="M4" i="1"/>
  <c r="K4" i="1"/>
  <c r="I4" i="1"/>
  <c r="Q3" i="1"/>
  <c r="O3" i="1"/>
  <c r="M3" i="1"/>
  <c r="K3" i="1"/>
  <c r="I3" i="1"/>
  <c r="S2" i="1"/>
  <c r="Q2" i="1"/>
  <c r="O2" i="1"/>
  <c r="M2" i="1"/>
  <c r="K2" i="1"/>
  <c r="I2" i="1"/>
  <c r="H2" i="1"/>
  <c r="H3" i="1" s="1"/>
  <c r="H4" i="1" s="1"/>
  <c r="J1" i="1" s="1"/>
  <c r="J2" i="1" s="1"/>
  <c r="J3" i="1" s="1"/>
  <c r="J4" i="1" s="1"/>
  <c r="L1" i="1" s="1"/>
  <c r="L2" i="1" s="1"/>
  <c r="L3" i="1" s="1"/>
  <c r="L4" i="1" s="1"/>
  <c r="N1" i="1" s="1"/>
  <c r="N2" i="1" s="1"/>
  <c r="N3" i="1" s="1"/>
  <c r="N4" i="1" s="1"/>
  <c r="P1" i="1" s="1"/>
  <c r="P2" i="1" s="1"/>
  <c r="P3" i="1" s="1"/>
  <c r="P4" i="1" s="1"/>
  <c r="R1" i="1" s="1"/>
  <c r="R2" i="1" s="1"/>
  <c r="S1" i="1"/>
  <c r="Q1" i="1"/>
  <c r="O1" i="1"/>
  <c r="M1" i="1"/>
  <c r="K1" i="1"/>
  <c r="I1" i="1"/>
  <c r="AK6" i="1" l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D4" i="1" s="1"/>
  <c r="I55" i="1"/>
  <c r="O55" i="1" s="1"/>
  <c r="H55" i="1"/>
  <c r="N55" i="1" s="1"/>
  <c r="E53" i="1"/>
  <c r="E45" i="1"/>
  <c r="E37" i="1"/>
  <c r="E29" i="1"/>
  <c r="E21" i="1"/>
  <c r="E13" i="1"/>
  <c r="G55" i="1"/>
  <c r="M55" i="1" s="1"/>
  <c r="E50" i="1"/>
  <c r="E42" i="1"/>
  <c r="E34" i="1"/>
  <c r="E26" i="1"/>
  <c r="E18" i="1"/>
  <c r="E10" i="1"/>
  <c r="E36" i="1"/>
  <c r="E28" i="1"/>
  <c r="E20" i="1"/>
  <c r="E12" i="1"/>
  <c r="K8" i="1"/>
  <c r="J8" i="1"/>
  <c r="L8" i="1" s="1"/>
  <c r="I8" i="1"/>
  <c r="O8" i="1" s="1"/>
  <c r="E35" i="1"/>
  <c r="E27" i="1"/>
  <c r="E19" i="1"/>
  <c r="E11" i="1"/>
  <c r="H8" i="1"/>
  <c r="N8" i="1" s="1"/>
  <c r="G8" i="1"/>
  <c r="E55" i="1"/>
  <c r="E52" i="1"/>
  <c r="E51" i="1"/>
  <c r="E48" i="1"/>
  <c r="E47" i="1"/>
  <c r="E16" i="1"/>
  <c r="E9" i="1"/>
  <c r="E32" i="1"/>
  <c r="E40" i="1"/>
  <c r="E54" i="1"/>
  <c r="E23" i="1"/>
  <c r="E17" i="1"/>
  <c r="E14" i="1"/>
  <c r="B55" i="1"/>
  <c r="C55" i="1" s="1"/>
  <c r="E46" i="1"/>
  <c r="E41" i="1"/>
  <c r="E24" i="1"/>
  <c r="V56" i="1"/>
  <c r="E33" i="1"/>
  <c r="E30" i="1"/>
  <c r="E43" i="1"/>
  <c r="E38" i="1"/>
  <c r="G56" i="1"/>
  <c r="M56" i="1" s="1"/>
  <c r="E22" i="1"/>
  <c r="E31" i="1"/>
  <c r="E49" i="1"/>
  <c r="C48" i="1"/>
  <c r="C40" i="1"/>
  <c r="C32" i="1"/>
  <c r="C24" i="1"/>
  <c r="C16" i="1"/>
  <c r="C53" i="1"/>
  <c r="C52" i="1"/>
  <c r="C44" i="1"/>
  <c r="C38" i="1"/>
  <c r="C37" i="1"/>
  <c r="C26" i="1"/>
  <c r="C18" i="1"/>
  <c r="C36" i="1"/>
  <c r="C28" i="1"/>
  <c r="C20" i="1"/>
  <c r="C12" i="1"/>
  <c r="C34" i="1"/>
  <c r="C35" i="1"/>
  <c r="C27" i="1"/>
  <c r="C19" i="1"/>
  <c r="C11" i="1"/>
  <c r="C47" i="1"/>
  <c r="C33" i="1"/>
  <c r="C25" i="1"/>
  <c r="C17" i="1"/>
  <c r="C13" i="1"/>
  <c r="I56" i="1"/>
  <c r="O56" i="1" s="1"/>
  <c r="H56" i="1"/>
  <c r="N56" i="1" s="1"/>
  <c r="K56" i="1"/>
  <c r="J56" i="1"/>
  <c r="L56" i="1" s="1"/>
  <c r="E56" i="1"/>
  <c r="A57" i="1"/>
  <c r="C9" i="1"/>
  <c r="C42" i="1"/>
  <c r="B56" i="1"/>
  <c r="C56" i="1" s="1"/>
  <c r="C22" i="1"/>
  <c r="C31" i="1"/>
  <c r="I57" i="1" l="1"/>
  <c r="O57" i="1" s="1"/>
  <c r="H57" i="1"/>
  <c r="N57" i="1" s="1"/>
  <c r="G57" i="1"/>
  <c r="M57" i="1" s="1"/>
  <c r="V57" i="1"/>
  <c r="J57" i="1"/>
  <c r="L57" i="1" s="1"/>
  <c r="K57" i="1"/>
  <c r="B57" i="1"/>
  <c r="C57" i="1" s="1"/>
  <c r="A58" i="1"/>
  <c r="E57" i="1"/>
  <c r="F9" i="1"/>
  <c r="M8" i="1"/>
  <c r="I9" i="1" l="1"/>
  <c r="O9" i="1" s="1"/>
  <c r="H9" i="1"/>
  <c r="N9" i="1" s="1"/>
  <c r="K9" i="1"/>
  <c r="J9" i="1"/>
  <c r="L9" i="1" s="1"/>
  <c r="G9" i="1"/>
  <c r="M9" i="1" s="1"/>
  <c r="I58" i="1"/>
  <c r="O58" i="1" s="1"/>
  <c r="K58" i="1"/>
  <c r="J58" i="1"/>
  <c r="L58" i="1" s="1"/>
  <c r="H58" i="1"/>
  <c r="N58" i="1" s="1"/>
  <c r="G58" i="1"/>
  <c r="M58" i="1" s="1"/>
  <c r="B58" i="1"/>
  <c r="C58" i="1" s="1"/>
  <c r="A59" i="1"/>
  <c r="V58" i="1"/>
  <c r="E58" i="1"/>
  <c r="I59" i="1" l="1"/>
  <c r="O59" i="1" s="1"/>
  <c r="H59" i="1"/>
  <c r="N59" i="1" s="1"/>
  <c r="G59" i="1"/>
  <c r="M59" i="1" s="1"/>
  <c r="V59" i="1"/>
  <c r="E59" i="1"/>
  <c r="K59" i="1"/>
  <c r="J59" i="1"/>
  <c r="L59" i="1" s="1"/>
  <c r="A60" i="1"/>
  <c r="B59" i="1"/>
  <c r="C59" i="1" s="1"/>
  <c r="F10" i="1"/>
  <c r="K10" i="1" l="1"/>
  <c r="G10" i="1"/>
  <c r="M10" i="1" s="1"/>
  <c r="H10" i="1"/>
  <c r="N10" i="1" s="1"/>
  <c r="J10" i="1"/>
  <c r="L10" i="1" s="1"/>
  <c r="I10" i="1"/>
  <c r="O10" i="1" s="1"/>
  <c r="I60" i="1"/>
  <c r="O60" i="1" s="1"/>
  <c r="R60" i="1" s="1"/>
  <c r="U60" i="1" s="1"/>
  <c r="K60" i="1"/>
  <c r="J60" i="1"/>
  <c r="L60" i="1" s="1"/>
  <c r="H60" i="1"/>
  <c r="N60" i="1" s="1"/>
  <c r="Q60" i="1" s="1"/>
  <c r="T60" i="1" s="1"/>
  <c r="G60" i="1"/>
  <c r="M60" i="1" s="1"/>
  <c r="P55" i="1" s="1"/>
  <c r="B60" i="1"/>
  <c r="C60" i="1" s="1"/>
  <c r="V60" i="1"/>
  <c r="E60" i="1"/>
  <c r="P58" i="1" l="1"/>
  <c r="P57" i="1"/>
  <c r="R55" i="1"/>
  <c r="R58" i="1"/>
  <c r="Q59" i="1"/>
  <c r="T59" i="1" s="1"/>
  <c r="R56" i="1"/>
  <c r="R59" i="1"/>
  <c r="U59" i="1" s="1"/>
  <c r="Q57" i="1"/>
  <c r="Q56" i="1"/>
  <c r="T56" i="1"/>
  <c r="F11" i="1"/>
  <c r="T57" i="1"/>
  <c r="P60" i="1"/>
  <c r="S60" i="1" s="1"/>
  <c r="P56" i="1"/>
  <c r="P59" i="1"/>
  <c r="S59" i="1" s="1"/>
  <c r="R57" i="1"/>
  <c r="U57" i="1" s="1"/>
  <c r="Q55" i="1"/>
  <c r="Q58" i="1"/>
  <c r="S57" i="1" l="1"/>
  <c r="U58" i="1"/>
  <c r="T58" i="1"/>
  <c r="K11" i="1"/>
  <c r="J11" i="1"/>
  <c r="L11" i="1" s="1"/>
  <c r="H11" i="1"/>
  <c r="N11" i="1" s="1"/>
  <c r="G11" i="1"/>
  <c r="M11" i="1" s="1"/>
  <c r="I11" i="1"/>
  <c r="O11" i="1" s="1"/>
  <c r="T55" i="1"/>
  <c r="S58" i="1"/>
  <c r="S56" i="1"/>
  <c r="U56" i="1"/>
  <c r="U55" i="1"/>
  <c r="S55" i="1"/>
  <c r="F12" i="1" l="1"/>
  <c r="H12" i="1" l="1"/>
  <c r="N12" i="1" s="1"/>
  <c r="G12" i="1"/>
  <c r="M12" i="1" s="1"/>
  <c r="I12" i="1"/>
  <c r="O12" i="1" s="1"/>
  <c r="K12" i="1"/>
  <c r="J12" i="1"/>
  <c r="L12" i="1" s="1"/>
  <c r="F13" i="1" l="1"/>
  <c r="J13" i="1" l="1"/>
  <c r="L13" i="1" s="1"/>
  <c r="I13" i="1"/>
  <c r="O13" i="1" s="1"/>
  <c r="K13" i="1"/>
  <c r="H13" i="1"/>
  <c r="N13" i="1" s="1"/>
  <c r="G13" i="1"/>
  <c r="M13" i="1" s="1"/>
  <c r="F14" i="1" l="1"/>
  <c r="H14" i="1" l="1"/>
  <c r="N14" i="1" s="1"/>
  <c r="K14" i="1"/>
  <c r="I14" i="1"/>
  <c r="O14" i="1" s="1"/>
  <c r="J14" i="1"/>
  <c r="L14" i="1" s="1"/>
  <c r="G14" i="1"/>
  <c r="M14" i="1" s="1"/>
  <c r="F15" i="1" l="1"/>
  <c r="K15" i="1" l="1"/>
  <c r="J15" i="1"/>
  <c r="L15" i="1" s="1"/>
  <c r="H15" i="1"/>
  <c r="N15" i="1" s="1"/>
  <c r="I15" i="1"/>
  <c r="O15" i="1" s="1"/>
  <c r="G15" i="1"/>
  <c r="M15" i="1" s="1"/>
  <c r="F16" i="1" l="1"/>
  <c r="G16" i="1" l="1"/>
  <c r="M16" i="1" s="1"/>
  <c r="J16" i="1"/>
  <c r="L16" i="1" s="1"/>
  <c r="H16" i="1"/>
  <c r="N16" i="1" s="1"/>
  <c r="I16" i="1"/>
  <c r="O16" i="1" s="1"/>
  <c r="K16" i="1"/>
  <c r="F17" i="1" l="1"/>
  <c r="I17" i="1" l="1"/>
  <c r="O17" i="1" s="1"/>
  <c r="J17" i="1"/>
  <c r="L17" i="1" s="1"/>
  <c r="K17" i="1"/>
  <c r="H17" i="1"/>
  <c r="N17" i="1" s="1"/>
  <c r="G17" i="1"/>
  <c r="M17" i="1" s="1"/>
  <c r="F18" i="1" l="1"/>
  <c r="J18" i="1" l="1"/>
  <c r="L18" i="1" s="1"/>
  <c r="H18" i="1"/>
  <c r="N18" i="1" s="1"/>
  <c r="K18" i="1"/>
  <c r="I18" i="1"/>
  <c r="O18" i="1" s="1"/>
  <c r="G18" i="1"/>
  <c r="M18" i="1" s="1"/>
  <c r="F19" i="1" l="1"/>
  <c r="K19" i="1" l="1"/>
  <c r="I19" i="1"/>
  <c r="O19" i="1" s="1"/>
  <c r="H19" i="1"/>
  <c r="N19" i="1" s="1"/>
  <c r="G19" i="1"/>
  <c r="M19" i="1" s="1"/>
  <c r="J19" i="1"/>
  <c r="L19" i="1" s="1"/>
  <c r="F20" i="1" l="1"/>
  <c r="G20" i="1" l="1"/>
  <c r="M20" i="1" s="1"/>
  <c r="K20" i="1"/>
  <c r="J20" i="1"/>
  <c r="L20" i="1" s="1"/>
  <c r="H20" i="1"/>
  <c r="N20" i="1" s="1"/>
  <c r="I20" i="1"/>
  <c r="O20" i="1" s="1"/>
  <c r="F21" i="1" l="1"/>
  <c r="H21" i="1" l="1"/>
  <c r="N21" i="1" s="1"/>
  <c r="I21" i="1"/>
  <c r="O21" i="1" s="1"/>
  <c r="J21" i="1"/>
  <c r="L21" i="1" s="1"/>
  <c r="K21" i="1"/>
  <c r="G21" i="1"/>
  <c r="M21" i="1" s="1"/>
  <c r="F22" i="1" l="1"/>
  <c r="H22" i="1" l="1"/>
  <c r="N22" i="1" s="1"/>
  <c r="G22" i="1"/>
  <c r="M22" i="1" s="1"/>
  <c r="J22" i="1"/>
  <c r="L22" i="1" s="1"/>
  <c r="I22" i="1"/>
  <c r="O22" i="1" s="1"/>
  <c r="K22" i="1"/>
  <c r="F23" i="1" l="1"/>
  <c r="H23" i="1" l="1"/>
  <c r="N23" i="1" s="1"/>
  <c r="J23" i="1"/>
  <c r="L23" i="1" s="1"/>
  <c r="G23" i="1"/>
  <c r="M23" i="1" s="1"/>
  <c r="I23" i="1"/>
  <c r="O23" i="1" s="1"/>
  <c r="K23" i="1"/>
  <c r="F24" i="1" l="1"/>
  <c r="J24" i="1" l="1"/>
  <c r="L24" i="1" s="1"/>
  <c r="I24" i="1"/>
  <c r="O24" i="1" s="1"/>
  <c r="H24" i="1"/>
  <c r="N24" i="1" s="1"/>
  <c r="G24" i="1"/>
  <c r="M24" i="1" s="1"/>
  <c r="K24" i="1"/>
  <c r="F25" i="1" l="1"/>
  <c r="I25" i="1" l="1"/>
  <c r="O25" i="1" s="1"/>
  <c r="K25" i="1"/>
  <c r="J25" i="1"/>
  <c r="L25" i="1" s="1"/>
  <c r="H25" i="1"/>
  <c r="N25" i="1" s="1"/>
  <c r="G25" i="1"/>
  <c r="M25" i="1" s="1"/>
  <c r="F26" i="1" l="1"/>
  <c r="H26" i="1" l="1"/>
  <c r="N26" i="1" s="1"/>
  <c r="I26" i="1"/>
  <c r="O26" i="1" s="1"/>
  <c r="J26" i="1"/>
  <c r="L26" i="1" s="1"/>
  <c r="K26" i="1"/>
  <c r="G26" i="1"/>
  <c r="M26" i="1" s="1"/>
  <c r="F27" i="1" l="1"/>
  <c r="G27" i="1" l="1"/>
  <c r="M27" i="1" s="1"/>
  <c r="I27" i="1"/>
  <c r="O27" i="1" s="1"/>
  <c r="J27" i="1"/>
  <c r="L27" i="1" s="1"/>
  <c r="H27" i="1"/>
  <c r="N27" i="1" s="1"/>
  <c r="K27" i="1"/>
  <c r="F28" i="1" l="1"/>
  <c r="J28" i="1" l="1"/>
  <c r="L28" i="1" s="1"/>
  <c r="H28" i="1"/>
  <c r="N28" i="1" s="1"/>
  <c r="K28" i="1"/>
  <c r="G28" i="1"/>
  <c r="M28" i="1" s="1"/>
  <c r="I28" i="1"/>
  <c r="O28" i="1" s="1"/>
  <c r="F29" i="1" l="1"/>
  <c r="J29" i="1" l="1"/>
  <c r="L29" i="1" s="1"/>
  <c r="I29" i="1"/>
  <c r="O29" i="1" s="1"/>
  <c r="K29" i="1"/>
  <c r="H29" i="1"/>
  <c r="N29" i="1" s="1"/>
  <c r="G29" i="1"/>
  <c r="M29" i="1" s="1"/>
  <c r="F30" i="1" l="1"/>
  <c r="G30" i="1" l="1"/>
  <c r="M30" i="1" s="1"/>
  <c r="J30" i="1"/>
  <c r="L30" i="1" s="1"/>
  <c r="H30" i="1"/>
  <c r="N30" i="1" s="1"/>
  <c r="K30" i="1"/>
  <c r="I30" i="1"/>
  <c r="O30" i="1" s="1"/>
  <c r="F31" i="1" l="1"/>
  <c r="K31" i="1" l="1"/>
  <c r="J31" i="1"/>
  <c r="L31" i="1" s="1"/>
  <c r="H31" i="1"/>
  <c r="N31" i="1" s="1"/>
  <c r="G31" i="1"/>
  <c r="M31" i="1" s="1"/>
  <c r="I31" i="1"/>
  <c r="O31" i="1" s="1"/>
  <c r="F32" i="1" l="1"/>
  <c r="K32" i="1" l="1"/>
  <c r="J32" i="1"/>
  <c r="L32" i="1" s="1"/>
  <c r="I32" i="1"/>
  <c r="O32" i="1" s="1"/>
  <c r="H32" i="1"/>
  <c r="N32" i="1" s="1"/>
  <c r="G32" i="1"/>
  <c r="M32" i="1" s="1"/>
  <c r="F33" i="1" l="1"/>
  <c r="J33" i="1" l="1"/>
  <c r="L33" i="1" s="1"/>
  <c r="G33" i="1"/>
  <c r="M33" i="1" s="1"/>
  <c r="K33" i="1"/>
  <c r="H33" i="1"/>
  <c r="N33" i="1" s="1"/>
  <c r="I33" i="1"/>
  <c r="O33" i="1" s="1"/>
  <c r="F34" i="1" l="1"/>
  <c r="K34" i="1" l="1"/>
  <c r="G34" i="1"/>
  <c r="M34" i="1" s="1"/>
  <c r="H34" i="1"/>
  <c r="N34" i="1" s="1"/>
  <c r="J34" i="1"/>
  <c r="L34" i="1" s="1"/>
  <c r="I34" i="1"/>
  <c r="O34" i="1" s="1"/>
  <c r="F35" i="1" l="1"/>
  <c r="I35" i="1" l="1"/>
  <c r="O35" i="1" s="1"/>
  <c r="J35" i="1"/>
  <c r="L35" i="1" s="1"/>
  <c r="G35" i="1"/>
  <c r="M35" i="1" s="1"/>
  <c r="K35" i="1"/>
  <c r="H35" i="1"/>
  <c r="N35" i="1" s="1"/>
  <c r="F36" i="1" l="1"/>
  <c r="J36" i="1" l="1"/>
  <c r="L36" i="1" s="1"/>
  <c r="I36" i="1"/>
  <c r="O36" i="1" s="1"/>
  <c r="H36" i="1"/>
  <c r="N36" i="1" s="1"/>
  <c r="G36" i="1"/>
  <c r="M36" i="1" s="1"/>
  <c r="K36" i="1"/>
  <c r="F37" i="1" l="1"/>
  <c r="K37" i="1" l="1"/>
  <c r="G37" i="1"/>
  <c r="M37" i="1" s="1"/>
  <c r="H37" i="1"/>
  <c r="N37" i="1" s="1"/>
  <c r="I37" i="1"/>
  <c r="O37" i="1" s="1"/>
  <c r="J37" i="1"/>
  <c r="L37" i="1" s="1"/>
  <c r="F38" i="1" l="1"/>
  <c r="H38" i="1" l="1"/>
  <c r="N38" i="1" s="1"/>
  <c r="I38" i="1"/>
  <c r="O38" i="1" s="1"/>
  <c r="K38" i="1"/>
  <c r="G38" i="1"/>
  <c r="M38" i="1" s="1"/>
  <c r="J38" i="1"/>
  <c r="L38" i="1" s="1"/>
  <c r="F39" i="1" l="1"/>
  <c r="G39" i="1" l="1"/>
  <c r="M39" i="1" s="1"/>
  <c r="H39" i="1"/>
  <c r="N39" i="1" s="1"/>
  <c r="I39" i="1"/>
  <c r="O39" i="1" s="1"/>
  <c r="K39" i="1"/>
  <c r="J39" i="1"/>
  <c r="L39" i="1" s="1"/>
  <c r="F40" i="1" l="1"/>
  <c r="G40" i="1" l="1"/>
  <c r="M40" i="1" s="1"/>
  <c r="I40" i="1"/>
  <c r="O40" i="1" s="1"/>
  <c r="H40" i="1"/>
  <c r="N40" i="1" s="1"/>
  <c r="J40" i="1"/>
  <c r="L40" i="1" s="1"/>
  <c r="K40" i="1"/>
  <c r="F41" i="1" l="1"/>
  <c r="G41" i="1" l="1"/>
  <c r="M41" i="1" s="1"/>
  <c r="H41" i="1"/>
  <c r="N41" i="1" s="1"/>
  <c r="J41" i="1"/>
  <c r="L41" i="1" s="1"/>
  <c r="I41" i="1"/>
  <c r="O41" i="1" s="1"/>
  <c r="K41" i="1"/>
  <c r="F42" i="1" l="1"/>
  <c r="J42" i="1" l="1"/>
  <c r="L42" i="1" s="1"/>
  <c r="H42" i="1"/>
  <c r="N42" i="1" s="1"/>
  <c r="G42" i="1"/>
  <c r="M42" i="1" s="1"/>
  <c r="K42" i="1"/>
  <c r="I42" i="1"/>
  <c r="O42" i="1" s="1"/>
  <c r="F43" i="1" l="1"/>
  <c r="I43" i="1" l="1"/>
  <c r="O43" i="1" s="1"/>
  <c r="K43" i="1"/>
  <c r="J43" i="1"/>
  <c r="L43" i="1" s="1"/>
  <c r="H43" i="1"/>
  <c r="N43" i="1" s="1"/>
  <c r="G43" i="1"/>
  <c r="M43" i="1" s="1"/>
  <c r="F44" i="1" l="1"/>
  <c r="H44" i="1" l="1"/>
  <c r="N44" i="1" s="1"/>
  <c r="J44" i="1"/>
  <c r="L44" i="1" s="1"/>
  <c r="K44" i="1"/>
  <c r="G44" i="1"/>
  <c r="M44" i="1" s="1"/>
  <c r="I44" i="1"/>
  <c r="O44" i="1" s="1"/>
  <c r="F45" i="1" l="1"/>
  <c r="J45" i="1" l="1"/>
  <c r="L45" i="1" s="1"/>
  <c r="G45" i="1"/>
  <c r="M45" i="1" s="1"/>
  <c r="I45" i="1"/>
  <c r="O45" i="1" s="1"/>
  <c r="H45" i="1"/>
  <c r="N45" i="1" s="1"/>
  <c r="K45" i="1"/>
  <c r="F46" i="1" l="1"/>
  <c r="G46" i="1" l="1"/>
  <c r="M46" i="1" s="1"/>
  <c r="K46" i="1"/>
  <c r="I46" i="1"/>
  <c r="O46" i="1" s="1"/>
  <c r="H46" i="1"/>
  <c r="N46" i="1" s="1"/>
  <c r="J46" i="1"/>
  <c r="L46" i="1" s="1"/>
  <c r="F47" i="1" l="1"/>
  <c r="H47" i="1" l="1"/>
  <c r="N47" i="1" s="1"/>
  <c r="I47" i="1"/>
  <c r="O47" i="1" s="1"/>
  <c r="K47" i="1"/>
  <c r="J47" i="1"/>
  <c r="L47" i="1" s="1"/>
  <c r="G47" i="1"/>
  <c r="M47" i="1" s="1"/>
  <c r="F48" i="1" l="1"/>
  <c r="K48" i="1" l="1"/>
  <c r="G48" i="1"/>
  <c r="M48" i="1" s="1"/>
  <c r="I48" i="1"/>
  <c r="O48" i="1" s="1"/>
  <c r="J48" i="1"/>
  <c r="L48" i="1" s="1"/>
  <c r="H48" i="1"/>
  <c r="N48" i="1" s="1"/>
  <c r="F49" i="1" l="1"/>
  <c r="H49" i="1" l="1"/>
  <c r="N49" i="1" s="1"/>
  <c r="G49" i="1"/>
  <c r="M49" i="1" s="1"/>
  <c r="I49" i="1"/>
  <c r="O49" i="1" s="1"/>
  <c r="K49" i="1"/>
  <c r="J49" i="1"/>
  <c r="L49" i="1" s="1"/>
  <c r="F50" i="1" l="1"/>
  <c r="K50" i="1" l="1"/>
  <c r="G50" i="1"/>
  <c r="M50" i="1" s="1"/>
  <c r="H50" i="1"/>
  <c r="N50" i="1" s="1"/>
  <c r="J50" i="1"/>
  <c r="L50" i="1" s="1"/>
  <c r="I50" i="1"/>
  <c r="O50" i="1" s="1"/>
  <c r="F51" i="1" l="1"/>
  <c r="I51" i="1" l="1"/>
  <c r="O51" i="1" s="1"/>
  <c r="J51" i="1"/>
  <c r="L51" i="1" s="1"/>
  <c r="G51" i="1"/>
  <c r="M51" i="1" s="1"/>
  <c r="K51" i="1"/>
  <c r="H51" i="1"/>
  <c r="N51" i="1" s="1"/>
  <c r="F52" i="1" l="1"/>
  <c r="J52" i="1" l="1"/>
  <c r="L52" i="1" s="1"/>
  <c r="G52" i="1"/>
  <c r="M52" i="1" s="1"/>
  <c r="H52" i="1"/>
  <c r="N52" i="1" s="1"/>
  <c r="K52" i="1"/>
  <c r="I52" i="1"/>
  <c r="O52" i="1" s="1"/>
  <c r="F53" i="1" l="1"/>
  <c r="H53" i="1" l="1"/>
  <c r="N53" i="1" s="1"/>
  <c r="I53" i="1"/>
  <c r="O53" i="1" s="1"/>
  <c r="G53" i="1"/>
  <c r="M53" i="1" s="1"/>
  <c r="K53" i="1"/>
  <c r="J53" i="1"/>
  <c r="L53" i="1" s="1"/>
  <c r="F54" i="1" l="1"/>
  <c r="I54" i="1" l="1"/>
  <c r="O54" i="1" s="1"/>
  <c r="H54" i="1"/>
  <c r="N54" i="1" s="1"/>
  <c r="G54" i="1"/>
  <c r="M54" i="1" s="1"/>
  <c r="K54" i="1"/>
  <c r="J54" i="1"/>
  <c r="L54" i="1" s="1"/>
  <c r="Q54" i="1" l="1"/>
  <c r="T54" i="1" s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T22" i="1" s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T38" i="1" s="1"/>
  <c r="Q39" i="1"/>
  <c r="Q40" i="1"/>
  <c r="Q41" i="1"/>
  <c r="Q42" i="1"/>
  <c r="Q43" i="1"/>
  <c r="Q44" i="1"/>
  <c r="Q45" i="1"/>
  <c r="Q46" i="1"/>
  <c r="Q47" i="1"/>
  <c r="Q48" i="1"/>
  <c r="Q52" i="1"/>
  <c r="Q50" i="1"/>
  <c r="Q51" i="1"/>
  <c r="Q49" i="1"/>
  <c r="Q53" i="1"/>
  <c r="T53" i="1" s="1"/>
  <c r="P54" i="1"/>
  <c r="S54" i="1" s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S39" i="1" s="1"/>
  <c r="P40" i="1"/>
  <c r="P41" i="1"/>
  <c r="P42" i="1"/>
  <c r="P43" i="1"/>
  <c r="P44" i="1"/>
  <c r="P45" i="1"/>
  <c r="P46" i="1"/>
  <c r="P47" i="1"/>
  <c r="P48" i="1"/>
  <c r="P52" i="1"/>
  <c r="P51" i="1"/>
  <c r="P49" i="1"/>
  <c r="P53" i="1"/>
  <c r="P50" i="1"/>
  <c r="R54" i="1"/>
  <c r="U54" i="1" s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U40" i="1" s="1"/>
  <c r="R41" i="1"/>
  <c r="R42" i="1"/>
  <c r="R43" i="1"/>
  <c r="R44" i="1"/>
  <c r="R45" i="1"/>
  <c r="R46" i="1"/>
  <c r="R47" i="1"/>
  <c r="R48" i="1"/>
  <c r="R53" i="1"/>
  <c r="R52" i="1"/>
  <c r="R51" i="1"/>
  <c r="R50" i="1"/>
  <c r="R49" i="1"/>
  <c r="F55" i="1"/>
  <c r="U24" i="1" l="1"/>
  <c r="S23" i="1"/>
  <c r="T21" i="1"/>
  <c r="U8" i="1"/>
  <c r="S22" i="1"/>
  <c r="U38" i="1"/>
  <c r="S37" i="1"/>
  <c r="U37" i="1"/>
  <c r="S53" i="1"/>
  <c r="U20" i="1"/>
  <c r="S19" i="1"/>
  <c r="T50" i="1"/>
  <c r="T34" i="1"/>
  <c r="T18" i="1"/>
  <c r="U51" i="1"/>
  <c r="U35" i="1"/>
  <c r="U19" i="1"/>
  <c r="S51" i="1"/>
  <c r="S34" i="1"/>
  <c r="S18" i="1"/>
  <c r="T52" i="1"/>
  <c r="T33" i="1"/>
  <c r="T17" i="1"/>
  <c r="U39" i="1"/>
  <c r="V17" i="1"/>
  <c r="V25" i="1"/>
  <c r="V31" i="1"/>
  <c r="V16" i="1"/>
  <c r="V46" i="1"/>
  <c r="V32" i="1"/>
  <c r="V42" i="1"/>
  <c r="V33" i="1"/>
  <c r="V26" i="1"/>
  <c r="V34" i="1"/>
  <c r="V10" i="1"/>
  <c r="V44" i="1"/>
  <c r="V8" i="1"/>
  <c r="V15" i="1"/>
  <c r="V40" i="1"/>
  <c r="V14" i="1"/>
  <c r="V28" i="1"/>
  <c r="V45" i="1"/>
  <c r="V12" i="1"/>
  <c r="V55" i="1"/>
  <c r="V29" i="1"/>
  <c r="V54" i="1"/>
  <c r="V23" i="1"/>
  <c r="V30" i="1"/>
  <c r="V9" i="1"/>
  <c r="V43" i="1"/>
  <c r="V36" i="1"/>
  <c r="V53" i="1"/>
  <c r="V21" i="1"/>
  <c r="V49" i="1"/>
  <c r="V50" i="1"/>
  <c r="V24" i="1"/>
  <c r="V13" i="1"/>
  <c r="J55" i="1"/>
  <c r="L55" i="1" s="1"/>
  <c r="V51" i="1"/>
  <c r="V11" i="1"/>
  <c r="V52" i="1"/>
  <c r="V20" i="1"/>
  <c r="V48" i="1"/>
  <c r="K55" i="1"/>
  <c r="V41" i="1"/>
  <c r="V18" i="1"/>
  <c r="V38" i="1"/>
  <c r="V39" i="1"/>
  <c r="V37" i="1"/>
  <c r="V27" i="1"/>
  <c r="V19" i="1"/>
  <c r="V22" i="1"/>
  <c r="V47" i="1"/>
  <c r="V35" i="1"/>
  <c r="T20" i="1"/>
  <c r="S20" i="1"/>
  <c r="S35" i="1"/>
  <c r="S17" i="1"/>
  <c r="U53" i="1"/>
  <c r="T15" i="1"/>
  <c r="T46" i="1"/>
  <c r="U23" i="1"/>
  <c r="T37" i="1"/>
  <c r="S50" i="1"/>
  <c r="U21" i="1"/>
  <c r="T19" i="1"/>
  <c r="U18" i="1"/>
  <c r="T48" i="1"/>
  <c r="U33" i="1"/>
  <c r="S32" i="1"/>
  <c r="U16" i="1"/>
  <c r="T30" i="1"/>
  <c r="U31" i="1"/>
  <c r="S14" i="1"/>
  <c r="U46" i="1"/>
  <c r="S29" i="1"/>
  <c r="T12" i="1"/>
  <c r="S44" i="1"/>
  <c r="T27" i="1"/>
  <c r="U28" i="1"/>
  <c r="S27" i="1"/>
  <c r="T10" i="1"/>
  <c r="S38" i="1"/>
  <c r="U22" i="1"/>
  <c r="T36" i="1"/>
  <c r="T51" i="1"/>
  <c r="U36" i="1"/>
  <c r="S52" i="1"/>
  <c r="T16" i="1"/>
  <c r="S16" i="1"/>
  <c r="U48" i="1"/>
  <c r="S15" i="1"/>
  <c r="U15" i="1"/>
  <c r="T29" i="1"/>
  <c r="U30" i="1"/>
  <c r="S13" i="1"/>
  <c r="U29" i="1"/>
  <c r="S12" i="1"/>
  <c r="U12" i="1"/>
  <c r="T42" i="1"/>
  <c r="U27" i="1"/>
  <c r="S26" i="1"/>
  <c r="S10" i="1"/>
  <c r="T41" i="1"/>
  <c r="T25" i="1"/>
  <c r="T9" i="1"/>
  <c r="T49" i="1"/>
  <c r="U49" i="1"/>
  <c r="S36" i="1"/>
  <c r="S49" i="1"/>
  <c r="U52" i="1"/>
  <c r="S33" i="1"/>
  <c r="U17" i="1"/>
  <c r="T31" i="1"/>
  <c r="S47" i="1"/>
  <c r="T14" i="1"/>
  <c r="S46" i="1"/>
  <c r="T45" i="1"/>
  <c r="U14" i="1"/>
  <c r="T28" i="1"/>
  <c r="U13" i="1"/>
  <c r="T43" i="1"/>
  <c r="U44" i="1"/>
  <c r="S11" i="1"/>
  <c r="U43" i="1"/>
  <c r="S42" i="1"/>
  <c r="U26" i="1"/>
  <c r="S41" i="1"/>
  <c r="S9" i="1"/>
  <c r="T40" i="1"/>
  <c r="T24" i="1"/>
  <c r="T8" i="1"/>
  <c r="S21" i="1"/>
  <c r="T35" i="1"/>
  <c r="U50" i="1"/>
  <c r="U34" i="1"/>
  <c r="T32" i="1"/>
  <c r="S48" i="1"/>
  <c r="T47" i="1"/>
  <c r="U32" i="1"/>
  <c r="S31" i="1"/>
  <c r="U47" i="1"/>
  <c r="S30" i="1"/>
  <c r="T13" i="1"/>
  <c r="S45" i="1"/>
  <c r="T44" i="1"/>
  <c r="U45" i="1"/>
  <c r="S28" i="1"/>
  <c r="T11" i="1"/>
  <c r="S43" i="1"/>
  <c r="T26" i="1"/>
  <c r="U11" i="1"/>
  <c r="U42" i="1"/>
  <c r="U10" i="1"/>
  <c r="S25" i="1"/>
  <c r="U41" i="1"/>
  <c r="U25" i="1"/>
  <c r="U9" i="1"/>
  <c r="S40" i="1"/>
  <c r="S24" i="1"/>
  <c r="S8" i="1"/>
  <c r="T39" i="1"/>
  <c r="T23" i="1"/>
  <c r="F56" i="1" l="1"/>
  <c r="F57" i="1" s="1"/>
  <c r="F58" i="1" s="1"/>
  <c r="F59" i="1" s="1"/>
  <c r="F6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D4D9C40B-0C40-449F-9BF4-66016D3BAAFF}">
      <text>
        <r>
          <rPr>
            <sz val="8"/>
            <color indexed="81"/>
            <rFont val="Tahoma"/>
            <family val="2"/>
          </rPr>
          <t>1 = CSO - 1941</t>
        </r>
        <r>
          <rPr>
            <sz val="8"/>
            <color indexed="81"/>
            <rFont val="Tahoma"/>
            <family val="2"/>
          </rPr>
          <t xml:space="preserve">
2 = CSO - 1958
3 = CSO - 1980
4 = GAT - 1971
5 = GAT - 1983
6 = TMI - 1993
7 = TMI - 2000
8 = SAT - 1937
9 = DEFAULT
19 = TMI II Male
21 = TMI II Female
23 = TMI 2011 Male
24 = TMI 2011 Female</t>
        </r>
      </text>
    </comment>
  </commentList>
</comments>
</file>

<file path=xl/sharedStrings.xml><?xml version="1.0" encoding="utf-8"?>
<sst xmlns="http://schemas.openxmlformats.org/spreadsheetml/2006/main" count="57" uniqueCount="57">
  <si>
    <t>Usia Pensiun</t>
  </si>
  <si>
    <t>Tahun</t>
  </si>
  <si>
    <t>CSO1941</t>
  </si>
  <si>
    <t>GAT1983</t>
  </si>
  <si>
    <t>DEFAULT</t>
  </si>
  <si>
    <t>GAT1971ORS</t>
  </si>
  <si>
    <t>SAT1937ORS</t>
  </si>
  <si>
    <t>GAM83MALE</t>
  </si>
  <si>
    <t>v = 1/(1+i)</t>
  </si>
  <si>
    <t>CSO1958</t>
  </si>
  <si>
    <t>TMI1993</t>
  </si>
  <si>
    <t>CSO1941ORS</t>
  </si>
  <si>
    <t>GAT1983ORS</t>
  </si>
  <si>
    <t>TMI2MALE</t>
  </si>
  <si>
    <t>GAM83FEMALE</t>
  </si>
  <si>
    <t>s = 1+ ken gaji</t>
  </si>
  <si>
    <t>CSO 80</t>
  </si>
  <si>
    <t>TMI2000</t>
  </si>
  <si>
    <t>CSO1958ORS</t>
  </si>
  <si>
    <t>TMI1993ORS</t>
  </si>
  <si>
    <t>TMI2-1999</t>
  </si>
  <si>
    <t>Tabel Mortalita</t>
  </si>
  <si>
    <t>TMI III MALE</t>
  </si>
  <si>
    <t>GAT1971</t>
  </si>
  <si>
    <t>SAT1937</t>
  </si>
  <si>
    <t>CSO1980ORS</t>
  </si>
  <si>
    <t>TMI2000ORS</t>
  </si>
  <si>
    <t>TMI2FEMALE</t>
  </si>
  <si>
    <t>Single Decrement Table</t>
  </si>
  <si>
    <t>x</t>
  </si>
  <si>
    <t>qxr</t>
  </si>
  <si>
    <t>lx</t>
  </si>
  <si>
    <t>dx</t>
  </si>
  <si>
    <t>ix</t>
  </si>
  <si>
    <t>wx</t>
  </si>
  <si>
    <t>rx</t>
  </si>
  <si>
    <t>sDx</t>
  </si>
  <si>
    <t>sCxr</t>
  </si>
  <si>
    <t>sCxd</t>
  </si>
  <si>
    <t>sCxi</t>
  </si>
  <si>
    <t>sCxw</t>
  </si>
  <si>
    <t>sMxd</t>
  </si>
  <si>
    <t>sMxi</t>
  </si>
  <si>
    <t>sMxw</t>
  </si>
  <si>
    <t>sRxd</t>
  </si>
  <si>
    <t>sRxi</t>
  </si>
  <si>
    <t>sRxw</t>
  </si>
  <si>
    <t>X</t>
  </si>
  <si>
    <t>TMI III FEMALE</t>
  </si>
  <si>
    <t>CSO1980</t>
  </si>
  <si>
    <t>TMI 2011MALE</t>
  </si>
  <si>
    <t>TMI 2011FEMALE</t>
  </si>
  <si>
    <r>
      <t>q</t>
    </r>
    <r>
      <rPr>
        <vertAlign val="subscript"/>
        <sz val="10"/>
        <rFont val="Arial Narrow"/>
        <family val="2"/>
      </rPr>
      <t>x</t>
    </r>
    <r>
      <rPr>
        <vertAlign val="superscript"/>
        <sz val="10"/>
        <rFont val="Arial Narrow"/>
        <family val="2"/>
      </rPr>
      <t>i</t>
    </r>
  </si>
  <si>
    <r>
      <t>qx</t>
    </r>
    <r>
      <rPr>
        <vertAlign val="superscript"/>
        <sz val="10"/>
        <rFont val="Arial Narrow"/>
        <family val="2"/>
      </rPr>
      <t>d</t>
    </r>
  </si>
  <si>
    <r>
      <t>qx</t>
    </r>
    <r>
      <rPr>
        <vertAlign val="superscript"/>
        <sz val="10"/>
        <rFont val="Arial Narrow"/>
        <family val="2"/>
      </rPr>
      <t>i</t>
    </r>
  </si>
  <si>
    <r>
      <t>qx</t>
    </r>
    <r>
      <rPr>
        <vertAlign val="superscript"/>
        <sz val="10"/>
        <rFont val="Arial Narrow"/>
        <family val="2"/>
      </rPr>
      <t>w</t>
    </r>
  </si>
  <si>
    <r>
      <t>l</t>
    </r>
    <r>
      <rPr>
        <vertAlign val="subscript"/>
        <sz val="10"/>
        <rFont val="Arial Narrow"/>
        <family val="2"/>
      </rPr>
      <t>55</t>
    </r>
    <r>
      <rPr>
        <sz val="10"/>
        <rFont val="Arial Narrow"/>
        <family val="2"/>
      </rPr>
      <t>/l</t>
    </r>
    <r>
      <rPr>
        <vertAlign val="subscript"/>
        <sz val="10"/>
        <rFont val="Arial Narrow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</si>
</sst>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64" formatCode="0.0000000"/>
    <numFmt numFmtId="165" formatCode="0_)"/>
    <numFmt numFmtId="166" formatCode="_(* #,##0.0000_);_(* \(#,##0.0000\);_(* &quot;-&quot;??_);_(@_)"/>
    <numFmt numFmtId="167" formatCode="0.000000"/>
    <numFmt numFmtId="168" formatCode="_(* #,##0_);_(* \(#,##0\);_(* &quot;-&quot;??_);_(@_)"/>
    <numFmt numFmtId="169" formatCode="0.00000"/>
    <numFmt numFmtId="170" formatCode="_(* #,##0.0000000_);_(* \(#,##0.0000000\);_(* &quot;-&quot;??_);_(@_)"/>
    <numFmt numFmtId="171" formatCode="_(* #,##0.00_);_(* \(#,##0.00\);_(* &quot;-&quot;_);_(@_)"/>
    <numFmt numFmtId="173" formatCode="_(* #,##0.00000_);_(* \(#,##0.00000\);_(* &quot;-&quot;??_);_(@_)"/>
    <numFmt numFmtId="174" formatCode="0.000%"/>
    <numFmt numFmtId="175" formatCode="_(* #,##0.000000_);_(* \(#,##0.000000\);_(* &quot;-&quot;??_);_(@_)"/>
    <numFmt numFmtId="177" formatCode="_(* #,##0.000_);_(* \(#,##0.000\);_(* &quot;-&quot;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1"/>
      <name val="Arial Narrow"/>
      <family val="2"/>
    </font>
    <font>
      <vertAlign val="subscript"/>
      <sz val="10"/>
      <name val="Arial Narrow"/>
      <family val="2"/>
    </font>
    <font>
      <vertAlign val="superscript"/>
      <sz val="10"/>
      <name val="Arial Narrow"/>
      <family val="2"/>
    </font>
    <font>
      <sz val="10"/>
      <color indexed="30"/>
      <name val="Arial Narrow"/>
      <family val="2"/>
    </font>
    <font>
      <sz val="10"/>
      <color indexed="17"/>
      <name val="Arial Narrow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1" fontId="0" fillId="0" borderId="0" xfId="0" applyNumberFormat="1"/>
    <xf numFmtId="169" fontId="0" fillId="0" borderId="0" xfId="0" applyNumberFormat="1"/>
    <xf numFmtId="174" fontId="0" fillId="0" borderId="0" xfId="0" applyNumberFormat="1"/>
    <xf numFmtId="43" fontId="2" fillId="0" borderId="0" xfId="2" quotePrefix="1" applyFont="1"/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3" fillId="0" borderId="0" xfId="2" applyNumberFormat="1" applyFont="1"/>
    <xf numFmtId="0" fontId="2" fillId="0" borderId="0" xfId="0" applyFont="1" applyAlignment="1">
      <alignment horizontal="right"/>
    </xf>
    <xf numFmtId="9" fontId="2" fillId="0" borderId="0" xfId="4" applyFont="1"/>
    <xf numFmtId="0" fontId="6" fillId="0" borderId="0" xfId="0" applyFont="1"/>
    <xf numFmtId="0" fontId="3" fillId="2" borderId="0" xfId="0" applyFont="1" applyFill="1" applyAlignment="1">
      <alignment horizontal="centerContinuous"/>
    </xf>
    <xf numFmtId="1" fontId="2" fillId="0" borderId="0" xfId="0" applyNumberFormat="1" applyFont="1" applyAlignment="1">
      <alignment horizontal="center"/>
    </xf>
    <xf numFmtId="167" fontId="2" fillId="3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8" fontId="2" fillId="0" borderId="0" xfId="2" applyNumberFormat="1" applyFont="1" applyAlignment="1">
      <alignment horizontal="center"/>
    </xf>
    <xf numFmtId="170" fontId="7" fillId="0" borderId="0" xfId="2" applyNumberFormat="1" applyFont="1"/>
    <xf numFmtId="171" fontId="1" fillId="0" borderId="0" xfId="3" applyNumberFormat="1" applyFont="1" applyAlignment="1"/>
    <xf numFmtId="43" fontId="2" fillId="0" borderId="0" xfId="2" applyFont="1"/>
    <xf numFmtId="173" fontId="2" fillId="0" borderId="0" xfId="2" applyNumberFormat="1" applyFont="1"/>
    <xf numFmtId="167" fontId="2" fillId="0" borderId="0" xfId="0" applyNumberFormat="1" applyFont="1"/>
    <xf numFmtId="1" fontId="2" fillId="0" borderId="0" xfId="0" applyNumberFormat="1" applyFont="1"/>
    <xf numFmtId="177" fontId="1" fillId="0" borderId="0" xfId="3" applyNumberFormat="1" applyFont="1" applyAlignment="1"/>
    <xf numFmtId="0" fontId="8" fillId="0" borderId="0" xfId="0" applyFont="1"/>
    <xf numFmtId="169" fontId="8" fillId="0" borderId="0" xfId="0" applyNumberFormat="1" applyFont="1"/>
    <xf numFmtId="0" fontId="9" fillId="0" borderId="0" xfId="2" applyNumberFormat="1" applyFont="1"/>
    <xf numFmtId="0" fontId="1" fillId="0" borderId="0" xfId="1"/>
    <xf numFmtId="43" fontId="9" fillId="0" borderId="0" xfId="2" applyFont="1"/>
    <xf numFmtId="175" fontId="7" fillId="0" borderId="0" xfId="2" applyNumberFormat="1" applyFont="1"/>
  </cellXfs>
  <cellStyles count="5">
    <cellStyle name="Comma" xfId="2" builtinId="3"/>
    <cellStyle name="Comma [0]" xfId="3" builtinId="6"/>
    <cellStyle name="Normal" xfId="0" builtinId="0"/>
    <cellStyle name="Normal 2 2" xfId="1" xr:uid="{FCF2B875-809A-468C-B112-E2E2B38E03FD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D34E-A333-46DB-95FC-B843EE1C81C8}">
  <dimension ref="A1:AX120"/>
  <sheetViews>
    <sheetView tabSelected="1" workbookViewId="0">
      <selection activeCell="F10" sqref="F10"/>
    </sheetView>
  </sheetViews>
  <sheetFormatPr defaultRowHeight="15" x14ac:dyDescent="0.25"/>
  <cols>
    <col min="1" max="1" width="13.140625" bestFit="1" customWidth="1"/>
    <col min="2" max="2" width="9.7109375" bestFit="1" customWidth="1"/>
    <col min="3" max="3" width="17.42578125" customWidth="1"/>
    <col min="4" max="4" width="17.7109375" customWidth="1"/>
    <col min="5" max="5" width="16.85546875" customWidth="1"/>
    <col min="6" max="6" width="19.5703125" customWidth="1"/>
    <col min="7" max="7" width="16.7109375" customWidth="1"/>
    <col min="8" max="8" width="15.85546875" customWidth="1"/>
    <col min="9" max="9" width="16" customWidth="1"/>
    <col min="10" max="10" width="11.140625" bestFit="1" customWidth="1"/>
    <col min="11" max="11" width="13.28515625" customWidth="1"/>
    <col min="12" max="12" width="12" bestFit="1" customWidth="1"/>
    <col min="13" max="13" width="11" bestFit="1" customWidth="1"/>
    <col min="15" max="15" width="10.85546875" bestFit="1" customWidth="1"/>
    <col min="16" max="16" width="11.140625" bestFit="1" customWidth="1"/>
    <col min="17" max="17" width="10.7109375" bestFit="1" customWidth="1"/>
    <col min="18" max="18" width="12" bestFit="1" customWidth="1"/>
    <col min="19" max="19" width="12.28515625" bestFit="1" customWidth="1"/>
    <col min="20" max="20" width="11.140625" bestFit="1" customWidth="1"/>
    <col min="21" max="21" width="12.85546875" bestFit="1" customWidth="1"/>
    <col min="45" max="45" width="10.28515625" bestFit="1" customWidth="1"/>
    <col min="46" max="46" width="12.28515625" bestFit="1" customWidth="1"/>
    <col min="47" max="47" width="11.7109375" bestFit="1" customWidth="1"/>
    <col min="48" max="48" width="13.85546875" bestFit="1" customWidth="1"/>
    <col min="257" max="257" width="13.140625" bestFit="1" customWidth="1"/>
    <col min="258" max="258" width="9.7109375" bestFit="1" customWidth="1"/>
    <col min="259" max="259" width="17.42578125" customWidth="1"/>
    <col min="260" max="260" width="17.7109375" customWidth="1"/>
    <col min="261" max="261" width="16.85546875" customWidth="1"/>
    <col min="262" max="262" width="19.5703125" customWidth="1"/>
    <col min="263" max="263" width="16.7109375" customWidth="1"/>
    <col min="264" max="264" width="15.85546875" customWidth="1"/>
    <col min="265" max="265" width="16" customWidth="1"/>
    <col min="266" max="266" width="11.140625" bestFit="1" customWidth="1"/>
    <col min="267" max="267" width="13.28515625" customWidth="1"/>
    <col min="268" max="268" width="12" bestFit="1" customWidth="1"/>
    <col min="269" max="269" width="11" bestFit="1" customWidth="1"/>
    <col min="271" max="271" width="10.85546875" bestFit="1" customWidth="1"/>
    <col min="272" max="272" width="11.140625" bestFit="1" customWidth="1"/>
    <col min="273" max="273" width="10.7109375" bestFit="1" customWidth="1"/>
    <col min="274" max="274" width="12" bestFit="1" customWidth="1"/>
    <col min="275" max="275" width="12.28515625" bestFit="1" customWidth="1"/>
    <col min="276" max="276" width="11.140625" bestFit="1" customWidth="1"/>
    <col min="277" max="277" width="12.85546875" bestFit="1" customWidth="1"/>
    <col min="301" max="301" width="10.28515625" bestFit="1" customWidth="1"/>
    <col min="302" max="302" width="12.28515625" bestFit="1" customWidth="1"/>
    <col min="303" max="303" width="11.7109375" bestFit="1" customWidth="1"/>
    <col min="304" max="304" width="13.85546875" bestFit="1" customWidth="1"/>
    <col min="513" max="513" width="13.140625" bestFit="1" customWidth="1"/>
    <col min="514" max="514" width="9.7109375" bestFit="1" customWidth="1"/>
    <col min="515" max="515" width="17.42578125" customWidth="1"/>
    <col min="516" max="516" width="17.7109375" customWidth="1"/>
    <col min="517" max="517" width="16.85546875" customWidth="1"/>
    <col min="518" max="518" width="19.5703125" customWidth="1"/>
    <col min="519" max="519" width="16.7109375" customWidth="1"/>
    <col min="520" max="520" width="15.85546875" customWidth="1"/>
    <col min="521" max="521" width="16" customWidth="1"/>
    <col min="522" max="522" width="11.140625" bestFit="1" customWidth="1"/>
    <col min="523" max="523" width="13.28515625" customWidth="1"/>
    <col min="524" max="524" width="12" bestFit="1" customWidth="1"/>
    <col min="525" max="525" width="11" bestFit="1" customWidth="1"/>
    <col min="527" max="527" width="10.85546875" bestFit="1" customWidth="1"/>
    <col min="528" max="528" width="11.140625" bestFit="1" customWidth="1"/>
    <col min="529" max="529" width="10.7109375" bestFit="1" customWidth="1"/>
    <col min="530" max="530" width="12" bestFit="1" customWidth="1"/>
    <col min="531" max="531" width="12.28515625" bestFit="1" customWidth="1"/>
    <col min="532" max="532" width="11.140625" bestFit="1" customWidth="1"/>
    <col min="533" max="533" width="12.85546875" bestFit="1" customWidth="1"/>
    <col min="557" max="557" width="10.28515625" bestFit="1" customWidth="1"/>
    <col min="558" max="558" width="12.28515625" bestFit="1" customWidth="1"/>
    <col min="559" max="559" width="11.7109375" bestFit="1" customWidth="1"/>
    <col min="560" max="560" width="13.85546875" bestFit="1" customWidth="1"/>
    <col min="769" max="769" width="13.140625" bestFit="1" customWidth="1"/>
    <col min="770" max="770" width="9.7109375" bestFit="1" customWidth="1"/>
    <col min="771" max="771" width="17.42578125" customWidth="1"/>
    <col min="772" max="772" width="17.7109375" customWidth="1"/>
    <col min="773" max="773" width="16.85546875" customWidth="1"/>
    <col min="774" max="774" width="19.5703125" customWidth="1"/>
    <col min="775" max="775" width="16.7109375" customWidth="1"/>
    <col min="776" max="776" width="15.85546875" customWidth="1"/>
    <col min="777" max="777" width="16" customWidth="1"/>
    <col min="778" max="778" width="11.140625" bestFit="1" customWidth="1"/>
    <col min="779" max="779" width="13.28515625" customWidth="1"/>
    <col min="780" max="780" width="12" bestFit="1" customWidth="1"/>
    <col min="781" max="781" width="11" bestFit="1" customWidth="1"/>
    <col min="783" max="783" width="10.85546875" bestFit="1" customWidth="1"/>
    <col min="784" max="784" width="11.140625" bestFit="1" customWidth="1"/>
    <col min="785" max="785" width="10.7109375" bestFit="1" customWidth="1"/>
    <col min="786" max="786" width="12" bestFit="1" customWidth="1"/>
    <col min="787" max="787" width="12.28515625" bestFit="1" customWidth="1"/>
    <col min="788" max="788" width="11.140625" bestFit="1" customWidth="1"/>
    <col min="789" max="789" width="12.85546875" bestFit="1" customWidth="1"/>
    <col min="813" max="813" width="10.28515625" bestFit="1" customWidth="1"/>
    <col min="814" max="814" width="12.28515625" bestFit="1" customWidth="1"/>
    <col min="815" max="815" width="11.7109375" bestFit="1" customWidth="1"/>
    <col min="816" max="816" width="13.85546875" bestFit="1" customWidth="1"/>
    <col min="1025" max="1025" width="13.140625" bestFit="1" customWidth="1"/>
    <col min="1026" max="1026" width="9.7109375" bestFit="1" customWidth="1"/>
    <col min="1027" max="1027" width="17.42578125" customWidth="1"/>
    <col min="1028" max="1028" width="17.7109375" customWidth="1"/>
    <col min="1029" max="1029" width="16.85546875" customWidth="1"/>
    <col min="1030" max="1030" width="19.5703125" customWidth="1"/>
    <col min="1031" max="1031" width="16.7109375" customWidth="1"/>
    <col min="1032" max="1032" width="15.85546875" customWidth="1"/>
    <col min="1033" max="1033" width="16" customWidth="1"/>
    <col min="1034" max="1034" width="11.140625" bestFit="1" customWidth="1"/>
    <col min="1035" max="1035" width="13.28515625" customWidth="1"/>
    <col min="1036" max="1036" width="12" bestFit="1" customWidth="1"/>
    <col min="1037" max="1037" width="11" bestFit="1" customWidth="1"/>
    <col min="1039" max="1039" width="10.85546875" bestFit="1" customWidth="1"/>
    <col min="1040" max="1040" width="11.140625" bestFit="1" customWidth="1"/>
    <col min="1041" max="1041" width="10.7109375" bestFit="1" customWidth="1"/>
    <col min="1042" max="1042" width="12" bestFit="1" customWidth="1"/>
    <col min="1043" max="1043" width="12.28515625" bestFit="1" customWidth="1"/>
    <col min="1044" max="1044" width="11.140625" bestFit="1" customWidth="1"/>
    <col min="1045" max="1045" width="12.85546875" bestFit="1" customWidth="1"/>
    <col min="1069" max="1069" width="10.28515625" bestFit="1" customWidth="1"/>
    <col min="1070" max="1070" width="12.28515625" bestFit="1" customWidth="1"/>
    <col min="1071" max="1071" width="11.7109375" bestFit="1" customWidth="1"/>
    <col min="1072" max="1072" width="13.85546875" bestFit="1" customWidth="1"/>
    <col min="1281" max="1281" width="13.140625" bestFit="1" customWidth="1"/>
    <col min="1282" max="1282" width="9.7109375" bestFit="1" customWidth="1"/>
    <col min="1283" max="1283" width="17.42578125" customWidth="1"/>
    <col min="1284" max="1284" width="17.7109375" customWidth="1"/>
    <col min="1285" max="1285" width="16.85546875" customWidth="1"/>
    <col min="1286" max="1286" width="19.5703125" customWidth="1"/>
    <col min="1287" max="1287" width="16.7109375" customWidth="1"/>
    <col min="1288" max="1288" width="15.85546875" customWidth="1"/>
    <col min="1289" max="1289" width="16" customWidth="1"/>
    <col min="1290" max="1290" width="11.140625" bestFit="1" customWidth="1"/>
    <col min="1291" max="1291" width="13.28515625" customWidth="1"/>
    <col min="1292" max="1292" width="12" bestFit="1" customWidth="1"/>
    <col min="1293" max="1293" width="11" bestFit="1" customWidth="1"/>
    <col min="1295" max="1295" width="10.85546875" bestFit="1" customWidth="1"/>
    <col min="1296" max="1296" width="11.140625" bestFit="1" customWidth="1"/>
    <col min="1297" max="1297" width="10.7109375" bestFit="1" customWidth="1"/>
    <col min="1298" max="1298" width="12" bestFit="1" customWidth="1"/>
    <col min="1299" max="1299" width="12.28515625" bestFit="1" customWidth="1"/>
    <col min="1300" max="1300" width="11.140625" bestFit="1" customWidth="1"/>
    <col min="1301" max="1301" width="12.85546875" bestFit="1" customWidth="1"/>
    <col min="1325" max="1325" width="10.28515625" bestFit="1" customWidth="1"/>
    <col min="1326" max="1326" width="12.28515625" bestFit="1" customWidth="1"/>
    <col min="1327" max="1327" width="11.7109375" bestFit="1" customWidth="1"/>
    <col min="1328" max="1328" width="13.85546875" bestFit="1" customWidth="1"/>
    <col min="1537" max="1537" width="13.140625" bestFit="1" customWidth="1"/>
    <col min="1538" max="1538" width="9.7109375" bestFit="1" customWidth="1"/>
    <col min="1539" max="1539" width="17.42578125" customWidth="1"/>
    <col min="1540" max="1540" width="17.7109375" customWidth="1"/>
    <col min="1541" max="1541" width="16.85546875" customWidth="1"/>
    <col min="1542" max="1542" width="19.5703125" customWidth="1"/>
    <col min="1543" max="1543" width="16.7109375" customWidth="1"/>
    <col min="1544" max="1544" width="15.85546875" customWidth="1"/>
    <col min="1545" max="1545" width="16" customWidth="1"/>
    <col min="1546" max="1546" width="11.140625" bestFit="1" customWidth="1"/>
    <col min="1547" max="1547" width="13.28515625" customWidth="1"/>
    <col min="1548" max="1548" width="12" bestFit="1" customWidth="1"/>
    <col min="1549" max="1549" width="11" bestFit="1" customWidth="1"/>
    <col min="1551" max="1551" width="10.85546875" bestFit="1" customWidth="1"/>
    <col min="1552" max="1552" width="11.140625" bestFit="1" customWidth="1"/>
    <col min="1553" max="1553" width="10.7109375" bestFit="1" customWidth="1"/>
    <col min="1554" max="1554" width="12" bestFit="1" customWidth="1"/>
    <col min="1555" max="1555" width="12.28515625" bestFit="1" customWidth="1"/>
    <col min="1556" max="1556" width="11.140625" bestFit="1" customWidth="1"/>
    <col min="1557" max="1557" width="12.85546875" bestFit="1" customWidth="1"/>
    <col min="1581" max="1581" width="10.28515625" bestFit="1" customWidth="1"/>
    <col min="1582" max="1582" width="12.28515625" bestFit="1" customWidth="1"/>
    <col min="1583" max="1583" width="11.7109375" bestFit="1" customWidth="1"/>
    <col min="1584" max="1584" width="13.85546875" bestFit="1" customWidth="1"/>
    <col min="1793" max="1793" width="13.140625" bestFit="1" customWidth="1"/>
    <col min="1794" max="1794" width="9.7109375" bestFit="1" customWidth="1"/>
    <col min="1795" max="1795" width="17.42578125" customWidth="1"/>
    <col min="1796" max="1796" width="17.7109375" customWidth="1"/>
    <col min="1797" max="1797" width="16.85546875" customWidth="1"/>
    <col min="1798" max="1798" width="19.5703125" customWidth="1"/>
    <col min="1799" max="1799" width="16.7109375" customWidth="1"/>
    <col min="1800" max="1800" width="15.85546875" customWidth="1"/>
    <col min="1801" max="1801" width="16" customWidth="1"/>
    <col min="1802" max="1802" width="11.140625" bestFit="1" customWidth="1"/>
    <col min="1803" max="1803" width="13.28515625" customWidth="1"/>
    <col min="1804" max="1804" width="12" bestFit="1" customWidth="1"/>
    <col min="1805" max="1805" width="11" bestFit="1" customWidth="1"/>
    <col min="1807" max="1807" width="10.85546875" bestFit="1" customWidth="1"/>
    <col min="1808" max="1808" width="11.140625" bestFit="1" customWidth="1"/>
    <col min="1809" max="1809" width="10.7109375" bestFit="1" customWidth="1"/>
    <col min="1810" max="1810" width="12" bestFit="1" customWidth="1"/>
    <col min="1811" max="1811" width="12.28515625" bestFit="1" customWidth="1"/>
    <col min="1812" max="1812" width="11.140625" bestFit="1" customWidth="1"/>
    <col min="1813" max="1813" width="12.85546875" bestFit="1" customWidth="1"/>
    <col min="1837" max="1837" width="10.28515625" bestFit="1" customWidth="1"/>
    <col min="1838" max="1838" width="12.28515625" bestFit="1" customWidth="1"/>
    <col min="1839" max="1839" width="11.7109375" bestFit="1" customWidth="1"/>
    <col min="1840" max="1840" width="13.85546875" bestFit="1" customWidth="1"/>
    <col min="2049" max="2049" width="13.140625" bestFit="1" customWidth="1"/>
    <col min="2050" max="2050" width="9.7109375" bestFit="1" customWidth="1"/>
    <col min="2051" max="2051" width="17.42578125" customWidth="1"/>
    <col min="2052" max="2052" width="17.7109375" customWidth="1"/>
    <col min="2053" max="2053" width="16.85546875" customWidth="1"/>
    <col min="2054" max="2054" width="19.5703125" customWidth="1"/>
    <col min="2055" max="2055" width="16.7109375" customWidth="1"/>
    <col min="2056" max="2056" width="15.85546875" customWidth="1"/>
    <col min="2057" max="2057" width="16" customWidth="1"/>
    <col min="2058" max="2058" width="11.140625" bestFit="1" customWidth="1"/>
    <col min="2059" max="2059" width="13.28515625" customWidth="1"/>
    <col min="2060" max="2060" width="12" bestFit="1" customWidth="1"/>
    <col min="2061" max="2061" width="11" bestFit="1" customWidth="1"/>
    <col min="2063" max="2063" width="10.85546875" bestFit="1" customWidth="1"/>
    <col min="2064" max="2064" width="11.140625" bestFit="1" customWidth="1"/>
    <col min="2065" max="2065" width="10.7109375" bestFit="1" customWidth="1"/>
    <col min="2066" max="2066" width="12" bestFit="1" customWidth="1"/>
    <col min="2067" max="2067" width="12.28515625" bestFit="1" customWidth="1"/>
    <col min="2068" max="2068" width="11.140625" bestFit="1" customWidth="1"/>
    <col min="2069" max="2069" width="12.85546875" bestFit="1" customWidth="1"/>
    <col min="2093" max="2093" width="10.28515625" bestFit="1" customWidth="1"/>
    <col min="2094" max="2094" width="12.28515625" bestFit="1" customWidth="1"/>
    <col min="2095" max="2095" width="11.7109375" bestFit="1" customWidth="1"/>
    <col min="2096" max="2096" width="13.85546875" bestFit="1" customWidth="1"/>
    <col min="2305" max="2305" width="13.140625" bestFit="1" customWidth="1"/>
    <col min="2306" max="2306" width="9.7109375" bestFit="1" customWidth="1"/>
    <col min="2307" max="2307" width="17.42578125" customWidth="1"/>
    <col min="2308" max="2308" width="17.7109375" customWidth="1"/>
    <col min="2309" max="2309" width="16.85546875" customWidth="1"/>
    <col min="2310" max="2310" width="19.5703125" customWidth="1"/>
    <col min="2311" max="2311" width="16.7109375" customWidth="1"/>
    <col min="2312" max="2312" width="15.85546875" customWidth="1"/>
    <col min="2313" max="2313" width="16" customWidth="1"/>
    <col min="2314" max="2314" width="11.140625" bestFit="1" customWidth="1"/>
    <col min="2315" max="2315" width="13.28515625" customWidth="1"/>
    <col min="2316" max="2316" width="12" bestFit="1" customWidth="1"/>
    <col min="2317" max="2317" width="11" bestFit="1" customWidth="1"/>
    <col min="2319" max="2319" width="10.85546875" bestFit="1" customWidth="1"/>
    <col min="2320" max="2320" width="11.140625" bestFit="1" customWidth="1"/>
    <col min="2321" max="2321" width="10.7109375" bestFit="1" customWidth="1"/>
    <col min="2322" max="2322" width="12" bestFit="1" customWidth="1"/>
    <col min="2323" max="2323" width="12.28515625" bestFit="1" customWidth="1"/>
    <col min="2324" max="2324" width="11.140625" bestFit="1" customWidth="1"/>
    <col min="2325" max="2325" width="12.85546875" bestFit="1" customWidth="1"/>
    <col min="2349" max="2349" width="10.28515625" bestFit="1" customWidth="1"/>
    <col min="2350" max="2350" width="12.28515625" bestFit="1" customWidth="1"/>
    <col min="2351" max="2351" width="11.7109375" bestFit="1" customWidth="1"/>
    <col min="2352" max="2352" width="13.85546875" bestFit="1" customWidth="1"/>
    <col min="2561" max="2561" width="13.140625" bestFit="1" customWidth="1"/>
    <col min="2562" max="2562" width="9.7109375" bestFit="1" customWidth="1"/>
    <col min="2563" max="2563" width="17.42578125" customWidth="1"/>
    <col min="2564" max="2564" width="17.7109375" customWidth="1"/>
    <col min="2565" max="2565" width="16.85546875" customWidth="1"/>
    <col min="2566" max="2566" width="19.5703125" customWidth="1"/>
    <col min="2567" max="2567" width="16.7109375" customWidth="1"/>
    <col min="2568" max="2568" width="15.85546875" customWidth="1"/>
    <col min="2569" max="2569" width="16" customWidth="1"/>
    <col min="2570" max="2570" width="11.140625" bestFit="1" customWidth="1"/>
    <col min="2571" max="2571" width="13.28515625" customWidth="1"/>
    <col min="2572" max="2572" width="12" bestFit="1" customWidth="1"/>
    <col min="2573" max="2573" width="11" bestFit="1" customWidth="1"/>
    <col min="2575" max="2575" width="10.85546875" bestFit="1" customWidth="1"/>
    <col min="2576" max="2576" width="11.140625" bestFit="1" customWidth="1"/>
    <col min="2577" max="2577" width="10.7109375" bestFit="1" customWidth="1"/>
    <col min="2578" max="2578" width="12" bestFit="1" customWidth="1"/>
    <col min="2579" max="2579" width="12.28515625" bestFit="1" customWidth="1"/>
    <col min="2580" max="2580" width="11.140625" bestFit="1" customWidth="1"/>
    <col min="2581" max="2581" width="12.85546875" bestFit="1" customWidth="1"/>
    <col min="2605" max="2605" width="10.28515625" bestFit="1" customWidth="1"/>
    <col min="2606" max="2606" width="12.28515625" bestFit="1" customWidth="1"/>
    <col min="2607" max="2607" width="11.7109375" bestFit="1" customWidth="1"/>
    <col min="2608" max="2608" width="13.85546875" bestFit="1" customWidth="1"/>
    <col min="2817" max="2817" width="13.140625" bestFit="1" customWidth="1"/>
    <col min="2818" max="2818" width="9.7109375" bestFit="1" customWidth="1"/>
    <col min="2819" max="2819" width="17.42578125" customWidth="1"/>
    <col min="2820" max="2820" width="17.7109375" customWidth="1"/>
    <col min="2821" max="2821" width="16.85546875" customWidth="1"/>
    <col min="2822" max="2822" width="19.5703125" customWidth="1"/>
    <col min="2823" max="2823" width="16.7109375" customWidth="1"/>
    <col min="2824" max="2824" width="15.85546875" customWidth="1"/>
    <col min="2825" max="2825" width="16" customWidth="1"/>
    <col min="2826" max="2826" width="11.140625" bestFit="1" customWidth="1"/>
    <col min="2827" max="2827" width="13.28515625" customWidth="1"/>
    <col min="2828" max="2828" width="12" bestFit="1" customWidth="1"/>
    <col min="2829" max="2829" width="11" bestFit="1" customWidth="1"/>
    <col min="2831" max="2831" width="10.85546875" bestFit="1" customWidth="1"/>
    <col min="2832" max="2832" width="11.140625" bestFit="1" customWidth="1"/>
    <col min="2833" max="2833" width="10.7109375" bestFit="1" customWidth="1"/>
    <col min="2834" max="2834" width="12" bestFit="1" customWidth="1"/>
    <col min="2835" max="2835" width="12.28515625" bestFit="1" customWidth="1"/>
    <col min="2836" max="2836" width="11.140625" bestFit="1" customWidth="1"/>
    <col min="2837" max="2837" width="12.85546875" bestFit="1" customWidth="1"/>
    <col min="2861" max="2861" width="10.28515625" bestFit="1" customWidth="1"/>
    <col min="2862" max="2862" width="12.28515625" bestFit="1" customWidth="1"/>
    <col min="2863" max="2863" width="11.7109375" bestFit="1" customWidth="1"/>
    <col min="2864" max="2864" width="13.85546875" bestFit="1" customWidth="1"/>
    <col min="3073" max="3073" width="13.140625" bestFit="1" customWidth="1"/>
    <col min="3074" max="3074" width="9.7109375" bestFit="1" customWidth="1"/>
    <col min="3075" max="3075" width="17.42578125" customWidth="1"/>
    <col min="3076" max="3076" width="17.7109375" customWidth="1"/>
    <col min="3077" max="3077" width="16.85546875" customWidth="1"/>
    <col min="3078" max="3078" width="19.5703125" customWidth="1"/>
    <col min="3079" max="3079" width="16.7109375" customWidth="1"/>
    <col min="3080" max="3080" width="15.85546875" customWidth="1"/>
    <col min="3081" max="3081" width="16" customWidth="1"/>
    <col min="3082" max="3082" width="11.140625" bestFit="1" customWidth="1"/>
    <col min="3083" max="3083" width="13.28515625" customWidth="1"/>
    <col min="3084" max="3084" width="12" bestFit="1" customWidth="1"/>
    <col min="3085" max="3085" width="11" bestFit="1" customWidth="1"/>
    <col min="3087" max="3087" width="10.85546875" bestFit="1" customWidth="1"/>
    <col min="3088" max="3088" width="11.140625" bestFit="1" customWidth="1"/>
    <col min="3089" max="3089" width="10.7109375" bestFit="1" customWidth="1"/>
    <col min="3090" max="3090" width="12" bestFit="1" customWidth="1"/>
    <col min="3091" max="3091" width="12.28515625" bestFit="1" customWidth="1"/>
    <col min="3092" max="3092" width="11.140625" bestFit="1" customWidth="1"/>
    <col min="3093" max="3093" width="12.85546875" bestFit="1" customWidth="1"/>
    <col min="3117" max="3117" width="10.28515625" bestFit="1" customWidth="1"/>
    <col min="3118" max="3118" width="12.28515625" bestFit="1" customWidth="1"/>
    <col min="3119" max="3119" width="11.7109375" bestFit="1" customWidth="1"/>
    <col min="3120" max="3120" width="13.85546875" bestFit="1" customWidth="1"/>
    <col min="3329" max="3329" width="13.140625" bestFit="1" customWidth="1"/>
    <col min="3330" max="3330" width="9.7109375" bestFit="1" customWidth="1"/>
    <col min="3331" max="3331" width="17.42578125" customWidth="1"/>
    <col min="3332" max="3332" width="17.7109375" customWidth="1"/>
    <col min="3333" max="3333" width="16.85546875" customWidth="1"/>
    <col min="3334" max="3334" width="19.5703125" customWidth="1"/>
    <col min="3335" max="3335" width="16.7109375" customWidth="1"/>
    <col min="3336" max="3336" width="15.85546875" customWidth="1"/>
    <col min="3337" max="3337" width="16" customWidth="1"/>
    <col min="3338" max="3338" width="11.140625" bestFit="1" customWidth="1"/>
    <col min="3339" max="3339" width="13.28515625" customWidth="1"/>
    <col min="3340" max="3340" width="12" bestFit="1" customWidth="1"/>
    <col min="3341" max="3341" width="11" bestFit="1" customWidth="1"/>
    <col min="3343" max="3343" width="10.85546875" bestFit="1" customWidth="1"/>
    <col min="3344" max="3344" width="11.140625" bestFit="1" customWidth="1"/>
    <col min="3345" max="3345" width="10.7109375" bestFit="1" customWidth="1"/>
    <col min="3346" max="3346" width="12" bestFit="1" customWidth="1"/>
    <col min="3347" max="3347" width="12.28515625" bestFit="1" customWidth="1"/>
    <col min="3348" max="3348" width="11.140625" bestFit="1" customWidth="1"/>
    <col min="3349" max="3349" width="12.85546875" bestFit="1" customWidth="1"/>
    <col min="3373" max="3373" width="10.28515625" bestFit="1" customWidth="1"/>
    <col min="3374" max="3374" width="12.28515625" bestFit="1" customWidth="1"/>
    <col min="3375" max="3375" width="11.7109375" bestFit="1" customWidth="1"/>
    <col min="3376" max="3376" width="13.85546875" bestFit="1" customWidth="1"/>
    <col min="3585" max="3585" width="13.140625" bestFit="1" customWidth="1"/>
    <col min="3586" max="3586" width="9.7109375" bestFit="1" customWidth="1"/>
    <col min="3587" max="3587" width="17.42578125" customWidth="1"/>
    <col min="3588" max="3588" width="17.7109375" customWidth="1"/>
    <col min="3589" max="3589" width="16.85546875" customWidth="1"/>
    <col min="3590" max="3590" width="19.5703125" customWidth="1"/>
    <col min="3591" max="3591" width="16.7109375" customWidth="1"/>
    <col min="3592" max="3592" width="15.85546875" customWidth="1"/>
    <col min="3593" max="3593" width="16" customWidth="1"/>
    <col min="3594" max="3594" width="11.140625" bestFit="1" customWidth="1"/>
    <col min="3595" max="3595" width="13.28515625" customWidth="1"/>
    <col min="3596" max="3596" width="12" bestFit="1" customWidth="1"/>
    <col min="3597" max="3597" width="11" bestFit="1" customWidth="1"/>
    <col min="3599" max="3599" width="10.85546875" bestFit="1" customWidth="1"/>
    <col min="3600" max="3600" width="11.140625" bestFit="1" customWidth="1"/>
    <col min="3601" max="3601" width="10.7109375" bestFit="1" customWidth="1"/>
    <col min="3602" max="3602" width="12" bestFit="1" customWidth="1"/>
    <col min="3603" max="3603" width="12.28515625" bestFit="1" customWidth="1"/>
    <col min="3604" max="3604" width="11.140625" bestFit="1" customWidth="1"/>
    <col min="3605" max="3605" width="12.85546875" bestFit="1" customWidth="1"/>
    <col min="3629" max="3629" width="10.28515625" bestFit="1" customWidth="1"/>
    <col min="3630" max="3630" width="12.28515625" bestFit="1" customWidth="1"/>
    <col min="3631" max="3631" width="11.7109375" bestFit="1" customWidth="1"/>
    <col min="3632" max="3632" width="13.85546875" bestFit="1" customWidth="1"/>
    <col min="3841" max="3841" width="13.140625" bestFit="1" customWidth="1"/>
    <col min="3842" max="3842" width="9.7109375" bestFit="1" customWidth="1"/>
    <col min="3843" max="3843" width="17.42578125" customWidth="1"/>
    <col min="3844" max="3844" width="17.7109375" customWidth="1"/>
    <col min="3845" max="3845" width="16.85546875" customWidth="1"/>
    <col min="3846" max="3846" width="19.5703125" customWidth="1"/>
    <col min="3847" max="3847" width="16.7109375" customWidth="1"/>
    <col min="3848" max="3848" width="15.85546875" customWidth="1"/>
    <col min="3849" max="3849" width="16" customWidth="1"/>
    <col min="3850" max="3850" width="11.140625" bestFit="1" customWidth="1"/>
    <col min="3851" max="3851" width="13.28515625" customWidth="1"/>
    <col min="3852" max="3852" width="12" bestFit="1" customWidth="1"/>
    <col min="3853" max="3853" width="11" bestFit="1" customWidth="1"/>
    <col min="3855" max="3855" width="10.85546875" bestFit="1" customWidth="1"/>
    <col min="3856" max="3856" width="11.140625" bestFit="1" customWidth="1"/>
    <col min="3857" max="3857" width="10.7109375" bestFit="1" customWidth="1"/>
    <col min="3858" max="3858" width="12" bestFit="1" customWidth="1"/>
    <col min="3859" max="3859" width="12.28515625" bestFit="1" customWidth="1"/>
    <col min="3860" max="3860" width="11.140625" bestFit="1" customWidth="1"/>
    <col min="3861" max="3861" width="12.85546875" bestFit="1" customWidth="1"/>
    <col min="3885" max="3885" width="10.28515625" bestFit="1" customWidth="1"/>
    <col min="3886" max="3886" width="12.28515625" bestFit="1" customWidth="1"/>
    <col min="3887" max="3887" width="11.7109375" bestFit="1" customWidth="1"/>
    <col min="3888" max="3888" width="13.85546875" bestFit="1" customWidth="1"/>
    <col min="4097" max="4097" width="13.140625" bestFit="1" customWidth="1"/>
    <col min="4098" max="4098" width="9.7109375" bestFit="1" customWidth="1"/>
    <col min="4099" max="4099" width="17.42578125" customWidth="1"/>
    <col min="4100" max="4100" width="17.7109375" customWidth="1"/>
    <col min="4101" max="4101" width="16.85546875" customWidth="1"/>
    <col min="4102" max="4102" width="19.5703125" customWidth="1"/>
    <col min="4103" max="4103" width="16.7109375" customWidth="1"/>
    <col min="4104" max="4104" width="15.85546875" customWidth="1"/>
    <col min="4105" max="4105" width="16" customWidth="1"/>
    <col min="4106" max="4106" width="11.140625" bestFit="1" customWidth="1"/>
    <col min="4107" max="4107" width="13.28515625" customWidth="1"/>
    <col min="4108" max="4108" width="12" bestFit="1" customWidth="1"/>
    <col min="4109" max="4109" width="11" bestFit="1" customWidth="1"/>
    <col min="4111" max="4111" width="10.85546875" bestFit="1" customWidth="1"/>
    <col min="4112" max="4112" width="11.140625" bestFit="1" customWidth="1"/>
    <col min="4113" max="4113" width="10.7109375" bestFit="1" customWidth="1"/>
    <col min="4114" max="4114" width="12" bestFit="1" customWidth="1"/>
    <col min="4115" max="4115" width="12.28515625" bestFit="1" customWidth="1"/>
    <col min="4116" max="4116" width="11.140625" bestFit="1" customWidth="1"/>
    <col min="4117" max="4117" width="12.85546875" bestFit="1" customWidth="1"/>
    <col min="4141" max="4141" width="10.28515625" bestFit="1" customWidth="1"/>
    <col min="4142" max="4142" width="12.28515625" bestFit="1" customWidth="1"/>
    <col min="4143" max="4143" width="11.7109375" bestFit="1" customWidth="1"/>
    <col min="4144" max="4144" width="13.85546875" bestFit="1" customWidth="1"/>
    <col min="4353" max="4353" width="13.140625" bestFit="1" customWidth="1"/>
    <col min="4354" max="4354" width="9.7109375" bestFit="1" customWidth="1"/>
    <col min="4355" max="4355" width="17.42578125" customWidth="1"/>
    <col min="4356" max="4356" width="17.7109375" customWidth="1"/>
    <col min="4357" max="4357" width="16.85546875" customWidth="1"/>
    <col min="4358" max="4358" width="19.5703125" customWidth="1"/>
    <col min="4359" max="4359" width="16.7109375" customWidth="1"/>
    <col min="4360" max="4360" width="15.85546875" customWidth="1"/>
    <col min="4361" max="4361" width="16" customWidth="1"/>
    <col min="4362" max="4362" width="11.140625" bestFit="1" customWidth="1"/>
    <col min="4363" max="4363" width="13.28515625" customWidth="1"/>
    <col min="4364" max="4364" width="12" bestFit="1" customWidth="1"/>
    <col min="4365" max="4365" width="11" bestFit="1" customWidth="1"/>
    <col min="4367" max="4367" width="10.85546875" bestFit="1" customWidth="1"/>
    <col min="4368" max="4368" width="11.140625" bestFit="1" customWidth="1"/>
    <col min="4369" max="4369" width="10.7109375" bestFit="1" customWidth="1"/>
    <col min="4370" max="4370" width="12" bestFit="1" customWidth="1"/>
    <col min="4371" max="4371" width="12.28515625" bestFit="1" customWidth="1"/>
    <col min="4372" max="4372" width="11.140625" bestFit="1" customWidth="1"/>
    <col min="4373" max="4373" width="12.85546875" bestFit="1" customWidth="1"/>
    <col min="4397" max="4397" width="10.28515625" bestFit="1" customWidth="1"/>
    <col min="4398" max="4398" width="12.28515625" bestFit="1" customWidth="1"/>
    <col min="4399" max="4399" width="11.7109375" bestFit="1" customWidth="1"/>
    <col min="4400" max="4400" width="13.85546875" bestFit="1" customWidth="1"/>
    <col min="4609" max="4609" width="13.140625" bestFit="1" customWidth="1"/>
    <col min="4610" max="4610" width="9.7109375" bestFit="1" customWidth="1"/>
    <col min="4611" max="4611" width="17.42578125" customWidth="1"/>
    <col min="4612" max="4612" width="17.7109375" customWidth="1"/>
    <col min="4613" max="4613" width="16.85546875" customWidth="1"/>
    <col min="4614" max="4614" width="19.5703125" customWidth="1"/>
    <col min="4615" max="4615" width="16.7109375" customWidth="1"/>
    <col min="4616" max="4616" width="15.85546875" customWidth="1"/>
    <col min="4617" max="4617" width="16" customWidth="1"/>
    <col min="4618" max="4618" width="11.140625" bestFit="1" customWidth="1"/>
    <col min="4619" max="4619" width="13.28515625" customWidth="1"/>
    <col min="4620" max="4620" width="12" bestFit="1" customWidth="1"/>
    <col min="4621" max="4621" width="11" bestFit="1" customWidth="1"/>
    <col min="4623" max="4623" width="10.85546875" bestFit="1" customWidth="1"/>
    <col min="4624" max="4624" width="11.140625" bestFit="1" customWidth="1"/>
    <col min="4625" max="4625" width="10.7109375" bestFit="1" customWidth="1"/>
    <col min="4626" max="4626" width="12" bestFit="1" customWidth="1"/>
    <col min="4627" max="4627" width="12.28515625" bestFit="1" customWidth="1"/>
    <col min="4628" max="4628" width="11.140625" bestFit="1" customWidth="1"/>
    <col min="4629" max="4629" width="12.85546875" bestFit="1" customWidth="1"/>
    <col min="4653" max="4653" width="10.28515625" bestFit="1" customWidth="1"/>
    <col min="4654" max="4654" width="12.28515625" bestFit="1" customWidth="1"/>
    <col min="4655" max="4655" width="11.7109375" bestFit="1" customWidth="1"/>
    <col min="4656" max="4656" width="13.85546875" bestFit="1" customWidth="1"/>
    <col min="4865" max="4865" width="13.140625" bestFit="1" customWidth="1"/>
    <col min="4866" max="4866" width="9.7109375" bestFit="1" customWidth="1"/>
    <col min="4867" max="4867" width="17.42578125" customWidth="1"/>
    <col min="4868" max="4868" width="17.7109375" customWidth="1"/>
    <col min="4869" max="4869" width="16.85546875" customWidth="1"/>
    <col min="4870" max="4870" width="19.5703125" customWidth="1"/>
    <col min="4871" max="4871" width="16.7109375" customWidth="1"/>
    <col min="4872" max="4872" width="15.85546875" customWidth="1"/>
    <col min="4873" max="4873" width="16" customWidth="1"/>
    <col min="4874" max="4874" width="11.140625" bestFit="1" customWidth="1"/>
    <col min="4875" max="4875" width="13.28515625" customWidth="1"/>
    <col min="4876" max="4876" width="12" bestFit="1" customWidth="1"/>
    <col min="4877" max="4877" width="11" bestFit="1" customWidth="1"/>
    <col min="4879" max="4879" width="10.85546875" bestFit="1" customWidth="1"/>
    <col min="4880" max="4880" width="11.140625" bestFit="1" customWidth="1"/>
    <col min="4881" max="4881" width="10.7109375" bestFit="1" customWidth="1"/>
    <col min="4882" max="4882" width="12" bestFit="1" customWidth="1"/>
    <col min="4883" max="4883" width="12.28515625" bestFit="1" customWidth="1"/>
    <col min="4884" max="4884" width="11.140625" bestFit="1" customWidth="1"/>
    <col min="4885" max="4885" width="12.85546875" bestFit="1" customWidth="1"/>
    <col min="4909" max="4909" width="10.28515625" bestFit="1" customWidth="1"/>
    <col min="4910" max="4910" width="12.28515625" bestFit="1" customWidth="1"/>
    <col min="4911" max="4911" width="11.7109375" bestFit="1" customWidth="1"/>
    <col min="4912" max="4912" width="13.85546875" bestFit="1" customWidth="1"/>
    <col min="5121" max="5121" width="13.140625" bestFit="1" customWidth="1"/>
    <col min="5122" max="5122" width="9.7109375" bestFit="1" customWidth="1"/>
    <col min="5123" max="5123" width="17.42578125" customWidth="1"/>
    <col min="5124" max="5124" width="17.7109375" customWidth="1"/>
    <col min="5125" max="5125" width="16.85546875" customWidth="1"/>
    <col min="5126" max="5126" width="19.5703125" customWidth="1"/>
    <col min="5127" max="5127" width="16.7109375" customWidth="1"/>
    <col min="5128" max="5128" width="15.85546875" customWidth="1"/>
    <col min="5129" max="5129" width="16" customWidth="1"/>
    <col min="5130" max="5130" width="11.140625" bestFit="1" customWidth="1"/>
    <col min="5131" max="5131" width="13.28515625" customWidth="1"/>
    <col min="5132" max="5132" width="12" bestFit="1" customWidth="1"/>
    <col min="5133" max="5133" width="11" bestFit="1" customWidth="1"/>
    <col min="5135" max="5135" width="10.85546875" bestFit="1" customWidth="1"/>
    <col min="5136" max="5136" width="11.140625" bestFit="1" customWidth="1"/>
    <col min="5137" max="5137" width="10.7109375" bestFit="1" customWidth="1"/>
    <col min="5138" max="5138" width="12" bestFit="1" customWidth="1"/>
    <col min="5139" max="5139" width="12.28515625" bestFit="1" customWidth="1"/>
    <col min="5140" max="5140" width="11.140625" bestFit="1" customWidth="1"/>
    <col min="5141" max="5141" width="12.85546875" bestFit="1" customWidth="1"/>
    <col min="5165" max="5165" width="10.28515625" bestFit="1" customWidth="1"/>
    <col min="5166" max="5166" width="12.28515625" bestFit="1" customWidth="1"/>
    <col min="5167" max="5167" width="11.7109375" bestFit="1" customWidth="1"/>
    <col min="5168" max="5168" width="13.85546875" bestFit="1" customWidth="1"/>
    <col min="5377" max="5377" width="13.140625" bestFit="1" customWidth="1"/>
    <col min="5378" max="5378" width="9.7109375" bestFit="1" customWidth="1"/>
    <col min="5379" max="5379" width="17.42578125" customWidth="1"/>
    <col min="5380" max="5380" width="17.7109375" customWidth="1"/>
    <col min="5381" max="5381" width="16.85546875" customWidth="1"/>
    <col min="5382" max="5382" width="19.5703125" customWidth="1"/>
    <col min="5383" max="5383" width="16.7109375" customWidth="1"/>
    <col min="5384" max="5384" width="15.85546875" customWidth="1"/>
    <col min="5385" max="5385" width="16" customWidth="1"/>
    <col min="5386" max="5386" width="11.140625" bestFit="1" customWidth="1"/>
    <col min="5387" max="5387" width="13.28515625" customWidth="1"/>
    <col min="5388" max="5388" width="12" bestFit="1" customWidth="1"/>
    <col min="5389" max="5389" width="11" bestFit="1" customWidth="1"/>
    <col min="5391" max="5391" width="10.85546875" bestFit="1" customWidth="1"/>
    <col min="5392" max="5392" width="11.140625" bestFit="1" customWidth="1"/>
    <col min="5393" max="5393" width="10.7109375" bestFit="1" customWidth="1"/>
    <col min="5394" max="5394" width="12" bestFit="1" customWidth="1"/>
    <col min="5395" max="5395" width="12.28515625" bestFit="1" customWidth="1"/>
    <col min="5396" max="5396" width="11.140625" bestFit="1" customWidth="1"/>
    <col min="5397" max="5397" width="12.85546875" bestFit="1" customWidth="1"/>
    <col min="5421" max="5421" width="10.28515625" bestFit="1" customWidth="1"/>
    <col min="5422" max="5422" width="12.28515625" bestFit="1" customWidth="1"/>
    <col min="5423" max="5423" width="11.7109375" bestFit="1" customWidth="1"/>
    <col min="5424" max="5424" width="13.85546875" bestFit="1" customWidth="1"/>
    <col min="5633" max="5633" width="13.140625" bestFit="1" customWidth="1"/>
    <col min="5634" max="5634" width="9.7109375" bestFit="1" customWidth="1"/>
    <col min="5635" max="5635" width="17.42578125" customWidth="1"/>
    <col min="5636" max="5636" width="17.7109375" customWidth="1"/>
    <col min="5637" max="5637" width="16.85546875" customWidth="1"/>
    <col min="5638" max="5638" width="19.5703125" customWidth="1"/>
    <col min="5639" max="5639" width="16.7109375" customWidth="1"/>
    <col min="5640" max="5640" width="15.85546875" customWidth="1"/>
    <col min="5641" max="5641" width="16" customWidth="1"/>
    <col min="5642" max="5642" width="11.140625" bestFit="1" customWidth="1"/>
    <col min="5643" max="5643" width="13.28515625" customWidth="1"/>
    <col min="5644" max="5644" width="12" bestFit="1" customWidth="1"/>
    <col min="5645" max="5645" width="11" bestFit="1" customWidth="1"/>
    <col min="5647" max="5647" width="10.85546875" bestFit="1" customWidth="1"/>
    <col min="5648" max="5648" width="11.140625" bestFit="1" customWidth="1"/>
    <col min="5649" max="5649" width="10.7109375" bestFit="1" customWidth="1"/>
    <col min="5650" max="5650" width="12" bestFit="1" customWidth="1"/>
    <col min="5651" max="5651" width="12.28515625" bestFit="1" customWidth="1"/>
    <col min="5652" max="5652" width="11.140625" bestFit="1" customWidth="1"/>
    <col min="5653" max="5653" width="12.85546875" bestFit="1" customWidth="1"/>
    <col min="5677" max="5677" width="10.28515625" bestFit="1" customWidth="1"/>
    <col min="5678" max="5678" width="12.28515625" bestFit="1" customWidth="1"/>
    <col min="5679" max="5679" width="11.7109375" bestFit="1" customWidth="1"/>
    <col min="5680" max="5680" width="13.85546875" bestFit="1" customWidth="1"/>
    <col min="5889" max="5889" width="13.140625" bestFit="1" customWidth="1"/>
    <col min="5890" max="5890" width="9.7109375" bestFit="1" customWidth="1"/>
    <col min="5891" max="5891" width="17.42578125" customWidth="1"/>
    <col min="5892" max="5892" width="17.7109375" customWidth="1"/>
    <col min="5893" max="5893" width="16.85546875" customWidth="1"/>
    <col min="5894" max="5894" width="19.5703125" customWidth="1"/>
    <col min="5895" max="5895" width="16.7109375" customWidth="1"/>
    <col min="5896" max="5896" width="15.85546875" customWidth="1"/>
    <col min="5897" max="5897" width="16" customWidth="1"/>
    <col min="5898" max="5898" width="11.140625" bestFit="1" customWidth="1"/>
    <col min="5899" max="5899" width="13.28515625" customWidth="1"/>
    <col min="5900" max="5900" width="12" bestFit="1" customWidth="1"/>
    <col min="5901" max="5901" width="11" bestFit="1" customWidth="1"/>
    <col min="5903" max="5903" width="10.85546875" bestFit="1" customWidth="1"/>
    <col min="5904" max="5904" width="11.140625" bestFit="1" customWidth="1"/>
    <col min="5905" max="5905" width="10.7109375" bestFit="1" customWidth="1"/>
    <col min="5906" max="5906" width="12" bestFit="1" customWidth="1"/>
    <col min="5907" max="5907" width="12.28515625" bestFit="1" customWidth="1"/>
    <col min="5908" max="5908" width="11.140625" bestFit="1" customWidth="1"/>
    <col min="5909" max="5909" width="12.85546875" bestFit="1" customWidth="1"/>
    <col min="5933" max="5933" width="10.28515625" bestFit="1" customWidth="1"/>
    <col min="5934" max="5934" width="12.28515625" bestFit="1" customWidth="1"/>
    <col min="5935" max="5935" width="11.7109375" bestFit="1" customWidth="1"/>
    <col min="5936" max="5936" width="13.85546875" bestFit="1" customWidth="1"/>
    <col min="6145" max="6145" width="13.140625" bestFit="1" customWidth="1"/>
    <col min="6146" max="6146" width="9.7109375" bestFit="1" customWidth="1"/>
    <col min="6147" max="6147" width="17.42578125" customWidth="1"/>
    <col min="6148" max="6148" width="17.7109375" customWidth="1"/>
    <col min="6149" max="6149" width="16.85546875" customWidth="1"/>
    <col min="6150" max="6150" width="19.5703125" customWidth="1"/>
    <col min="6151" max="6151" width="16.7109375" customWidth="1"/>
    <col min="6152" max="6152" width="15.85546875" customWidth="1"/>
    <col min="6153" max="6153" width="16" customWidth="1"/>
    <col min="6154" max="6154" width="11.140625" bestFit="1" customWidth="1"/>
    <col min="6155" max="6155" width="13.28515625" customWidth="1"/>
    <col min="6156" max="6156" width="12" bestFit="1" customWidth="1"/>
    <col min="6157" max="6157" width="11" bestFit="1" customWidth="1"/>
    <col min="6159" max="6159" width="10.85546875" bestFit="1" customWidth="1"/>
    <col min="6160" max="6160" width="11.140625" bestFit="1" customWidth="1"/>
    <col min="6161" max="6161" width="10.7109375" bestFit="1" customWidth="1"/>
    <col min="6162" max="6162" width="12" bestFit="1" customWidth="1"/>
    <col min="6163" max="6163" width="12.28515625" bestFit="1" customWidth="1"/>
    <col min="6164" max="6164" width="11.140625" bestFit="1" customWidth="1"/>
    <col min="6165" max="6165" width="12.85546875" bestFit="1" customWidth="1"/>
    <col min="6189" max="6189" width="10.28515625" bestFit="1" customWidth="1"/>
    <col min="6190" max="6190" width="12.28515625" bestFit="1" customWidth="1"/>
    <col min="6191" max="6191" width="11.7109375" bestFit="1" customWidth="1"/>
    <col min="6192" max="6192" width="13.85546875" bestFit="1" customWidth="1"/>
    <col min="6401" max="6401" width="13.140625" bestFit="1" customWidth="1"/>
    <col min="6402" max="6402" width="9.7109375" bestFit="1" customWidth="1"/>
    <col min="6403" max="6403" width="17.42578125" customWidth="1"/>
    <col min="6404" max="6404" width="17.7109375" customWidth="1"/>
    <col min="6405" max="6405" width="16.85546875" customWidth="1"/>
    <col min="6406" max="6406" width="19.5703125" customWidth="1"/>
    <col min="6407" max="6407" width="16.7109375" customWidth="1"/>
    <col min="6408" max="6408" width="15.85546875" customWidth="1"/>
    <col min="6409" max="6409" width="16" customWidth="1"/>
    <col min="6410" max="6410" width="11.140625" bestFit="1" customWidth="1"/>
    <col min="6411" max="6411" width="13.28515625" customWidth="1"/>
    <col min="6412" max="6412" width="12" bestFit="1" customWidth="1"/>
    <col min="6413" max="6413" width="11" bestFit="1" customWidth="1"/>
    <col min="6415" max="6415" width="10.85546875" bestFit="1" customWidth="1"/>
    <col min="6416" max="6416" width="11.140625" bestFit="1" customWidth="1"/>
    <col min="6417" max="6417" width="10.7109375" bestFit="1" customWidth="1"/>
    <col min="6418" max="6418" width="12" bestFit="1" customWidth="1"/>
    <col min="6419" max="6419" width="12.28515625" bestFit="1" customWidth="1"/>
    <col min="6420" max="6420" width="11.140625" bestFit="1" customWidth="1"/>
    <col min="6421" max="6421" width="12.85546875" bestFit="1" customWidth="1"/>
    <col min="6445" max="6445" width="10.28515625" bestFit="1" customWidth="1"/>
    <col min="6446" max="6446" width="12.28515625" bestFit="1" customWidth="1"/>
    <col min="6447" max="6447" width="11.7109375" bestFit="1" customWidth="1"/>
    <col min="6448" max="6448" width="13.85546875" bestFit="1" customWidth="1"/>
    <col min="6657" max="6657" width="13.140625" bestFit="1" customWidth="1"/>
    <col min="6658" max="6658" width="9.7109375" bestFit="1" customWidth="1"/>
    <col min="6659" max="6659" width="17.42578125" customWidth="1"/>
    <col min="6660" max="6660" width="17.7109375" customWidth="1"/>
    <col min="6661" max="6661" width="16.85546875" customWidth="1"/>
    <col min="6662" max="6662" width="19.5703125" customWidth="1"/>
    <col min="6663" max="6663" width="16.7109375" customWidth="1"/>
    <col min="6664" max="6664" width="15.85546875" customWidth="1"/>
    <col min="6665" max="6665" width="16" customWidth="1"/>
    <col min="6666" max="6666" width="11.140625" bestFit="1" customWidth="1"/>
    <col min="6667" max="6667" width="13.28515625" customWidth="1"/>
    <col min="6668" max="6668" width="12" bestFit="1" customWidth="1"/>
    <col min="6669" max="6669" width="11" bestFit="1" customWidth="1"/>
    <col min="6671" max="6671" width="10.85546875" bestFit="1" customWidth="1"/>
    <col min="6672" max="6672" width="11.140625" bestFit="1" customWidth="1"/>
    <col min="6673" max="6673" width="10.7109375" bestFit="1" customWidth="1"/>
    <col min="6674" max="6674" width="12" bestFit="1" customWidth="1"/>
    <col min="6675" max="6675" width="12.28515625" bestFit="1" customWidth="1"/>
    <col min="6676" max="6676" width="11.140625" bestFit="1" customWidth="1"/>
    <col min="6677" max="6677" width="12.85546875" bestFit="1" customWidth="1"/>
    <col min="6701" max="6701" width="10.28515625" bestFit="1" customWidth="1"/>
    <col min="6702" max="6702" width="12.28515625" bestFit="1" customWidth="1"/>
    <col min="6703" max="6703" width="11.7109375" bestFit="1" customWidth="1"/>
    <col min="6704" max="6704" width="13.85546875" bestFit="1" customWidth="1"/>
    <col min="6913" max="6913" width="13.140625" bestFit="1" customWidth="1"/>
    <col min="6914" max="6914" width="9.7109375" bestFit="1" customWidth="1"/>
    <col min="6915" max="6915" width="17.42578125" customWidth="1"/>
    <col min="6916" max="6916" width="17.7109375" customWidth="1"/>
    <col min="6917" max="6917" width="16.85546875" customWidth="1"/>
    <col min="6918" max="6918" width="19.5703125" customWidth="1"/>
    <col min="6919" max="6919" width="16.7109375" customWidth="1"/>
    <col min="6920" max="6920" width="15.85546875" customWidth="1"/>
    <col min="6921" max="6921" width="16" customWidth="1"/>
    <col min="6922" max="6922" width="11.140625" bestFit="1" customWidth="1"/>
    <col min="6923" max="6923" width="13.28515625" customWidth="1"/>
    <col min="6924" max="6924" width="12" bestFit="1" customWidth="1"/>
    <col min="6925" max="6925" width="11" bestFit="1" customWidth="1"/>
    <col min="6927" max="6927" width="10.85546875" bestFit="1" customWidth="1"/>
    <col min="6928" max="6928" width="11.140625" bestFit="1" customWidth="1"/>
    <col min="6929" max="6929" width="10.7109375" bestFit="1" customWidth="1"/>
    <col min="6930" max="6930" width="12" bestFit="1" customWidth="1"/>
    <col min="6931" max="6931" width="12.28515625" bestFit="1" customWidth="1"/>
    <col min="6932" max="6932" width="11.140625" bestFit="1" customWidth="1"/>
    <col min="6933" max="6933" width="12.85546875" bestFit="1" customWidth="1"/>
    <col min="6957" max="6957" width="10.28515625" bestFit="1" customWidth="1"/>
    <col min="6958" max="6958" width="12.28515625" bestFit="1" customWidth="1"/>
    <col min="6959" max="6959" width="11.7109375" bestFit="1" customWidth="1"/>
    <col min="6960" max="6960" width="13.85546875" bestFit="1" customWidth="1"/>
    <col min="7169" max="7169" width="13.140625" bestFit="1" customWidth="1"/>
    <col min="7170" max="7170" width="9.7109375" bestFit="1" customWidth="1"/>
    <col min="7171" max="7171" width="17.42578125" customWidth="1"/>
    <col min="7172" max="7172" width="17.7109375" customWidth="1"/>
    <col min="7173" max="7173" width="16.85546875" customWidth="1"/>
    <col min="7174" max="7174" width="19.5703125" customWidth="1"/>
    <col min="7175" max="7175" width="16.7109375" customWidth="1"/>
    <col min="7176" max="7176" width="15.85546875" customWidth="1"/>
    <col min="7177" max="7177" width="16" customWidth="1"/>
    <col min="7178" max="7178" width="11.140625" bestFit="1" customWidth="1"/>
    <col min="7179" max="7179" width="13.28515625" customWidth="1"/>
    <col min="7180" max="7180" width="12" bestFit="1" customWidth="1"/>
    <col min="7181" max="7181" width="11" bestFit="1" customWidth="1"/>
    <col min="7183" max="7183" width="10.85546875" bestFit="1" customWidth="1"/>
    <col min="7184" max="7184" width="11.140625" bestFit="1" customWidth="1"/>
    <col min="7185" max="7185" width="10.7109375" bestFit="1" customWidth="1"/>
    <col min="7186" max="7186" width="12" bestFit="1" customWidth="1"/>
    <col min="7187" max="7187" width="12.28515625" bestFit="1" customWidth="1"/>
    <col min="7188" max="7188" width="11.140625" bestFit="1" customWidth="1"/>
    <col min="7189" max="7189" width="12.85546875" bestFit="1" customWidth="1"/>
    <col min="7213" max="7213" width="10.28515625" bestFit="1" customWidth="1"/>
    <col min="7214" max="7214" width="12.28515625" bestFit="1" customWidth="1"/>
    <col min="7215" max="7215" width="11.7109375" bestFit="1" customWidth="1"/>
    <col min="7216" max="7216" width="13.85546875" bestFit="1" customWidth="1"/>
    <col min="7425" max="7425" width="13.140625" bestFit="1" customWidth="1"/>
    <col min="7426" max="7426" width="9.7109375" bestFit="1" customWidth="1"/>
    <col min="7427" max="7427" width="17.42578125" customWidth="1"/>
    <col min="7428" max="7428" width="17.7109375" customWidth="1"/>
    <col min="7429" max="7429" width="16.85546875" customWidth="1"/>
    <col min="7430" max="7430" width="19.5703125" customWidth="1"/>
    <col min="7431" max="7431" width="16.7109375" customWidth="1"/>
    <col min="7432" max="7432" width="15.85546875" customWidth="1"/>
    <col min="7433" max="7433" width="16" customWidth="1"/>
    <col min="7434" max="7434" width="11.140625" bestFit="1" customWidth="1"/>
    <col min="7435" max="7435" width="13.28515625" customWidth="1"/>
    <col min="7436" max="7436" width="12" bestFit="1" customWidth="1"/>
    <col min="7437" max="7437" width="11" bestFit="1" customWidth="1"/>
    <col min="7439" max="7439" width="10.85546875" bestFit="1" customWidth="1"/>
    <col min="7440" max="7440" width="11.140625" bestFit="1" customWidth="1"/>
    <col min="7441" max="7441" width="10.7109375" bestFit="1" customWidth="1"/>
    <col min="7442" max="7442" width="12" bestFit="1" customWidth="1"/>
    <col min="7443" max="7443" width="12.28515625" bestFit="1" customWidth="1"/>
    <col min="7444" max="7444" width="11.140625" bestFit="1" customWidth="1"/>
    <col min="7445" max="7445" width="12.85546875" bestFit="1" customWidth="1"/>
    <col min="7469" max="7469" width="10.28515625" bestFit="1" customWidth="1"/>
    <col min="7470" max="7470" width="12.28515625" bestFit="1" customWidth="1"/>
    <col min="7471" max="7471" width="11.7109375" bestFit="1" customWidth="1"/>
    <col min="7472" max="7472" width="13.85546875" bestFit="1" customWidth="1"/>
    <col min="7681" max="7681" width="13.140625" bestFit="1" customWidth="1"/>
    <col min="7682" max="7682" width="9.7109375" bestFit="1" customWidth="1"/>
    <col min="7683" max="7683" width="17.42578125" customWidth="1"/>
    <col min="7684" max="7684" width="17.7109375" customWidth="1"/>
    <col min="7685" max="7685" width="16.85546875" customWidth="1"/>
    <col min="7686" max="7686" width="19.5703125" customWidth="1"/>
    <col min="7687" max="7687" width="16.7109375" customWidth="1"/>
    <col min="7688" max="7688" width="15.85546875" customWidth="1"/>
    <col min="7689" max="7689" width="16" customWidth="1"/>
    <col min="7690" max="7690" width="11.140625" bestFit="1" customWidth="1"/>
    <col min="7691" max="7691" width="13.28515625" customWidth="1"/>
    <col min="7692" max="7692" width="12" bestFit="1" customWidth="1"/>
    <col min="7693" max="7693" width="11" bestFit="1" customWidth="1"/>
    <col min="7695" max="7695" width="10.85546875" bestFit="1" customWidth="1"/>
    <col min="7696" max="7696" width="11.140625" bestFit="1" customWidth="1"/>
    <col min="7697" max="7697" width="10.7109375" bestFit="1" customWidth="1"/>
    <col min="7698" max="7698" width="12" bestFit="1" customWidth="1"/>
    <col min="7699" max="7699" width="12.28515625" bestFit="1" customWidth="1"/>
    <col min="7700" max="7700" width="11.140625" bestFit="1" customWidth="1"/>
    <col min="7701" max="7701" width="12.85546875" bestFit="1" customWidth="1"/>
    <col min="7725" max="7725" width="10.28515625" bestFit="1" customWidth="1"/>
    <col min="7726" max="7726" width="12.28515625" bestFit="1" customWidth="1"/>
    <col min="7727" max="7727" width="11.7109375" bestFit="1" customWidth="1"/>
    <col min="7728" max="7728" width="13.85546875" bestFit="1" customWidth="1"/>
    <col min="7937" max="7937" width="13.140625" bestFit="1" customWidth="1"/>
    <col min="7938" max="7938" width="9.7109375" bestFit="1" customWidth="1"/>
    <col min="7939" max="7939" width="17.42578125" customWidth="1"/>
    <col min="7940" max="7940" width="17.7109375" customWidth="1"/>
    <col min="7941" max="7941" width="16.85546875" customWidth="1"/>
    <col min="7942" max="7942" width="19.5703125" customWidth="1"/>
    <col min="7943" max="7943" width="16.7109375" customWidth="1"/>
    <col min="7944" max="7944" width="15.85546875" customWidth="1"/>
    <col min="7945" max="7945" width="16" customWidth="1"/>
    <col min="7946" max="7946" width="11.140625" bestFit="1" customWidth="1"/>
    <col min="7947" max="7947" width="13.28515625" customWidth="1"/>
    <col min="7948" max="7948" width="12" bestFit="1" customWidth="1"/>
    <col min="7949" max="7949" width="11" bestFit="1" customWidth="1"/>
    <col min="7951" max="7951" width="10.85546875" bestFit="1" customWidth="1"/>
    <col min="7952" max="7952" width="11.140625" bestFit="1" customWidth="1"/>
    <col min="7953" max="7953" width="10.7109375" bestFit="1" customWidth="1"/>
    <col min="7954" max="7954" width="12" bestFit="1" customWidth="1"/>
    <col min="7955" max="7955" width="12.28515625" bestFit="1" customWidth="1"/>
    <col min="7956" max="7956" width="11.140625" bestFit="1" customWidth="1"/>
    <col min="7957" max="7957" width="12.85546875" bestFit="1" customWidth="1"/>
    <col min="7981" max="7981" width="10.28515625" bestFit="1" customWidth="1"/>
    <col min="7982" max="7982" width="12.28515625" bestFit="1" customWidth="1"/>
    <col min="7983" max="7983" width="11.7109375" bestFit="1" customWidth="1"/>
    <col min="7984" max="7984" width="13.85546875" bestFit="1" customWidth="1"/>
    <col min="8193" max="8193" width="13.140625" bestFit="1" customWidth="1"/>
    <col min="8194" max="8194" width="9.7109375" bestFit="1" customWidth="1"/>
    <col min="8195" max="8195" width="17.42578125" customWidth="1"/>
    <col min="8196" max="8196" width="17.7109375" customWidth="1"/>
    <col min="8197" max="8197" width="16.85546875" customWidth="1"/>
    <col min="8198" max="8198" width="19.5703125" customWidth="1"/>
    <col min="8199" max="8199" width="16.7109375" customWidth="1"/>
    <col min="8200" max="8200" width="15.85546875" customWidth="1"/>
    <col min="8201" max="8201" width="16" customWidth="1"/>
    <col min="8202" max="8202" width="11.140625" bestFit="1" customWidth="1"/>
    <col min="8203" max="8203" width="13.28515625" customWidth="1"/>
    <col min="8204" max="8204" width="12" bestFit="1" customWidth="1"/>
    <col min="8205" max="8205" width="11" bestFit="1" customWidth="1"/>
    <col min="8207" max="8207" width="10.85546875" bestFit="1" customWidth="1"/>
    <col min="8208" max="8208" width="11.140625" bestFit="1" customWidth="1"/>
    <col min="8209" max="8209" width="10.7109375" bestFit="1" customWidth="1"/>
    <col min="8210" max="8210" width="12" bestFit="1" customWidth="1"/>
    <col min="8211" max="8211" width="12.28515625" bestFit="1" customWidth="1"/>
    <col min="8212" max="8212" width="11.140625" bestFit="1" customWidth="1"/>
    <col min="8213" max="8213" width="12.85546875" bestFit="1" customWidth="1"/>
    <col min="8237" max="8237" width="10.28515625" bestFit="1" customWidth="1"/>
    <col min="8238" max="8238" width="12.28515625" bestFit="1" customWidth="1"/>
    <col min="8239" max="8239" width="11.7109375" bestFit="1" customWidth="1"/>
    <col min="8240" max="8240" width="13.85546875" bestFit="1" customWidth="1"/>
    <col min="8449" max="8449" width="13.140625" bestFit="1" customWidth="1"/>
    <col min="8450" max="8450" width="9.7109375" bestFit="1" customWidth="1"/>
    <col min="8451" max="8451" width="17.42578125" customWidth="1"/>
    <col min="8452" max="8452" width="17.7109375" customWidth="1"/>
    <col min="8453" max="8453" width="16.85546875" customWidth="1"/>
    <col min="8454" max="8454" width="19.5703125" customWidth="1"/>
    <col min="8455" max="8455" width="16.7109375" customWidth="1"/>
    <col min="8456" max="8456" width="15.85546875" customWidth="1"/>
    <col min="8457" max="8457" width="16" customWidth="1"/>
    <col min="8458" max="8458" width="11.140625" bestFit="1" customWidth="1"/>
    <col min="8459" max="8459" width="13.28515625" customWidth="1"/>
    <col min="8460" max="8460" width="12" bestFit="1" customWidth="1"/>
    <col min="8461" max="8461" width="11" bestFit="1" customWidth="1"/>
    <col min="8463" max="8463" width="10.85546875" bestFit="1" customWidth="1"/>
    <col min="8464" max="8464" width="11.140625" bestFit="1" customWidth="1"/>
    <col min="8465" max="8465" width="10.7109375" bestFit="1" customWidth="1"/>
    <col min="8466" max="8466" width="12" bestFit="1" customWidth="1"/>
    <col min="8467" max="8467" width="12.28515625" bestFit="1" customWidth="1"/>
    <col min="8468" max="8468" width="11.140625" bestFit="1" customWidth="1"/>
    <col min="8469" max="8469" width="12.85546875" bestFit="1" customWidth="1"/>
    <col min="8493" max="8493" width="10.28515625" bestFit="1" customWidth="1"/>
    <col min="8494" max="8494" width="12.28515625" bestFit="1" customWidth="1"/>
    <col min="8495" max="8495" width="11.7109375" bestFit="1" customWidth="1"/>
    <col min="8496" max="8496" width="13.85546875" bestFit="1" customWidth="1"/>
    <col min="8705" max="8705" width="13.140625" bestFit="1" customWidth="1"/>
    <col min="8706" max="8706" width="9.7109375" bestFit="1" customWidth="1"/>
    <col min="8707" max="8707" width="17.42578125" customWidth="1"/>
    <col min="8708" max="8708" width="17.7109375" customWidth="1"/>
    <col min="8709" max="8709" width="16.85546875" customWidth="1"/>
    <col min="8710" max="8710" width="19.5703125" customWidth="1"/>
    <col min="8711" max="8711" width="16.7109375" customWidth="1"/>
    <col min="8712" max="8712" width="15.85546875" customWidth="1"/>
    <col min="8713" max="8713" width="16" customWidth="1"/>
    <col min="8714" max="8714" width="11.140625" bestFit="1" customWidth="1"/>
    <col min="8715" max="8715" width="13.28515625" customWidth="1"/>
    <col min="8716" max="8716" width="12" bestFit="1" customWidth="1"/>
    <col min="8717" max="8717" width="11" bestFit="1" customWidth="1"/>
    <col min="8719" max="8719" width="10.85546875" bestFit="1" customWidth="1"/>
    <col min="8720" max="8720" width="11.140625" bestFit="1" customWidth="1"/>
    <col min="8721" max="8721" width="10.7109375" bestFit="1" customWidth="1"/>
    <col min="8722" max="8722" width="12" bestFit="1" customWidth="1"/>
    <col min="8723" max="8723" width="12.28515625" bestFit="1" customWidth="1"/>
    <col min="8724" max="8724" width="11.140625" bestFit="1" customWidth="1"/>
    <col min="8725" max="8725" width="12.85546875" bestFit="1" customWidth="1"/>
    <col min="8749" max="8749" width="10.28515625" bestFit="1" customWidth="1"/>
    <col min="8750" max="8750" width="12.28515625" bestFit="1" customWidth="1"/>
    <col min="8751" max="8751" width="11.7109375" bestFit="1" customWidth="1"/>
    <col min="8752" max="8752" width="13.85546875" bestFit="1" customWidth="1"/>
    <col min="8961" max="8961" width="13.140625" bestFit="1" customWidth="1"/>
    <col min="8962" max="8962" width="9.7109375" bestFit="1" customWidth="1"/>
    <col min="8963" max="8963" width="17.42578125" customWidth="1"/>
    <col min="8964" max="8964" width="17.7109375" customWidth="1"/>
    <col min="8965" max="8965" width="16.85546875" customWidth="1"/>
    <col min="8966" max="8966" width="19.5703125" customWidth="1"/>
    <col min="8967" max="8967" width="16.7109375" customWidth="1"/>
    <col min="8968" max="8968" width="15.85546875" customWidth="1"/>
    <col min="8969" max="8969" width="16" customWidth="1"/>
    <col min="8970" max="8970" width="11.140625" bestFit="1" customWidth="1"/>
    <col min="8971" max="8971" width="13.28515625" customWidth="1"/>
    <col min="8972" max="8972" width="12" bestFit="1" customWidth="1"/>
    <col min="8973" max="8973" width="11" bestFit="1" customWidth="1"/>
    <col min="8975" max="8975" width="10.85546875" bestFit="1" customWidth="1"/>
    <col min="8976" max="8976" width="11.140625" bestFit="1" customWidth="1"/>
    <col min="8977" max="8977" width="10.7109375" bestFit="1" customWidth="1"/>
    <col min="8978" max="8978" width="12" bestFit="1" customWidth="1"/>
    <col min="8979" max="8979" width="12.28515625" bestFit="1" customWidth="1"/>
    <col min="8980" max="8980" width="11.140625" bestFit="1" customWidth="1"/>
    <col min="8981" max="8981" width="12.85546875" bestFit="1" customWidth="1"/>
    <col min="9005" max="9005" width="10.28515625" bestFit="1" customWidth="1"/>
    <col min="9006" max="9006" width="12.28515625" bestFit="1" customWidth="1"/>
    <col min="9007" max="9007" width="11.7109375" bestFit="1" customWidth="1"/>
    <col min="9008" max="9008" width="13.85546875" bestFit="1" customWidth="1"/>
    <col min="9217" max="9217" width="13.140625" bestFit="1" customWidth="1"/>
    <col min="9218" max="9218" width="9.7109375" bestFit="1" customWidth="1"/>
    <col min="9219" max="9219" width="17.42578125" customWidth="1"/>
    <col min="9220" max="9220" width="17.7109375" customWidth="1"/>
    <col min="9221" max="9221" width="16.85546875" customWidth="1"/>
    <col min="9222" max="9222" width="19.5703125" customWidth="1"/>
    <col min="9223" max="9223" width="16.7109375" customWidth="1"/>
    <col min="9224" max="9224" width="15.85546875" customWidth="1"/>
    <col min="9225" max="9225" width="16" customWidth="1"/>
    <col min="9226" max="9226" width="11.140625" bestFit="1" customWidth="1"/>
    <col min="9227" max="9227" width="13.28515625" customWidth="1"/>
    <col min="9228" max="9228" width="12" bestFit="1" customWidth="1"/>
    <col min="9229" max="9229" width="11" bestFit="1" customWidth="1"/>
    <col min="9231" max="9231" width="10.85546875" bestFit="1" customWidth="1"/>
    <col min="9232" max="9232" width="11.140625" bestFit="1" customWidth="1"/>
    <col min="9233" max="9233" width="10.7109375" bestFit="1" customWidth="1"/>
    <col min="9234" max="9234" width="12" bestFit="1" customWidth="1"/>
    <col min="9235" max="9235" width="12.28515625" bestFit="1" customWidth="1"/>
    <col min="9236" max="9236" width="11.140625" bestFit="1" customWidth="1"/>
    <col min="9237" max="9237" width="12.85546875" bestFit="1" customWidth="1"/>
    <col min="9261" max="9261" width="10.28515625" bestFit="1" customWidth="1"/>
    <col min="9262" max="9262" width="12.28515625" bestFit="1" customWidth="1"/>
    <col min="9263" max="9263" width="11.7109375" bestFit="1" customWidth="1"/>
    <col min="9264" max="9264" width="13.85546875" bestFit="1" customWidth="1"/>
    <col min="9473" max="9473" width="13.140625" bestFit="1" customWidth="1"/>
    <col min="9474" max="9474" width="9.7109375" bestFit="1" customWidth="1"/>
    <col min="9475" max="9475" width="17.42578125" customWidth="1"/>
    <col min="9476" max="9476" width="17.7109375" customWidth="1"/>
    <col min="9477" max="9477" width="16.85546875" customWidth="1"/>
    <col min="9478" max="9478" width="19.5703125" customWidth="1"/>
    <col min="9479" max="9479" width="16.7109375" customWidth="1"/>
    <col min="9480" max="9480" width="15.85546875" customWidth="1"/>
    <col min="9481" max="9481" width="16" customWidth="1"/>
    <col min="9482" max="9482" width="11.140625" bestFit="1" customWidth="1"/>
    <col min="9483" max="9483" width="13.28515625" customWidth="1"/>
    <col min="9484" max="9484" width="12" bestFit="1" customWidth="1"/>
    <col min="9485" max="9485" width="11" bestFit="1" customWidth="1"/>
    <col min="9487" max="9487" width="10.85546875" bestFit="1" customWidth="1"/>
    <col min="9488" max="9488" width="11.140625" bestFit="1" customWidth="1"/>
    <col min="9489" max="9489" width="10.7109375" bestFit="1" customWidth="1"/>
    <col min="9490" max="9490" width="12" bestFit="1" customWidth="1"/>
    <col min="9491" max="9491" width="12.28515625" bestFit="1" customWidth="1"/>
    <col min="9492" max="9492" width="11.140625" bestFit="1" customWidth="1"/>
    <col min="9493" max="9493" width="12.85546875" bestFit="1" customWidth="1"/>
    <col min="9517" max="9517" width="10.28515625" bestFit="1" customWidth="1"/>
    <col min="9518" max="9518" width="12.28515625" bestFit="1" customWidth="1"/>
    <col min="9519" max="9519" width="11.7109375" bestFit="1" customWidth="1"/>
    <col min="9520" max="9520" width="13.85546875" bestFit="1" customWidth="1"/>
    <col min="9729" max="9729" width="13.140625" bestFit="1" customWidth="1"/>
    <col min="9730" max="9730" width="9.7109375" bestFit="1" customWidth="1"/>
    <col min="9731" max="9731" width="17.42578125" customWidth="1"/>
    <col min="9732" max="9732" width="17.7109375" customWidth="1"/>
    <col min="9733" max="9733" width="16.85546875" customWidth="1"/>
    <col min="9734" max="9734" width="19.5703125" customWidth="1"/>
    <col min="9735" max="9735" width="16.7109375" customWidth="1"/>
    <col min="9736" max="9736" width="15.85546875" customWidth="1"/>
    <col min="9737" max="9737" width="16" customWidth="1"/>
    <col min="9738" max="9738" width="11.140625" bestFit="1" customWidth="1"/>
    <col min="9739" max="9739" width="13.28515625" customWidth="1"/>
    <col min="9740" max="9740" width="12" bestFit="1" customWidth="1"/>
    <col min="9741" max="9741" width="11" bestFit="1" customWidth="1"/>
    <col min="9743" max="9743" width="10.85546875" bestFit="1" customWidth="1"/>
    <col min="9744" max="9744" width="11.140625" bestFit="1" customWidth="1"/>
    <col min="9745" max="9745" width="10.7109375" bestFit="1" customWidth="1"/>
    <col min="9746" max="9746" width="12" bestFit="1" customWidth="1"/>
    <col min="9747" max="9747" width="12.28515625" bestFit="1" customWidth="1"/>
    <col min="9748" max="9748" width="11.140625" bestFit="1" customWidth="1"/>
    <col min="9749" max="9749" width="12.85546875" bestFit="1" customWidth="1"/>
    <col min="9773" max="9773" width="10.28515625" bestFit="1" customWidth="1"/>
    <col min="9774" max="9774" width="12.28515625" bestFit="1" customWidth="1"/>
    <col min="9775" max="9775" width="11.7109375" bestFit="1" customWidth="1"/>
    <col min="9776" max="9776" width="13.85546875" bestFit="1" customWidth="1"/>
    <col min="9985" max="9985" width="13.140625" bestFit="1" customWidth="1"/>
    <col min="9986" max="9986" width="9.7109375" bestFit="1" customWidth="1"/>
    <col min="9987" max="9987" width="17.42578125" customWidth="1"/>
    <col min="9988" max="9988" width="17.7109375" customWidth="1"/>
    <col min="9989" max="9989" width="16.85546875" customWidth="1"/>
    <col min="9990" max="9990" width="19.5703125" customWidth="1"/>
    <col min="9991" max="9991" width="16.7109375" customWidth="1"/>
    <col min="9992" max="9992" width="15.85546875" customWidth="1"/>
    <col min="9993" max="9993" width="16" customWidth="1"/>
    <col min="9994" max="9994" width="11.140625" bestFit="1" customWidth="1"/>
    <col min="9995" max="9995" width="13.28515625" customWidth="1"/>
    <col min="9996" max="9996" width="12" bestFit="1" customWidth="1"/>
    <col min="9997" max="9997" width="11" bestFit="1" customWidth="1"/>
    <col min="9999" max="9999" width="10.85546875" bestFit="1" customWidth="1"/>
    <col min="10000" max="10000" width="11.140625" bestFit="1" customWidth="1"/>
    <col min="10001" max="10001" width="10.7109375" bestFit="1" customWidth="1"/>
    <col min="10002" max="10002" width="12" bestFit="1" customWidth="1"/>
    <col min="10003" max="10003" width="12.28515625" bestFit="1" customWidth="1"/>
    <col min="10004" max="10004" width="11.140625" bestFit="1" customWidth="1"/>
    <col min="10005" max="10005" width="12.85546875" bestFit="1" customWidth="1"/>
    <col min="10029" max="10029" width="10.28515625" bestFit="1" customWidth="1"/>
    <col min="10030" max="10030" width="12.28515625" bestFit="1" customWidth="1"/>
    <col min="10031" max="10031" width="11.7109375" bestFit="1" customWidth="1"/>
    <col min="10032" max="10032" width="13.85546875" bestFit="1" customWidth="1"/>
    <col min="10241" max="10241" width="13.140625" bestFit="1" customWidth="1"/>
    <col min="10242" max="10242" width="9.7109375" bestFit="1" customWidth="1"/>
    <col min="10243" max="10243" width="17.42578125" customWidth="1"/>
    <col min="10244" max="10244" width="17.7109375" customWidth="1"/>
    <col min="10245" max="10245" width="16.85546875" customWidth="1"/>
    <col min="10246" max="10246" width="19.5703125" customWidth="1"/>
    <col min="10247" max="10247" width="16.7109375" customWidth="1"/>
    <col min="10248" max="10248" width="15.85546875" customWidth="1"/>
    <col min="10249" max="10249" width="16" customWidth="1"/>
    <col min="10250" max="10250" width="11.140625" bestFit="1" customWidth="1"/>
    <col min="10251" max="10251" width="13.28515625" customWidth="1"/>
    <col min="10252" max="10252" width="12" bestFit="1" customWidth="1"/>
    <col min="10253" max="10253" width="11" bestFit="1" customWidth="1"/>
    <col min="10255" max="10255" width="10.85546875" bestFit="1" customWidth="1"/>
    <col min="10256" max="10256" width="11.140625" bestFit="1" customWidth="1"/>
    <col min="10257" max="10257" width="10.7109375" bestFit="1" customWidth="1"/>
    <col min="10258" max="10258" width="12" bestFit="1" customWidth="1"/>
    <col min="10259" max="10259" width="12.28515625" bestFit="1" customWidth="1"/>
    <col min="10260" max="10260" width="11.140625" bestFit="1" customWidth="1"/>
    <col min="10261" max="10261" width="12.85546875" bestFit="1" customWidth="1"/>
    <col min="10285" max="10285" width="10.28515625" bestFit="1" customWidth="1"/>
    <col min="10286" max="10286" width="12.28515625" bestFit="1" customWidth="1"/>
    <col min="10287" max="10287" width="11.7109375" bestFit="1" customWidth="1"/>
    <col min="10288" max="10288" width="13.85546875" bestFit="1" customWidth="1"/>
    <col min="10497" max="10497" width="13.140625" bestFit="1" customWidth="1"/>
    <col min="10498" max="10498" width="9.7109375" bestFit="1" customWidth="1"/>
    <col min="10499" max="10499" width="17.42578125" customWidth="1"/>
    <col min="10500" max="10500" width="17.7109375" customWidth="1"/>
    <col min="10501" max="10501" width="16.85546875" customWidth="1"/>
    <col min="10502" max="10502" width="19.5703125" customWidth="1"/>
    <col min="10503" max="10503" width="16.7109375" customWidth="1"/>
    <col min="10504" max="10504" width="15.85546875" customWidth="1"/>
    <col min="10505" max="10505" width="16" customWidth="1"/>
    <col min="10506" max="10506" width="11.140625" bestFit="1" customWidth="1"/>
    <col min="10507" max="10507" width="13.28515625" customWidth="1"/>
    <col min="10508" max="10508" width="12" bestFit="1" customWidth="1"/>
    <col min="10509" max="10509" width="11" bestFit="1" customWidth="1"/>
    <col min="10511" max="10511" width="10.85546875" bestFit="1" customWidth="1"/>
    <col min="10512" max="10512" width="11.140625" bestFit="1" customWidth="1"/>
    <col min="10513" max="10513" width="10.7109375" bestFit="1" customWidth="1"/>
    <col min="10514" max="10514" width="12" bestFit="1" customWidth="1"/>
    <col min="10515" max="10515" width="12.28515625" bestFit="1" customWidth="1"/>
    <col min="10516" max="10516" width="11.140625" bestFit="1" customWidth="1"/>
    <col min="10517" max="10517" width="12.85546875" bestFit="1" customWidth="1"/>
    <col min="10541" max="10541" width="10.28515625" bestFit="1" customWidth="1"/>
    <col min="10542" max="10542" width="12.28515625" bestFit="1" customWidth="1"/>
    <col min="10543" max="10543" width="11.7109375" bestFit="1" customWidth="1"/>
    <col min="10544" max="10544" width="13.85546875" bestFit="1" customWidth="1"/>
    <col min="10753" max="10753" width="13.140625" bestFit="1" customWidth="1"/>
    <col min="10754" max="10754" width="9.7109375" bestFit="1" customWidth="1"/>
    <col min="10755" max="10755" width="17.42578125" customWidth="1"/>
    <col min="10756" max="10756" width="17.7109375" customWidth="1"/>
    <col min="10757" max="10757" width="16.85546875" customWidth="1"/>
    <col min="10758" max="10758" width="19.5703125" customWidth="1"/>
    <col min="10759" max="10759" width="16.7109375" customWidth="1"/>
    <col min="10760" max="10760" width="15.85546875" customWidth="1"/>
    <col min="10761" max="10761" width="16" customWidth="1"/>
    <col min="10762" max="10762" width="11.140625" bestFit="1" customWidth="1"/>
    <col min="10763" max="10763" width="13.28515625" customWidth="1"/>
    <col min="10764" max="10764" width="12" bestFit="1" customWidth="1"/>
    <col min="10765" max="10765" width="11" bestFit="1" customWidth="1"/>
    <col min="10767" max="10767" width="10.85546875" bestFit="1" customWidth="1"/>
    <col min="10768" max="10768" width="11.140625" bestFit="1" customWidth="1"/>
    <col min="10769" max="10769" width="10.7109375" bestFit="1" customWidth="1"/>
    <col min="10770" max="10770" width="12" bestFit="1" customWidth="1"/>
    <col min="10771" max="10771" width="12.28515625" bestFit="1" customWidth="1"/>
    <col min="10772" max="10772" width="11.140625" bestFit="1" customWidth="1"/>
    <col min="10773" max="10773" width="12.85546875" bestFit="1" customWidth="1"/>
    <col min="10797" max="10797" width="10.28515625" bestFit="1" customWidth="1"/>
    <col min="10798" max="10798" width="12.28515625" bestFit="1" customWidth="1"/>
    <col min="10799" max="10799" width="11.7109375" bestFit="1" customWidth="1"/>
    <col min="10800" max="10800" width="13.85546875" bestFit="1" customWidth="1"/>
    <col min="11009" max="11009" width="13.140625" bestFit="1" customWidth="1"/>
    <col min="11010" max="11010" width="9.7109375" bestFit="1" customWidth="1"/>
    <col min="11011" max="11011" width="17.42578125" customWidth="1"/>
    <col min="11012" max="11012" width="17.7109375" customWidth="1"/>
    <col min="11013" max="11013" width="16.85546875" customWidth="1"/>
    <col min="11014" max="11014" width="19.5703125" customWidth="1"/>
    <col min="11015" max="11015" width="16.7109375" customWidth="1"/>
    <col min="11016" max="11016" width="15.85546875" customWidth="1"/>
    <col min="11017" max="11017" width="16" customWidth="1"/>
    <col min="11018" max="11018" width="11.140625" bestFit="1" customWidth="1"/>
    <col min="11019" max="11019" width="13.28515625" customWidth="1"/>
    <col min="11020" max="11020" width="12" bestFit="1" customWidth="1"/>
    <col min="11021" max="11021" width="11" bestFit="1" customWidth="1"/>
    <col min="11023" max="11023" width="10.85546875" bestFit="1" customWidth="1"/>
    <col min="11024" max="11024" width="11.140625" bestFit="1" customWidth="1"/>
    <col min="11025" max="11025" width="10.7109375" bestFit="1" customWidth="1"/>
    <col min="11026" max="11026" width="12" bestFit="1" customWidth="1"/>
    <col min="11027" max="11027" width="12.28515625" bestFit="1" customWidth="1"/>
    <col min="11028" max="11028" width="11.140625" bestFit="1" customWidth="1"/>
    <col min="11029" max="11029" width="12.85546875" bestFit="1" customWidth="1"/>
    <col min="11053" max="11053" width="10.28515625" bestFit="1" customWidth="1"/>
    <col min="11054" max="11054" width="12.28515625" bestFit="1" customWidth="1"/>
    <col min="11055" max="11055" width="11.7109375" bestFit="1" customWidth="1"/>
    <col min="11056" max="11056" width="13.85546875" bestFit="1" customWidth="1"/>
    <col min="11265" max="11265" width="13.140625" bestFit="1" customWidth="1"/>
    <col min="11266" max="11266" width="9.7109375" bestFit="1" customWidth="1"/>
    <col min="11267" max="11267" width="17.42578125" customWidth="1"/>
    <col min="11268" max="11268" width="17.7109375" customWidth="1"/>
    <col min="11269" max="11269" width="16.85546875" customWidth="1"/>
    <col min="11270" max="11270" width="19.5703125" customWidth="1"/>
    <col min="11271" max="11271" width="16.7109375" customWidth="1"/>
    <col min="11272" max="11272" width="15.85546875" customWidth="1"/>
    <col min="11273" max="11273" width="16" customWidth="1"/>
    <col min="11274" max="11274" width="11.140625" bestFit="1" customWidth="1"/>
    <col min="11275" max="11275" width="13.28515625" customWidth="1"/>
    <col min="11276" max="11276" width="12" bestFit="1" customWidth="1"/>
    <col min="11277" max="11277" width="11" bestFit="1" customWidth="1"/>
    <col min="11279" max="11279" width="10.85546875" bestFit="1" customWidth="1"/>
    <col min="11280" max="11280" width="11.140625" bestFit="1" customWidth="1"/>
    <col min="11281" max="11281" width="10.7109375" bestFit="1" customWidth="1"/>
    <col min="11282" max="11282" width="12" bestFit="1" customWidth="1"/>
    <col min="11283" max="11283" width="12.28515625" bestFit="1" customWidth="1"/>
    <col min="11284" max="11284" width="11.140625" bestFit="1" customWidth="1"/>
    <col min="11285" max="11285" width="12.85546875" bestFit="1" customWidth="1"/>
    <col min="11309" max="11309" width="10.28515625" bestFit="1" customWidth="1"/>
    <col min="11310" max="11310" width="12.28515625" bestFit="1" customWidth="1"/>
    <col min="11311" max="11311" width="11.7109375" bestFit="1" customWidth="1"/>
    <col min="11312" max="11312" width="13.85546875" bestFit="1" customWidth="1"/>
    <col min="11521" max="11521" width="13.140625" bestFit="1" customWidth="1"/>
    <col min="11522" max="11522" width="9.7109375" bestFit="1" customWidth="1"/>
    <col min="11523" max="11523" width="17.42578125" customWidth="1"/>
    <col min="11524" max="11524" width="17.7109375" customWidth="1"/>
    <col min="11525" max="11525" width="16.85546875" customWidth="1"/>
    <col min="11526" max="11526" width="19.5703125" customWidth="1"/>
    <col min="11527" max="11527" width="16.7109375" customWidth="1"/>
    <col min="11528" max="11528" width="15.85546875" customWidth="1"/>
    <col min="11529" max="11529" width="16" customWidth="1"/>
    <col min="11530" max="11530" width="11.140625" bestFit="1" customWidth="1"/>
    <col min="11531" max="11531" width="13.28515625" customWidth="1"/>
    <col min="11532" max="11532" width="12" bestFit="1" customWidth="1"/>
    <col min="11533" max="11533" width="11" bestFit="1" customWidth="1"/>
    <col min="11535" max="11535" width="10.85546875" bestFit="1" customWidth="1"/>
    <col min="11536" max="11536" width="11.140625" bestFit="1" customWidth="1"/>
    <col min="11537" max="11537" width="10.7109375" bestFit="1" customWidth="1"/>
    <col min="11538" max="11538" width="12" bestFit="1" customWidth="1"/>
    <col min="11539" max="11539" width="12.28515625" bestFit="1" customWidth="1"/>
    <col min="11540" max="11540" width="11.140625" bestFit="1" customWidth="1"/>
    <col min="11541" max="11541" width="12.85546875" bestFit="1" customWidth="1"/>
    <col min="11565" max="11565" width="10.28515625" bestFit="1" customWidth="1"/>
    <col min="11566" max="11566" width="12.28515625" bestFit="1" customWidth="1"/>
    <col min="11567" max="11567" width="11.7109375" bestFit="1" customWidth="1"/>
    <col min="11568" max="11568" width="13.85546875" bestFit="1" customWidth="1"/>
    <col min="11777" max="11777" width="13.140625" bestFit="1" customWidth="1"/>
    <col min="11778" max="11778" width="9.7109375" bestFit="1" customWidth="1"/>
    <col min="11779" max="11779" width="17.42578125" customWidth="1"/>
    <col min="11780" max="11780" width="17.7109375" customWidth="1"/>
    <col min="11781" max="11781" width="16.85546875" customWidth="1"/>
    <col min="11782" max="11782" width="19.5703125" customWidth="1"/>
    <col min="11783" max="11783" width="16.7109375" customWidth="1"/>
    <col min="11784" max="11784" width="15.85546875" customWidth="1"/>
    <col min="11785" max="11785" width="16" customWidth="1"/>
    <col min="11786" max="11786" width="11.140625" bestFit="1" customWidth="1"/>
    <col min="11787" max="11787" width="13.28515625" customWidth="1"/>
    <col min="11788" max="11788" width="12" bestFit="1" customWidth="1"/>
    <col min="11789" max="11789" width="11" bestFit="1" customWidth="1"/>
    <col min="11791" max="11791" width="10.85546875" bestFit="1" customWidth="1"/>
    <col min="11792" max="11792" width="11.140625" bestFit="1" customWidth="1"/>
    <col min="11793" max="11793" width="10.7109375" bestFit="1" customWidth="1"/>
    <col min="11794" max="11794" width="12" bestFit="1" customWidth="1"/>
    <col min="11795" max="11795" width="12.28515625" bestFit="1" customWidth="1"/>
    <col min="11796" max="11796" width="11.140625" bestFit="1" customWidth="1"/>
    <col min="11797" max="11797" width="12.85546875" bestFit="1" customWidth="1"/>
    <col min="11821" max="11821" width="10.28515625" bestFit="1" customWidth="1"/>
    <col min="11822" max="11822" width="12.28515625" bestFit="1" customWidth="1"/>
    <col min="11823" max="11823" width="11.7109375" bestFit="1" customWidth="1"/>
    <col min="11824" max="11824" width="13.85546875" bestFit="1" customWidth="1"/>
    <col min="12033" max="12033" width="13.140625" bestFit="1" customWidth="1"/>
    <col min="12034" max="12034" width="9.7109375" bestFit="1" customWidth="1"/>
    <col min="12035" max="12035" width="17.42578125" customWidth="1"/>
    <col min="12036" max="12036" width="17.7109375" customWidth="1"/>
    <col min="12037" max="12037" width="16.85546875" customWidth="1"/>
    <col min="12038" max="12038" width="19.5703125" customWidth="1"/>
    <col min="12039" max="12039" width="16.7109375" customWidth="1"/>
    <col min="12040" max="12040" width="15.85546875" customWidth="1"/>
    <col min="12041" max="12041" width="16" customWidth="1"/>
    <col min="12042" max="12042" width="11.140625" bestFit="1" customWidth="1"/>
    <col min="12043" max="12043" width="13.28515625" customWidth="1"/>
    <col min="12044" max="12044" width="12" bestFit="1" customWidth="1"/>
    <col min="12045" max="12045" width="11" bestFit="1" customWidth="1"/>
    <col min="12047" max="12047" width="10.85546875" bestFit="1" customWidth="1"/>
    <col min="12048" max="12048" width="11.140625" bestFit="1" customWidth="1"/>
    <col min="12049" max="12049" width="10.7109375" bestFit="1" customWidth="1"/>
    <col min="12050" max="12050" width="12" bestFit="1" customWidth="1"/>
    <col min="12051" max="12051" width="12.28515625" bestFit="1" customWidth="1"/>
    <col min="12052" max="12052" width="11.140625" bestFit="1" customWidth="1"/>
    <col min="12053" max="12053" width="12.85546875" bestFit="1" customWidth="1"/>
    <col min="12077" max="12077" width="10.28515625" bestFit="1" customWidth="1"/>
    <col min="12078" max="12078" width="12.28515625" bestFit="1" customWidth="1"/>
    <col min="12079" max="12079" width="11.7109375" bestFit="1" customWidth="1"/>
    <col min="12080" max="12080" width="13.85546875" bestFit="1" customWidth="1"/>
    <col min="12289" max="12289" width="13.140625" bestFit="1" customWidth="1"/>
    <col min="12290" max="12290" width="9.7109375" bestFit="1" customWidth="1"/>
    <col min="12291" max="12291" width="17.42578125" customWidth="1"/>
    <col min="12292" max="12292" width="17.7109375" customWidth="1"/>
    <col min="12293" max="12293" width="16.85546875" customWidth="1"/>
    <col min="12294" max="12294" width="19.5703125" customWidth="1"/>
    <col min="12295" max="12295" width="16.7109375" customWidth="1"/>
    <col min="12296" max="12296" width="15.85546875" customWidth="1"/>
    <col min="12297" max="12297" width="16" customWidth="1"/>
    <col min="12298" max="12298" width="11.140625" bestFit="1" customWidth="1"/>
    <col min="12299" max="12299" width="13.28515625" customWidth="1"/>
    <col min="12300" max="12300" width="12" bestFit="1" customWidth="1"/>
    <col min="12301" max="12301" width="11" bestFit="1" customWidth="1"/>
    <col min="12303" max="12303" width="10.85546875" bestFit="1" customWidth="1"/>
    <col min="12304" max="12304" width="11.140625" bestFit="1" customWidth="1"/>
    <col min="12305" max="12305" width="10.7109375" bestFit="1" customWidth="1"/>
    <col min="12306" max="12306" width="12" bestFit="1" customWidth="1"/>
    <col min="12307" max="12307" width="12.28515625" bestFit="1" customWidth="1"/>
    <col min="12308" max="12308" width="11.140625" bestFit="1" customWidth="1"/>
    <col min="12309" max="12309" width="12.85546875" bestFit="1" customWidth="1"/>
    <col min="12333" max="12333" width="10.28515625" bestFit="1" customWidth="1"/>
    <col min="12334" max="12334" width="12.28515625" bestFit="1" customWidth="1"/>
    <col min="12335" max="12335" width="11.7109375" bestFit="1" customWidth="1"/>
    <col min="12336" max="12336" width="13.85546875" bestFit="1" customWidth="1"/>
    <col min="12545" max="12545" width="13.140625" bestFit="1" customWidth="1"/>
    <col min="12546" max="12546" width="9.7109375" bestFit="1" customWidth="1"/>
    <col min="12547" max="12547" width="17.42578125" customWidth="1"/>
    <col min="12548" max="12548" width="17.7109375" customWidth="1"/>
    <col min="12549" max="12549" width="16.85546875" customWidth="1"/>
    <col min="12550" max="12550" width="19.5703125" customWidth="1"/>
    <col min="12551" max="12551" width="16.7109375" customWidth="1"/>
    <col min="12552" max="12552" width="15.85546875" customWidth="1"/>
    <col min="12553" max="12553" width="16" customWidth="1"/>
    <col min="12554" max="12554" width="11.140625" bestFit="1" customWidth="1"/>
    <col min="12555" max="12555" width="13.28515625" customWidth="1"/>
    <col min="12556" max="12556" width="12" bestFit="1" customWidth="1"/>
    <col min="12557" max="12557" width="11" bestFit="1" customWidth="1"/>
    <col min="12559" max="12559" width="10.85546875" bestFit="1" customWidth="1"/>
    <col min="12560" max="12560" width="11.140625" bestFit="1" customWidth="1"/>
    <col min="12561" max="12561" width="10.7109375" bestFit="1" customWidth="1"/>
    <col min="12562" max="12562" width="12" bestFit="1" customWidth="1"/>
    <col min="12563" max="12563" width="12.28515625" bestFit="1" customWidth="1"/>
    <col min="12564" max="12564" width="11.140625" bestFit="1" customWidth="1"/>
    <col min="12565" max="12565" width="12.85546875" bestFit="1" customWidth="1"/>
    <col min="12589" max="12589" width="10.28515625" bestFit="1" customWidth="1"/>
    <col min="12590" max="12590" width="12.28515625" bestFit="1" customWidth="1"/>
    <col min="12591" max="12591" width="11.7109375" bestFit="1" customWidth="1"/>
    <col min="12592" max="12592" width="13.85546875" bestFit="1" customWidth="1"/>
    <col min="12801" max="12801" width="13.140625" bestFit="1" customWidth="1"/>
    <col min="12802" max="12802" width="9.7109375" bestFit="1" customWidth="1"/>
    <col min="12803" max="12803" width="17.42578125" customWidth="1"/>
    <col min="12804" max="12804" width="17.7109375" customWidth="1"/>
    <col min="12805" max="12805" width="16.85546875" customWidth="1"/>
    <col min="12806" max="12806" width="19.5703125" customWidth="1"/>
    <col min="12807" max="12807" width="16.7109375" customWidth="1"/>
    <col min="12808" max="12808" width="15.85546875" customWidth="1"/>
    <col min="12809" max="12809" width="16" customWidth="1"/>
    <col min="12810" max="12810" width="11.140625" bestFit="1" customWidth="1"/>
    <col min="12811" max="12811" width="13.28515625" customWidth="1"/>
    <col min="12812" max="12812" width="12" bestFit="1" customWidth="1"/>
    <col min="12813" max="12813" width="11" bestFit="1" customWidth="1"/>
    <col min="12815" max="12815" width="10.85546875" bestFit="1" customWidth="1"/>
    <col min="12816" max="12816" width="11.140625" bestFit="1" customWidth="1"/>
    <col min="12817" max="12817" width="10.7109375" bestFit="1" customWidth="1"/>
    <col min="12818" max="12818" width="12" bestFit="1" customWidth="1"/>
    <col min="12819" max="12819" width="12.28515625" bestFit="1" customWidth="1"/>
    <col min="12820" max="12820" width="11.140625" bestFit="1" customWidth="1"/>
    <col min="12821" max="12821" width="12.85546875" bestFit="1" customWidth="1"/>
    <col min="12845" max="12845" width="10.28515625" bestFit="1" customWidth="1"/>
    <col min="12846" max="12846" width="12.28515625" bestFit="1" customWidth="1"/>
    <col min="12847" max="12847" width="11.7109375" bestFit="1" customWidth="1"/>
    <col min="12848" max="12848" width="13.85546875" bestFit="1" customWidth="1"/>
    <col min="13057" max="13057" width="13.140625" bestFit="1" customWidth="1"/>
    <col min="13058" max="13058" width="9.7109375" bestFit="1" customWidth="1"/>
    <col min="13059" max="13059" width="17.42578125" customWidth="1"/>
    <col min="13060" max="13060" width="17.7109375" customWidth="1"/>
    <col min="13061" max="13061" width="16.85546875" customWidth="1"/>
    <col min="13062" max="13062" width="19.5703125" customWidth="1"/>
    <col min="13063" max="13063" width="16.7109375" customWidth="1"/>
    <col min="13064" max="13064" width="15.85546875" customWidth="1"/>
    <col min="13065" max="13065" width="16" customWidth="1"/>
    <col min="13066" max="13066" width="11.140625" bestFit="1" customWidth="1"/>
    <col min="13067" max="13067" width="13.28515625" customWidth="1"/>
    <col min="13068" max="13068" width="12" bestFit="1" customWidth="1"/>
    <col min="13069" max="13069" width="11" bestFit="1" customWidth="1"/>
    <col min="13071" max="13071" width="10.85546875" bestFit="1" customWidth="1"/>
    <col min="13072" max="13072" width="11.140625" bestFit="1" customWidth="1"/>
    <col min="13073" max="13073" width="10.7109375" bestFit="1" customWidth="1"/>
    <col min="13074" max="13074" width="12" bestFit="1" customWidth="1"/>
    <col min="13075" max="13075" width="12.28515625" bestFit="1" customWidth="1"/>
    <col min="13076" max="13076" width="11.140625" bestFit="1" customWidth="1"/>
    <col min="13077" max="13077" width="12.85546875" bestFit="1" customWidth="1"/>
    <col min="13101" max="13101" width="10.28515625" bestFit="1" customWidth="1"/>
    <col min="13102" max="13102" width="12.28515625" bestFit="1" customWidth="1"/>
    <col min="13103" max="13103" width="11.7109375" bestFit="1" customWidth="1"/>
    <col min="13104" max="13104" width="13.85546875" bestFit="1" customWidth="1"/>
    <col min="13313" max="13313" width="13.140625" bestFit="1" customWidth="1"/>
    <col min="13314" max="13314" width="9.7109375" bestFit="1" customWidth="1"/>
    <col min="13315" max="13315" width="17.42578125" customWidth="1"/>
    <col min="13316" max="13316" width="17.7109375" customWidth="1"/>
    <col min="13317" max="13317" width="16.85546875" customWidth="1"/>
    <col min="13318" max="13318" width="19.5703125" customWidth="1"/>
    <col min="13319" max="13319" width="16.7109375" customWidth="1"/>
    <col min="13320" max="13320" width="15.85546875" customWidth="1"/>
    <col min="13321" max="13321" width="16" customWidth="1"/>
    <col min="13322" max="13322" width="11.140625" bestFit="1" customWidth="1"/>
    <col min="13323" max="13323" width="13.28515625" customWidth="1"/>
    <col min="13324" max="13324" width="12" bestFit="1" customWidth="1"/>
    <col min="13325" max="13325" width="11" bestFit="1" customWidth="1"/>
    <col min="13327" max="13327" width="10.85546875" bestFit="1" customWidth="1"/>
    <col min="13328" max="13328" width="11.140625" bestFit="1" customWidth="1"/>
    <col min="13329" max="13329" width="10.7109375" bestFit="1" customWidth="1"/>
    <col min="13330" max="13330" width="12" bestFit="1" customWidth="1"/>
    <col min="13331" max="13331" width="12.28515625" bestFit="1" customWidth="1"/>
    <col min="13332" max="13332" width="11.140625" bestFit="1" customWidth="1"/>
    <col min="13333" max="13333" width="12.85546875" bestFit="1" customWidth="1"/>
    <col min="13357" max="13357" width="10.28515625" bestFit="1" customWidth="1"/>
    <col min="13358" max="13358" width="12.28515625" bestFit="1" customWidth="1"/>
    <col min="13359" max="13359" width="11.7109375" bestFit="1" customWidth="1"/>
    <col min="13360" max="13360" width="13.85546875" bestFit="1" customWidth="1"/>
    <col min="13569" max="13569" width="13.140625" bestFit="1" customWidth="1"/>
    <col min="13570" max="13570" width="9.7109375" bestFit="1" customWidth="1"/>
    <col min="13571" max="13571" width="17.42578125" customWidth="1"/>
    <col min="13572" max="13572" width="17.7109375" customWidth="1"/>
    <col min="13573" max="13573" width="16.85546875" customWidth="1"/>
    <col min="13574" max="13574" width="19.5703125" customWidth="1"/>
    <col min="13575" max="13575" width="16.7109375" customWidth="1"/>
    <col min="13576" max="13576" width="15.85546875" customWidth="1"/>
    <col min="13577" max="13577" width="16" customWidth="1"/>
    <col min="13578" max="13578" width="11.140625" bestFit="1" customWidth="1"/>
    <col min="13579" max="13579" width="13.28515625" customWidth="1"/>
    <col min="13580" max="13580" width="12" bestFit="1" customWidth="1"/>
    <col min="13581" max="13581" width="11" bestFit="1" customWidth="1"/>
    <col min="13583" max="13583" width="10.85546875" bestFit="1" customWidth="1"/>
    <col min="13584" max="13584" width="11.140625" bestFit="1" customWidth="1"/>
    <col min="13585" max="13585" width="10.7109375" bestFit="1" customWidth="1"/>
    <col min="13586" max="13586" width="12" bestFit="1" customWidth="1"/>
    <col min="13587" max="13587" width="12.28515625" bestFit="1" customWidth="1"/>
    <col min="13588" max="13588" width="11.140625" bestFit="1" customWidth="1"/>
    <col min="13589" max="13589" width="12.85546875" bestFit="1" customWidth="1"/>
    <col min="13613" max="13613" width="10.28515625" bestFit="1" customWidth="1"/>
    <col min="13614" max="13614" width="12.28515625" bestFit="1" customWidth="1"/>
    <col min="13615" max="13615" width="11.7109375" bestFit="1" customWidth="1"/>
    <col min="13616" max="13616" width="13.85546875" bestFit="1" customWidth="1"/>
    <col min="13825" max="13825" width="13.140625" bestFit="1" customWidth="1"/>
    <col min="13826" max="13826" width="9.7109375" bestFit="1" customWidth="1"/>
    <col min="13827" max="13827" width="17.42578125" customWidth="1"/>
    <col min="13828" max="13828" width="17.7109375" customWidth="1"/>
    <col min="13829" max="13829" width="16.85546875" customWidth="1"/>
    <col min="13830" max="13830" width="19.5703125" customWidth="1"/>
    <col min="13831" max="13831" width="16.7109375" customWidth="1"/>
    <col min="13832" max="13832" width="15.85546875" customWidth="1"/>
    <col min="13833" max="13833" width="16" customWidth="1"/>
    <col min="13834" max="13834" width="11.140625" bestFit="1" customWidth="1"/>
    <col min="13835" max="13835" width="13.28515625" customWidth="1"/>
    <col min="13836" max="13836" width="12" bestFit="1" customWidth="1"/>
    <col min="13837" max="13837" width="11" bestFit="1" customWidth="1"/>
    <col min="13839" max="13839" width="10.85546875" bestFit="1" customWidth="1"/>
    <col min="13840" max="13840" width="11.140625" bestFit="1" customWidth="1"/>
    <col min="13841" max="13841" width="10.7109375" bestFit="1" customWidth="1"/>
    <col min="13842" max="13842" width="12" bestFit="1" customWidth="1"/>
    <col min="13843" max="13843" width="12.28515625" bestFit="1" customWidth="1"/>
    <col min="13844" max="13844" width="11.140625" bestFit="1" customWidth="1"/>
    <col min="13845" max="13845" width="12.85546875" bestFit="1" customWidth="1"/>
    <col min="13869" max="13869" width="10.28515625" bestFit="1" customWidth="1"/>
    <col min="13870" max="13870" width="12.28515625" bestFit="1" customWidth="1"/>
    <col min="13871" max="13871" width="11.7109375" bestFit="1" customWidth="1"/>
    <col min="13872" max="13872" width="13.85546875" bestFit="1" customWidth="1"/>
    <col min="14081" max="14081" width="13.140625" bestFit="1" customWidth="1"/>
    <col min="14082" max="14082" width="9.7109375" bestFit="1" customWidth="1"/>
    <col min="14083" max="14083" width="17.42578125" customWidth="1"/>
    <col min="14084" max="14084" width="17.7109375" customWidth="1"/>
    <col min="14085" max="14085" width="16.85546875" customWidth="1"/>
    <col min="14086" max="14086" width="19.5703125" customWidth="1"/>
    <col min="14087" max="14087" width="16.7109375" customWidth="1"/>
    <col min="14088" max="14088" width="15.85546875" customWidth="1"/>
    <col min="14089" max="14089" width="16" customWidth="1"/>
    <col min="14090" max="14090" width="11.140625" bestFit="1" customWidth="1"/>
    <col min="14091" max="14091" width="13.28515625" customWidth="1"/>
    <col min="14092" max="14092" width="12" bestFit="1" customWidth="1"/>
    <col min="14093" max="14093" width="11" bestFit="1" customWidth="1"/>
    <col min="14095" max="14095" width="10.85546875" bestFit="1" customWidth="1"/>
    <col min="14096" max="14096" width="11.140625" bestFit="1" customWidth="1"/>
    <col min="14097" max="14097" width="10.7109375" bestFit="1" customWidth="1"/>
    <col min="14098" max="14098" width="12" bestFit="1" customWidth="1"/>
    <col min="14099" max="14099" width="12.28515625" bestFit="1" customWidth="1"/>
    <col min="14100" max="14100" width="11.140625" bestFit="1" customWidth="1"/>
    <col min="14101" max="14101" width="12.85546875" bestFit="1" customWidth="1"/>
    <col min="14125" max="14125" width="10.28515625" bestFit="1" customWidth="1"/>
    <col min="14126" max="14126" width="12.28515625" bestFit="1" customWidth="1"/>
    <col min="14127" max="14127" width="11.7109375" bestFit="1" customWidth="1"/>
    <col min="14128" max="14128" width="13.85546875" bestFit="1" customWidth="1"/>
    <col min="14337" max="14337" width="13.140625" bestFit="1" customWidth="1"/>
    <col min="14338" max="14338" width="9.7109375" bestFit="1" customWidth="1"/>
    <col min="14339" max="14339" width="17.42578125" customWidth="1"/>
    <col min="14340" max="14340" width="17.7109375" customWidth="1"/>
    <col min="14341" max="14341" width="16.85546875" customWidth="1"/>
    <col min="14342" max="14342" width="19.5703125" customWidth="1"/>
    <col min="14343" max="14343" width="16.7109375" customWidth="1"/>
    <col min="14344" max="14344" width="15.85546875" customWidth="1"/>
    <col min="14345" max="14345" width="16" customWidth="1"/>
    <col min="14346" max="14346" width="11.140625" bestFit="1" customWidth="1"/>
    <col min="14347" max="14347" width="13.28515625" customWidth="1"/>
    <col min="14348" max="14348" width="12" bestFit="1" customWidth="1"/>
    <col min="14349" max="14349" width="11" bestFit="1" customWidth="1"/>
    <col min="14351" max="14351" width="10.85546875" bestFit="1" customWidth="1"/>
    <col min="14352" max="14352" width="11.140625" bestFit="1" customWidth="1"/>
    <col min="14353" max="14353" width="10.7109375" bestFit="1" customWidth="1"/>
    <col min="14354" max="14354" width="12" bestFit="1" customWidth="1"/>
    <col min="14355" max="14355" width="12.28515625" bestFit="1" customWidth="1"/>
    <col min="14356" max="14356" width="11.140625" bestFit="1" customWidth="1"/>
    <col min="14357" max="14357" width="12.85546875" bestFit="1" customWidth="1"/>
    <col min="14381" max="14381" width="10.28515625" bestFit="1" customWidth="1"/>
    <col min="14382" max="14382" width="12.28515625" bestFit="1" customWidth="1"/>
    <col min="14383" max="14383" width="11.7109375" bestFit="1" customWidth="1"/>
    <col min="14384" max="14384" width="13.85546875" bestFit="1" customWidth="1"/>
    <col min="14593" max="14593" width="13.140625" bestFit="1" customWidth="1"/>
    <col min="14594" max="14594" width="9.7109375" bestFit="1" customWidth="1"/>
    <col min="14595" max="14595" width="17.42578125" customWidth="1"/>
    <col min="14596" max="14596" width="17.7109375" customWidth="1"/>
    <col min="14597" max="14597" width="16.85546875" customWidth="1"/>
    <col min="14598" max="14598" width="19.5703125" customWidth="1"/>
    <col min="14599" max="14599" width="16.7109375" customWidth="1"/>
    <col min="14600" max="14600" width="15.85546875" customWidth="1"/>
    <col min="14601" max="14601" width="16" customWidth="1"/>
    <col min="14602" max="14602" width="11.140625" bestFit="1" customWidth="1"/>
    <col min="14603" max="14603" width="13.28515625" customWidth="1"/>
    <col min="14604" max="14604" width="12" bestFit="1" customWidth="1"/>
    <col min="14605" max="14605" width="11" bestFit="1" customWidth="1"/>
    <col min="14607" max="14607" width="10.85546875" bestFit="1" customWidth="1"/>
    <col min="14608" max="14608" width="11.140625" bestFit="1" customWidth="1"/>
    <col min="14609" max="14609" width="10.7109375" bestFit="1" customWidth="1"/>
    <col min="14610" max="14610" width="12" bestFit="1" customWidth="1"/>
    <col min="14611" max="14611" width="12.28515625" bestFit="1" customWidth="1"/>
    <col min="14612" max="14612" width="11.140625" bestFit="1" customWidth="1"/>
    <col min="14613" max="14613" width="12.85546875" bestFit="1" customWidth="1"/>
    <col min="14637" max="14637" width="10.28515625" bestFit="1" customWidth="1"/>
    <col min="14638" max="14638" width="12.28515625" bestFit="1" customWidth="1"/>
    <col min="14639" max="14639" width="11.7109375" bestFit="1" customWidth="1"/>
    <col min="14640" max="14640" width="13.85546875" bestFit="1" customWidth="1"/>
    <col min="14849" max="14849" width="13.140625" bestFit="1" customWidth="1"/>
    <col min="14850" max="14850" width="9.7109375" bestFit="1" customWidth="1"/>
    <col min="14851" max="14851" width="17.42578125" customWidth="1"/>
    <col min="14852" max="14852" width="17.7109375" customWidth="1"/>
    <col min="14853" max="14853" width="16.85546875" customWidth="1"/>
    <col min="14854" max="14854" width="19.5703125" customWidth="1"/>
    <col min="14855" max="14855" width="16.7109375" customWidth="1"/>
    <col min="14856" max="14856" width="15.85546875" customWidth="1"/>
    <col min="14857" max="14857" width="16" customWidth="1"/>
    <col min="14858" max="14858" width="11.140625" bestFit="1" customWidth="1"/>
    <col min="14859" max="14859" width="13.28515625" customWidth="1"/>
    <col min="14860" max="14860" width="12" bestFit="1" customWidth="1"/>
    <col min="14861" max="14861" width="11" bestFit="1" customWidth="1"/>
    <col min="14863" max="14863" width="10.85546875" bestFit="1" customWidth="1"/>
    <col min="14864" max="14864" width="11.140625" bestFit="1" customWidth="1"/>
    <col min="14865" max="14865" width="10.7109375" bestFit="1" customWidth="1"/>
    <col min="14866" max="14866" width="12" bestFit="1" customWidth="1"/>
    <col min="14867" max="14867" width="12.28515625" bestFit="1" customWidth="1"/>
    <col min="14868" max="14868" width="11.140625" bestFit="1" customWidth="1"/>
    <col min="14869" max="14869" width="12.85546875" bestFit="1" customWidth="1"/>
    <col min="14893" max="14893" width="10.28515625" bestFit="1" customWidth="1"/>
    <col min="14894" max="14894" width="12.28515625" bestFit="1" customWidth="1"/>
    <col min="14895" max="14895" width="11.7109375" bestFit="1" customWidth="1"/>
    <col min="14896" max="14896" width="13.85546875" bestFit="1" customWidth="1"/>
    <col min="15105" max="15105" width="13.140625" bestFit="1" customWidth="1"/>
    <col min="15106" max="15106" width="9.7109375" bestFit="1" customWidth="1"/>
    <col min="15107" max="15107" width="17.42578125" customWidth="1"/>
    <col min="15108" max="15108" width="17.7109375" customWidth="1"/>
    <col min="15109" max="15109" width="16.85546875" customWidth="1"/>
    <col min="15110" max="15110" width="19.5703125" customWidth="1"/>
    <col min="15111" max="15111" width="16.7109375" customWidth="1"/>
    <col min="15112" max="15112" width="15.85546875" customWidth="1"/>
    <col min="15113" max="15113" width="16" customWidth="1"/>
    <col min="15114" max="15114" width="11.140625" bestFit="1" customWidth="1"/>
    <col min="15115" max="15115" width="13.28515625" customWidth="1"/>
    <col min="15116" max="15116" width="12" bestFit="1" customWidth="1"/>
    <col min="15117" max="15117" width="11" bestFit="1" customWidth="1"/>
    <col min="15119" max="15119" width="10.85546875" bestFit="1" customWidth="1"/>
    <col min="15120" max="15120" width="11.140625" bestFit="1" customWidth="1"/>
    <col min="15121" max="15121" width="10.7109375" bestFit="1" customWidth="1"/>
    <col min="15122" max="15122" width="12" bestFit="1" customWidth="1"/>
    <col min="15123" max="15123" width="12.28515625" bestFit="1" customWidth="1"/>
    <col min="15124" max="15124" width="11.140625" bestFit="1" customWidth="1"/>
    <col min="15125" max="15125" width="12.85546875" bestFit="1" customWidth="1"/>
    <col min="15149" max="15149" width="10.28515625" bestFit="1" customWidth="1"/>
    <col min="15150" max="15150" width="12.28515625" bestFit="1" customWidth="1"/>
    <col min="15151" max="15151" width="11.7109375" bestFit="1" customWidth="1"/>
    <col min="15152" max="15152" width="13.85546875" bestFit="1" customWidth="1"/>
    <col min="15361" max="15361" width="13.140625" bestFit="1" customWidth="1"/>
    <col min="15362" max="15362" width="9.7109375" bestFit="1" customWidth="1"/>
    <col min="15363" max="15363" width="17.42578125" customWidth="1"/>
    <col min="15364" max="15364" width="17.7109375" customWidth="1"/>
    <col min="15365" max="15365" width="16.85546875" customWidth="1"/>
    <col min="15366" max="15366" width="19.5703125" customWidth="1"/>
    <col min="15367" max="15367" width="16.7109375" customWidth="1"/>
    <col min="15368" max="15368" width="15.85546875" customWidth="1"/>
    <col min="15369" max="15369" width="16" customWidth="1"/>
    <col min="15370" max="15370" width="11.140625" bestFit="1" customWidth="1"/>
    <col min="15371" max="15371" width="13.28515625" customWidth="1"/>
    <col min="15372" max="15372" width="12" bestFit="1" customWidth="1"/>
    <col min="15373" max="15373" width="11" bestFit="1" customWidth="1"/>
    <col min="15375" max="15375" width="10.85546875" bestFit="1" customWidth="1"/>
    <col min="15376" max="15376" width="11.140625" bestFit="1" customWidth="1"/>
    <col min="15377" max="15377" width="10.7109375" bestFit="1" customWidth="1"/>
    <col min="15378" max="15378" width="12" bestFit="1" customWidth="1"/>
    <col min="15379" max="15379" width="12.28515625" bestFit="1" customWidth="1"/>
    <col min="15380" max="15380" width="11.140625" bestFit="1" customWidth="1"/>
    <col min="15381" max="15381" width="12.85546875" bestFit="1" customWidth="1"/>
    <col min="15405" max="15405" width="10.28515625" bestFit="1" customWidth="1"/>
    <col min="15406" max="15406" width="12.28515625" bestFit="1" customWidth="1"/>
    <col min="15407" max="15407" width="11.7109375" bestFit="1" customWidth="1"/>
    <col min="15408" max="15408" width="13.85546875" bestFit="1" customWidth="1"/>
    <col min="15617" max="15617" width="13.140625" bestFit="1" customWidth="1"/>
    <col min="15618" max="15618" width="9.7109375" bestFit="1" customWidth="1"/>
    <col min="15619" max="15619" width="17.42578125" customWidth="1"/>
    <col min="15620" max="15620" width="17.7109375" customWidth="1"/>
    <col min="15621" max="15621" width="16.85546875" customWidth="1"/>
    <col min="15622" max="15622" width="19.5703125" customWidth="1"/>
    <col min="15623" max="15623" width="16.7109375" customWidth="1"/>
    <col min="15624" max="15624" width="15.85546875" customWidth="1"/>
    <col min="15625" max="15625" width="16" customWidth="1"/>
    <col min="15626" max="15626" width="11.140625" bestFit="1" customWidth="1"/>
    <col min="15627" max="15627" width="13.28515625" customWidth="1"/>
    <col min="15628" max="15628" width="12" bestFit="1" customWidth="1"/>
    <col min="15629" max="15629" width="11" bestFit="1" customWidth="1"/>
    <col min="15631" max="15631" width="10.85546875" bestFit="1" customWidth="1"/>
    <col min="15632" max="15632" width="11.140625" bestFit="1" customWidth="1"/>
    <col min="15633" max="15633" width="10.7109375" bestFit="1" customWidth="1"/>
    <col min="15634" max="15634" width="12" bestFit="1" customWidth="1"/>
    <col min="15635" max="15635" width="12.28515625" bestFit="1" customWidth="1"/>
    <col min="15636" max="15636" width="11.140625" bestFit="1" customWidth="1"/>
    <col min="15637" max="15637" width="12.85546875" bestFit="1" customWidth="1"/>
    <col min="15661" max="15661" width="10.28515625" bestFit="1" customWidth="1"/>
    <col min="15662" max="15662" width="12.28515625" bestFit="1" customWidth="1"/>
    <col min="15663" max="15663" width="11.7109375" bestFit="1" customWidth="1"/>
    <col min="15664" max="15664" width="13.85546875" bestFit="1" customWidth="1"/>
    <col min="15873" max="15873" width="13.140625" bestFit="1" customWidth="1"/>
    <col min="15874" max="15874" width="9.7109375" bestFit="1" customWidth="1"/>
    <col min="15875" max="15875" width="17.42578125" customWidth="1"/>
    <col min="15876" max="15876" width="17.7109375" customWidth="1"/>
    <col min="15877" max="15877" width="16.85546875" customWidth="1"/>
    <col min="15878" max="15878" width="19.5703125" customWidth="1"/>
    <col min="15879" max="15879" width="16.7109375" customWidth="1"/>
    <col min="15880" max="15880" width="15.85546875" customWidth="1"/>
    <col min="15881" max="15881" width="16" customWidth="1"/>
    <col min="15882" max="15882" width="11.140625" bestFit="1" customWidth="1"/>
    <col min="15883" max="15883" width="13.28515625" customWidth="1"/>
    <col min="15884" max="15884" width="12" bestFit="1" customWidth="1"/>
    <col min="15885" max="15885" width="11" bestFit="1" customWidth="1"/>
    <col min="15887" max="15887" width="10.85546875" bestFit="1" customWidth="1"/>
    <col min="15888" max="15888" width="11.140625" bestFit="1" customWidth="1"/>
    <col min="15889" max="15889" width="10.7109375" bestFit="1" customWidth="1"/>
    <col min="15890" max="15890" width="12" bestFit="1" customWidth="1"/>
    <col min="15891" max="15891" width="12.28515625" bestFit="1" customWidth="1"/>
    <col min="15892" max="15892" width="11.140625" bestFit="1" customWidth="1"/>
    <col min="15893" max="15893" width="12.85546875" bestFit="1" customWidth="1"/>
    <col min="15917" max="15917" width="10.28515625" bestFit="1" customWidth="1"/>
    <col min="15918" max="15918" width="12.28515625" bestFit="1" customWidth="1"/>
    <col min="15919" max="15919" width="11.7109375" bestFit="1" customWidth="1"/>
    <col min="15920" max="15920" width="13.85546875" bestFit="1" customWidth="1"/>
    <col min="16129" max="16129" width="13.140625" bestFit="1" customWidth="1"/>
    <col min="16130" max="16130" width="9.7109375" bestFit="1" customWidth="1"/>
    <col min="16131" max="16131" width="17.42578125" customWidth="1"/>
    <col min="16132" max="16132" width="17.7109375" customWidth="1"/>
    <col min="16133" max="16133" width="16.85546875" customWidth="1"/>
    <col min="16134" max="16134" width="19.5703125" customWidth="1"/>
    <col min="16135" max="16135" width="16.7109375" customWidth="1"/>
    <col min="16136" max="16136" width="15.85546875" customWidth="1"/>
    <col min="16137" max="16137" width="16" customWidth="1"/>
    <col min="16138" max="16138" width="11.140625" bestFit="1" customWidth="1"/>
    <col min="16139" max="16139" width="13.28515625" customWidth="1"/>
    <col min="16140" max="16140" width="12" bestFit="1" customWidth="1"/>
    <col min="16141" max="16141" width="11" bestFit="1" customWidth="1"/>
    <col min="16143" max="16143" width="10.85546875" bestFit="1" customWidth="1"/>
    <col min="16144" max="16144" width="11.140625" bestFit="1" customWidth="1"/>
    <col min="16145" max="16145" width="10.7109375" bestFit="1" customWidth="1"/>
    <col min="16146" max="16146" width="12" bestFit="1" customWidth="1"/>
    <col min="16147" max="16147" width="12.28515625" bestFit="1" customWidth="1"/>
    <col min="16148" max="16148" width="11.140625" bestFit="1" customWidth="1"/>
    <col min="16149" max="16149" width="12.85546875" bestFit="1" customWidth="1"/>
    <col min="16173" max="16173" width="10.28515625" bestFit="1" customWidth="1"/>
    <col min="16174" max="16174" width="12.28515625" bestFit="1" customWidth="1"/>
    <col min="16175" max="16175" width="11.7109375" bestFit="1" customWidth="1"/>
    <col min="16176" max="16176" width="13.85546875" bestFit="1" customWidth="1"/>
  </cols>
  <sheetData>
    <row r="1" spans="1:50" ht="16.5" x14ac:dyDescent="0.3">
      <c r="A1" s="5" t="s">
        <v>0</v>
      </c>
      <c r="B1" s="5"/>
      <c r="C1" s="5">
        <v>60</v>
      </c>
      <c r="D1" s="6" t="s">
        <v>1</v>
      </c>
      <c r="E1" s="6"/>
      <c r="F1" s="6"/>
      <c r="G1" s="6"/>
      <c r="H1" s="6">
        <v>1</v>
      </c>
      <c r="I1" s="7" t="str">
        <f>Y7</f>
        <v>CSO1941</v>
      </c>
      <c r="J1" s="6">
        <f>H4+1</f>
        <v>5</v>
      </c>
      <c r="K1" s="7" t="str">
        <f>AC7</f>
        <v>GAT1983</v>
      </c>
      <c r="L1" s="6">
        <f>J4+1</f>
        <v>9</v>
      </c>
      <c r="M1" s="7" t="str">
        <f>AG7</f>
        <v>DEFAULT</v>
      </c>
      <c r="N1" s="6">
        <f>L4+1</f>
        <v>13</v>
      </c>
      <c r="O1" s="7" t="str">
        <f>AK7</f>
        <v>GAT1971ORS</v>
      </c>
      <c r="P1" s="6">
        <f>N4+1</f>
        <v>17</v>
      </c>
      <c r="Q1" s="7" t="str">
        <f>AO7</f>
        <v>SAT1937ORS</v>
      </c>
      <c r="R1" s="6">
        <f>P4+1</f>
        <v>21</v>
      </c>
      <c r="S1" s="8" t="str">
        <f>AS7</f>
        <v>GAM83MALE</v>
      </c>
    </row>
    <row r="2" spans="1:50" ht="16.5" x14ac:dyDescent="0.3">
      <c r="A2" s="5" t="s">
        <v>8</v>
      </c>
      <c r="B2" s="5"/>
      <c r="C2" s="9">
        <v>0.93904586232916898</v>
      </c>
      <c r="D2" s="6"/>
      <c r="E2" s="6"/>
      <c r="F2" s="6"/>
      <c r="G2" s="6"/>
      <c r="H2" s="6">
        <f>H1+1</f>
        <v>2</v>
      </c>
      <c r="I2" s="7" t="str">
        <f>Z7</f>
        <v>CSO1958</v>
      </c>
      <c r="J2" s="6">
        <f>J1+1</f>
        <v>6</v>
      </c>
      <c r="K2" s="7" t="str">
        <f>AD7</f>
        <v>TMI1993</v>
      </c>
      <c r="L2" s="6">
        <f>L1+1</f>
        <v>10</v>
      </c>
      <c r="M2" s="7" t="str">
        <f>AH7</f>
        <v>CSO1941ORS</v>
      </c>
      <c r="N2" s="6">
        <f>N1+1</f>
        <v>14</v>
      </c>
      <c r="O2" s="7" t="str">
        <f>AL7</f>
        <v>GAT1983ORS</v>
      </c>
      <c r="P2" s="6">
        <f>P1+1</f>
        <v>18</v>
      </c>
      <c r="Q2" s="8" t="str">
        <f>AP7</f>
        <v>TMI2MALE</v>
      </c>
      <c r="R2" s="6">
        <f>R1+1</f>
        <v>22</v>
      </c>
      <c r="S2" s="8" t="str">
        <f>AT7</f>
        <v>GAM83FEMALE</v>
      </c>
    </row>
    <row r="3" spans="1:50" ht="16.5" x14ac:dyDescent="0.3">
      <c r="A3" s="5" t="s">
        <v>15</v>
      </c>
      <c r="B3" s="5"/>
      <c r="C3" s="9">
        <v>1.05</v>
      </c>
      <c r="D3" s="10" t="s">
        <v>52</v>
      </c>
      <c r="E3" s="11">
        <v>0.05</v>
      </c>
      <c r="F3" s="6"/>
      <c r="G3" s="6"/>
      <c r="H3" s="6">
        <f t="shared" ref="H3:P4" si="0">H2+1</f>
        <v>3</v>
      </c>
      <c r="I3" s="7" t="str">
        <f>AA7</f>
        <v>CSO 80</v>
      </c>
      <c r="J3" s="6">
        <f t="shared" si="0"/>
        <v>7</v>
      </c>
      <c r="K3" s="7" t="str">
        <f>AE7</f>
        <v>TMI2000</v>
      </c>
      <c r="L3" s="6">
        <f t="shared" si="0"/>
        <v>11</v>
      </c>
      <c r="M3" s="7" t="str">
        <f>AI7</f>
        <v>CSO1958ORS</v>
      </c>
      <c r="N3" s="6">
        <f t="shared" si="0"/>
        <v>15</v>
      </c>
      <c r="O3" s="7" t="str">
        <f>AM7</f>
        <v>TMI1993ORS</v>
      </c>
      <c r="P3" s="6">
        <f t="shared" si="0"/>
        <v>19</v>
      </c>
      <c r="Q3" s="8" t="str">
        <f>AQ7</f>
        <v>TMI2-1999</v>
      </c>
      <c r="R3" s="6"/>
    </row>
    <row r="4" spans="1:50" ht="16.5" x14ac:dyDescent="0.3">
      <c r="A4" s="5" t="s">
        <v>21</v>
      </c>
      <c r="B4" s="5"/>
      <c r="C4" s="6">
        <v>23</v>
      </c>
      <c r="D4" s="12" t="str">
        <f>IF(HLOOKUP(C4+1,X6:AV7,2)="TMI2MALE","TMI II M",HLOOKUP(C4+1,X6:AV7,2))</f>
        <v>TMI III MALE</v>
      </c>
      <c r="E4" s="6"/>
      <c r="F4" s="6"/>
      <c r="G4" s="6"/>
      <c r="H4" s="6">
        <f t="shared" si="0"/>
        <v>4</v>
      </c>
      <c r="I4" s="7" t="str">
        <f>AB7</f>
        <v>GAT1971</v>
      </c>
      <c r="J4" s="6">
        <f t="shared" si="0"/>
        <v>8</v>
      </c>
      <c r="K4" s="7" t="str">
        <f>AF7</f>
        <v>SAT1937</v>
      </c>
      <c r="L4" s="6">
        <f t="shared" si="0"/>
        <v>12</v>
      </c>
      <c r="M4" s="7" t="str">
        <f>AJ7</f>
        <v>CSO1980ORS</v>
      </c>
      <c r="N4" s="6">
        <f t="shared" si="0"/>
        <v>16</v>
      </c>
      <c r="O4" s="7" t="str">
        <f>AN7</f>
        <v>TMI2000ORS</v>
      </c>
      <c r="P4" s="6">
        <f t="shared" si="0"/>
        <v>20</v>
      </c>
      <c r="Q4" s="8" t="str">
        <f>AR7</f>
        <v>TMI2FEMALE</v>
      </c>
      <c r="R4" s="6"/>
    </row>
    <row r="5" spans="1:50" ht="16.5" x14ac:dyDescent="0.3">
      <c r="A5" s="5"/>
      <c r="B5" s="13" t="s">
        <v>28</v>
      </c>
      <c r="C5" s="13"/>
      <c r="D5" s="13"/>
      <c r="E5" s="13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50" ht="16.5" x14ac:dyDescent="0.3">
      <c r="A6" s="14" t="s">
        <v>29</v>
      </c>
      <c r="B6" s="15" t="s">
        <v>53</v>
      </c>
      <c r="C6" s="15" t="s">
        <v>54</v>
      </c>
      <c r="D6" s="15" t="s">
        <v>55</v>
      </c>
      <c r="E6" s="15" t="s">
        <v>30</v>
      </c>
      <c r="F6" s="16" t="s">
        <v>31</v>
      </c>
      <c r="G6" s="16" t="s">
        <v>32</v>
      </c>
      <c r="H6" s="16" t="s">
        <v>33</v>
      </c>
      <c r="I6" s="16" t="s">
        <v>34</v>
      </c>
      <c r="J6" s="16" t="s">
        <v>35</v>
      </c>
      <c r="K6" s="17" t="s">
        <v>36</v>
      </c>
      <c r="L6" s="17" t="s">
        <v>37</v>
      </c>
      <c r="M6" s="17" t="s">
        <v>38</v>
      </c>
      <c r="N6" s="17" t="s">
        <v>39</v>
      </c>
      <c r="O6" s="17" t="s">
        <v>40</v>
      </c>
      <c r="P6" s="17" t="s">
        <v>41</v>
      </c>
      <c r="Q6" s="17" t="s">
        <v>42</v>
      </c>
      <c r="R6" s="17" t="s">
        <v>43</v>
      </c>
      <c r="S6" s="17" t="s">
        <v>44</v>
      </c>
      <c r="T6" s="17" t="s">
        <v>45</v>
      </c>
      <c r="U6" s="17" t="s">
        <v>46</v>
      </c>
      <c r="V6" s="17" t="s">
        <v>56</v>
      </c>
      <c r="W6" s="17"/>
      <c r="X6" s="14">
        <v>1</v>
      </c>
      <c r="Y6" s="14">
        <f>+X6+1</f>
        <v>2</v>
      </c>
      <c r="Z6" s="14">
        <f t="shared" ref="Z6:AT6" si="1">+Y6+1</f>
        <v>3</v>
      </c>
      <c r="AA6" s="14">
        <f t="shared" si="1"/>
        <v>4</v>
      </c>
      <c r="AB6" s="14">
        <f t="shared" si="1"/>
        <v>5</v>
      </c>
      <c r="AC6" s="14">
        <f t="shared" si="1"/>
        <v>6</v>
      </c>
      <c r="AD6" s="14">
        <f t="shared" si="1"/>
        <v>7</v>
      </c>
      <c r="AE6" s="14">
        <f t="shared" si="1"/>
        <v>8</v>
      </c>
      <c r="AF6" s="14">
        <f t="shared" si="1"/>
        <v>9</v>
      </c>
      <c r="AG6" s="14">
        <f t="shared" si="1"/>
        <v>10</v>
      </c>
      <c r="AH6" s="14">
        <f t="shared" si="1"/>
        <v>11</v>
      </c>
      <c r="AI6" s="14">
        <f t="shared" si="1"/>
        <v>12</v>
      </c>
      <c r="AJ6" s="14">
        <f t="shared" si="1"/>
        <v>13</v>
      </c>
      <c r="AK6" s="14">
        <f t="shared" si="1"/>
        <v>14</v>
      </c>
      <c r="AL6" s="14">
        <f t="shared" si="1"/>
        <v>15</v>
      </c>
      <c r="AM6" s="14">
        <f t="shared" si="1"/>
        <v>16</v>
      </c>
      <c r="AN6" s="14">
        <f t="shared" si="1"/>
        <v>17</v>
      </c>
      <c r="AO6" s="14">
        <f t="shared" si="1"/>
        <v>18</v>
      </c>
      <c r="AP6" s="14">
        <f t="shared" si="1"/>
        <v>19</v>
      </c>
      <c r="AQ6" s="14">
        <f t="shared" si="1"/>
        <v>20</v>
      </c>
      <c r="AR6" s="14">
        <f t="shared" si="1"/>
        <v>21</v>
      </c>
      <c r="AS6" s="14">
        <f t="shared" si="1"/>
        <v>22</v>
      </c>
      <c r="AT6" s="14">
        <f t="shared" si="1"/>
        <v>23</v>
      </c>
      <c r="AU6" s="14">
        <f>+AT6+1</f>
        <v>24</v>
      </c>
      <c r="AV6" s="14">
        <f>+AU6+1</f>
        <v>25</v>
      </c>
    </row>
    <row r="7" spans="1:50" x14ac:dyDescent="0.25">
      <c r="A7" s="14">
        <v>1</v>
      </c>
      <c r="B7" s="14">
        <f>+A7+1</f>
        <v>2</v>
      </c>
      <c r="C7" s="14">
        <f t="shared" ref="C7:R7" si="2">+B7+1</f>
        <v>3</v>
      </c>
      <c r="D7" s="14">
        <f t="shared" si="2"/>
        <v>4</v>
      </c>
      <c r="E7" s="14">
        <f t="shared" si="2"/>
        <v>5</v>
      </c>
      <c r="F7" s="14">
        <f t="shared" si="2"/>
        <v>6</v>
      </c>
      <c r="G7" s="14">
        <f t="shared" si="2"/>
        <v>7</v>
      </c>
      <c r="H7" s="14">
        <f t="shared" si="2"/>
        <v>8</v>
      </c>
      <c r="I7" s="14">
        <f t="shared" si="2"/>
        <v>9</v>
      </c>
      <c r="J7" s="14">
        <f t="shared" si="2"/>
        <v>10</v>
      </c>
      <c r="K7" s="14">
        <f t="shared" si="2"/>
        <v>11</v>
      </c>
      <c r="L7" s="14">
        <f t="shared" si="2"/>
        <v>12</v>
      </c>
      <c r="M7" s="14">
        <f>+L7+1</f>
        <v>13</v>
      </c>
      <c r="N7" s="14">
        <f t="shared" si="2"/>
        <v>14</v>
      </c>
      <c r="O7" s="14">
        <f t="shared" si="2"/>
        <v>15</v>
      </c>
      <c r="P7" s="14">
        <f t="shared" si="2"/>
        <v>16</v>
      </c>
      <c r="Q7" s="14">
        <f t="shared" si="2"/>
        <v>17</v>
      </c>
      <c r="R7" s="14">
        <f t="shared" si="2"/>
        <v>18</v>
      </c>
      <c r="S7" s="14">
        <f>+R7+1</f>
        <v>19</v>
      </c>
      <c r="T7" s="14">
        <f>+S7+1</f>
        <v>20</v>
      </c>
      <c r="U7" s="14">
        <f>+T7+1</f>
        <v>21</v>
      </c>
      <c r="V7" s="14">
        <f>+U7+1</f>
        <v>22</v>
      </c>
      <c r="X7" s="14" t="s">
        <v>47</v>
      </c>
      <c r="Y7" s="7" t="s">
        <v>2</v>
      </c>
      <c r="Z7" s="7" t="s">
        <v>9</v>
      </c>
      <c r="AA7" s="7" t="s">
        <v>16</v>
      </c>
      <c r="AB7" s="7" t="s">
        <v>23</v>
      </c>
      <c r="AC7" s="7" t="s">
        <v>3</v>
      </c>
      <c r="AD7" s="7" t="s">
        <v>10</v>
      </c>
      <c r="AE7" s="7" t="s">
        <v>17</v>
      </c>
      <c r="AF7" s="7" t="s">
        <v>24</v>
      </c>
      <c r="AG7" s="7" t="s">
        <v>4</v>
      </c>
      <c r="AH7" s="7" t="s">
        <v>11</v>
      </c>
      <c r="AI7" s="7" t="s">
        <v>18</v>
      </c>
      <c r="AJ7" s="7" t="s">
        <v>25</v>
      </c>
      <c r="AK7" s="7" t="s">
        <v>5</v>
      </c>
      <c r="AL7" s="7" t="s">
        <v>12</v>
      </c>
      <c r="AM7" s="7" t="s">
        <v>19</v>
      </c>
      <c r="AN7" s="7" t="s">
        <v>26</v>
      </c>
      <c r="AO7" s="7" t="s">
        <v>6</v>
      </c>
      <c r="AP7" s="18" t="s">
        <v>13</v>
      </c>
      <c r="AQ7" s="18" t="s">
        <v>20</v>
      </c>
      <c r="AR7" s="18" t="s">
        <v>27</v>
      </c>
      <c r="AS7" s="18" t="s">
        <v>7</v>
      </c>
      <c r="AT7" s="18" t="s">
        <v>14</v>
      </c>
      <c r="AU7" s="18" t="s">
        <v>22</v>
      </c>
      <c r="AV7" s="18" t="s">
        <v>48</v>
      </c>
    </row>
    <row r="8" spans="1:50" x14ac:dyDescent="0.25">
      <c r="A8" s="19">
        <v>13</v>
      </c>
      <c r="B8" s="2">
        <v>2.0000000000000001E-4</v>
      </c>
      <c r="C8" s="20">
        <f>$E$3*B8</f>
        <v>1.0000000000000001E-5</v>
      </c>
      <c r="D8" s="21"/>
      <c r="E8" s="20">
        <f t="shared" ref="E8:E59" si="3">IF(A8=$C$1,1,0)</f>
        <v>0</v>
      </c>
      <c r="F8" s="22">
        <v>10000000</v>
      </c>
      <c r="G8" s="22">
        <f>ROUND(IF($A8&gt;=$C$1,0,+$F8*(1-0.5*C8)*(1-0.5*D8)*(1-0.5*E8)*B8),12)</f>
        <v>1999.99</v>
      </c>
      <c r="H8" s="22">
        <f>ROUND(IF($A8&gt;=$C$1,0,+$F8*(1-0.5*B8)*(1-0.5*D8)*(1-0.5*E8)*C8),12)</f>
        <v>99.99</v>
      </c>
      <c r="I8" s="22">
        <f>ROUND(IF($A8&gt;=$C$1,0,+$F8*(1-0.5*B8)*(1-0.5*C8)*(1-0.5*E8)*D8),12)</f>
        <v>0</v>
      </c>
      <c r="J8" s="22">
        <f>ROUND(IF($A8&gt;$C$1,0,+$F8*(1-0.5*B8)*(1-0.5*C8)*(1-0.5*D8)*E8),12)</f>
        <v>0</v>
      </c>
      <c r="K8" s="4">
        <f t="shared" ref="K8:K60" si="4">IF(A8&gt;$C$1,0,+F8*$C$2^A8*$C$3^A8)</f>
        <v>8325097.5736416606</v>
      </c>
      <c r="L8" s="4">
        <f t="shared" ref="L8:L60" si="5">IF(A8=$C$1,+J8*$C$2^(A8)*$C$3^A8,+J8*$C$2^(A8+0.5)*$C$3^A8)</f>
        <v>0</v>
      </c>
      <c r="M8" s="4">
        <f t="shared" ref="M8:M60" si="6">+G8*$C$2^(A8+0.5)*$C$3^A8</f>
        <v>1613.4687496331269</v>
      </c>
      <c r="N8" s="22">
        <f t="shared" ref="N8:N60" si="7">+H8*$C$2^(A8+0.5)*$C$3^A8</f>
        <v>80.665773466775519</v>
      </c>
      <c r="O8" s="4">
        <f t="shared" ref="O8:O60" si="8">+I8*$C$2^(A8+0.5)*$C$3^A8</f>
        <v>0</v>
      </c>
      <c r="P8" s="22">
        <f>+SUM(M8:$M$60)</f>
        <v>465344.81742319983</v>
      </c>
      <c r="Q8" s="22">
        <f>+SUM(N8:$N$60)</f>
        <v>23212.119656511517</v>
      </c>
      <c r="R8" s="22">
        <f>+SUM(O8:$O$60)</f>
        <v>1356161.511816124</v>
      </c>
      <c r="S8" s="22">
        <f>+SUM(P8:$P$60)</f>
        <v>15990839.339348922</v>
      </c>
      <c r="T8" s="22">
        <f>+SUM(Q8:$Q$60)</f>
        <v>797280.53516904812</v>
      </c>
      <c r="U8" s="22">
        <f>+SUM(R8:$R$60)</f>
        <v>26559258.620586243</v>
      </c>
      <c r="V8" s="23">
        <f>IF(A8&gt;$C$1,0,IF($C$1=55,$F$50,IF($C$1=56,$F$51,IF($C$1=60,$F$55,IF($C$1=65,$F$60,0))))/F8)</f>
        <v>0.68173499308842878</v>
      </c>
      <c r="W8" s="23"/>
      <c r="AA8" s="7" t="s">
        <v>49</v>
      </c>
      <c r="AU8" s="18" t="s">
        <v>50</v>
      </c>
      <c r="AV8" s="18" t="s">
        <v>51</v>
      </c>
    </row>
    <row r="9" spans="1:50" x14ac:dyDescent="0.25">
      <c r="A9" s="19">
        <v>14</v>
      </c>
      <c r="B9">
        <v>2.3000000000000001E-4</v>
      </c>
      <c r="C9" s="20">
        <f t="shared" ref="C9:C60" si="9">$E$3*B9</f>
        <v>1.1500000000000002E-5</v>
      </c>
      <c r="D9" s="21"/>
      <c r="E9" s="20">
        <f t="shared" si="3"/>
        <v>0</v>
      </c>
      <c r="F9" s="22">
        <f>+F8-G8-H8-I8-J8</f>
        <v>9997900.0199999996</v>
      </c>
      <c r="G9" s="22">
        <f>ROUND(IF($A9&gt;=$C$1,0,+$F9*(1-0.5*C9)*(1-0.5*D9)*(1-0.5*E9)*B9),12)</f>
        <v>2299.50378237722</v>
      </c>
      <c r="H9" s="22">
        <f>ROUND(IF($A9&gt;=$C$1,0,+$F9*(1-0.5*B9)*(1-0.5*D9)*(1-0.5*E9)*C9),12)</f>
        <v>114.962628007224</v>
      </c>
      <c r="I9" s="22">
        <f>ROUND(IF($A9&gt;=$C$1,0,+$F9*(1-0.5*B9)*(1-0.5*C9)*(1-0.5*E9)*D9),12)</f>
        <v>0</v>
      </c>
      <c r="J9" s="22">
        <f>ROUND(IF($A9&gt;$C$1,0,+$F9*(1-0.5*B9)*(1-0.5*C9)*(1-0.5*D9)*E9),12)</f>
        <v>0</v>
      </c>
      <c r="K9" s="4">
        <f t="shared" si="4"/>
        <v>8206807.0764537863</v>
      </c>
      <c r="L9" s="4">
        <f t="shared" si="5"/>
        <v>0</v>
      </c>
      <c r="M9" s="4">
        <f t="shared" si="6"/>
        <v>1829.123227620787</v>
      </c>
      <c r="N9" s="22">
        <f t="shared" si="7"/>
        <v>91.446169737957021</v>
      </c>
      <c r="O9" s="4">
        <f t="shared" si="8"/>
        <v>0</v>
      </c>
      <c r="P9" s="22">
        <f>+SUM(M9:$M$60)</f>
        <v>463731.34867356677</v>
      </c>
      <c r="Q9" s="22">
        <f>+SUM(N9:$N$60)</f>
        <v>23131.453883044742</v>
      </c>
      <c r="R9" s="22">
        <f>+SUM(O9:$O$60)</f>
        <v>1356161.511816124</v>
      </c>
      <c r="S9" s="22">
        <f>+SUM(P9:$P$60)</f>
        <v>15525494.521925721</v>
      </c>
      <c r="T9" s="22">
        <f>+SUM(Q9:$Q$60)</f>
        <v>774068.41551253654</v>
      </c>
      <c r="U9" s="22">
        <f>+SUM(R9:$R$60)</f>
        <v>25203097.108770121</v>
      </c>
      <c r="V9" s="23">
        <f t="shared" ref="V9:V60" si="10">IF(A9&gt;$C$1,0,IF($C$1=55,$F$50,IF($C$1=56,$F$51,IF($C$1=60,$F$55,IF($C$1=65,$F$60,0))))/F9)</f>
        <v>0.68187818614376261</v>
      </c>
      <c r="W9" s="23"/>
      <c r="X9" s="14">
        <v>0</v>
      </c>
      <c r="Y9" s="7">
        <v>2.2579999999999999E-2</v>
      </c>
      <c r="Z9" s="7">
        <v>7.0800000000000004E-3</v>
      </c>
      <c r="AA9" s="7">
        <v>4.1799999999999997E-3</v>
      </c>
      <c r="AB9" s="7">
        <v>4.2188000000000003E-2</v>
      </c>
      <c r="AC9" s="7">
        <v>3.1809999999999998E-2</v>
      </c>
      <c r="AD9" s="7">
        <v>3.2230000000000002E-2</v>
      </c>
      <c r="AE9" s="7">
        <v>3.2100000000000002E-3</v>
      </c>
      <c r="AF9" s="7">
        <v>1.23E-3</v>
      </c>
      <c r="AG9" s="7">
        <v>3.2100000000000002E-3</v>
      </c>
      <c r="AH9" s="7">
        <v>2.2579999999999999E-2</v>
      </c>
      <c r="AI9" s="7">
        <v>7.0800000000000004E-3</v>
      </c>
      <c r="AJ9" s="7">
        <v>4.1799999999999997E-3</v>
      </c>
      <c r="AK9" s="7">
        <v>4.2188000000000003E-2</v>
      </c>
      <c r="AL9" s="7">
        <v>3.1809999999999998E-2</v>
      </c>
      <c r="AM9" s="7">
        <v>3.2230000000000002E-2</v>
      </c>
      <c r="AN9" s="7">
        <v>3.2100000000000002E-3</v>
      </c>
      <c r="AO9" s="7">
        <v>1.23E-3</v>
      </c>
      <c r="AP9" s="24">
        <v>3.2100000000000002E-3</v>
      </c>
      <c r="AQ9" s="24">
        <f>(AP9+AR9)/2</f>
        <v>2.8050000000000002E-3</v>
      </c>
      <c r="AR9" s="24">
        <v>2.3999999999999998E-3</v>
      </c>
      <c r="AS9" s="24">
        <v>5.1599999999999997E-4</v>
      </c>
      <c r="AT9" s="24">
        <v>2.5799999999999998E-4</v>
      </c>
      <c r="AU9" s="24">
        <v>8.0199999999999994E-3</v>
      </c>
      <c r="AV9" s="24">
        <v>3.7000000000000002E-3</v>
      </c>
      <c r="AX9" s="25">
        <v>0</v>
      </c>
    </row>
    <row r="10" spans="1:50" x14ac:dyDescent="0.25">
      <c r="A10" s="19">
        <v>15</v>
      </c>
      <c r="B10">
        <v>2.7E-4</v>
      </c>
      <c r="C10" s="20">
        <f t="shared" si="9"/>
        <v>1.3500000000000001E-5</v>
      </c>
      <c r="D10" s="21"/>
      <c r="E10" s="20">
        <f t="shared" si="3"/>
        <v>0</v>
      </c>
      <c r="F10" s="22">
        <f t="shared" ref="F10:F55" si="11">+F9-G9-H9-I9-J9</f>
        <v>9995485.553589616</v>
      </c>
      <c r="G10" s="22">
        <f t="shared" ref="G10:G55" si="12">ROUND(IF($A10&gt;=$C$1,0,+$F10*(1-0.5*C10)*(1-0.5*D10)*(1-0.5*E10)*B10),12)</f>
        <v>2698.7628826967698</v>
      </c>
      <c r="H10" s="22">
        <f t="shared" ref="H10:H55" si="13">ROUND(IF($A10&gt;=$C$1,0,+$F10*(1-0.5*B10)*(1-0.5*D10)*(1-0.5*E10)*C10),12)</f>
        <v>134.92083820103801</v>
      </c>
      <c r="I10" s="22">
        <f t="shared" ref="I10:I55" si="14">ROUND(IF($A10&gt;=$C$1,0,+$F10*(1-0.5*B10)*(1-0.5*C10)*(1-0.5*E10)*D10),12)</f>
        <v>0</v>
      </c>
      <c r="J10" s="22">
        <f t="shared" ref="J10:J55" si="15">ROUND(IF($A10&gt;$C$1,0,+$F10*(1-0.5*B10)*(1-0.5*C10)*(1-0.5*D10)*E10),12)</f>
        <v>0</v>
      </c>
      <c r="K10" s="4">
        <f t="shared" si="4"/>
        <v>8089942.4678461915</v>
      </c>
      <c r="L10" s="4">
        <f t="shared" si="5"/>
        <v>0</v>
      </c>
      <c r="M10" s="4">
        <f t="shared" si="6"/>
        <v>2116.6530049813482</v>
      </c>
      <c r="N10" s="22">
        <f t="shared" si="7"/>
        <v>105.81907712005425</v>
      </c>
      <c r="O10" s="4">
        <f t="shared" si="8"/>
        <v>0</v>
      </c>
      <c r="P10" s="22">
        <f>+SUM(M10:$M$60)</f>
        <v>461902.22544594592</v>
      </c>
      <c r="Q10" s="22">
        <f>+SUM(N10:$N$60)</f>
        <v>23040.007713306783</v>
      </c>
      <c r="R10" s="22">
        <f>+SUM(O10:$O$60)</f>
        <v>1356161.511816124</v>
      </c>
      <c r="S10" s="22">
        <f>+SUM(P10:$P$60)</f>
        <v>15061763.173252154</v>
      </c>
      <c r="T10" s="22">
        <f>+SUM(Q10:$Q$60)</f>
        <v>750936.96162949188</v>
      </c>
      <c r="U10" s="22">
        <f>+SUM(R10:$R$60)</f>
        <v>23846935.596953992</v>
      </c>
      <c r="V10" s="23">
        <f t="shared" si="10"/>
        <v>0.68204289769955351</v>
      </c>
      <c r="W10" s="23"/>
      <c r="X10" s="14">
        <f>X9+1</f>
        <v>1</v>
      </c>
      <c r="Y10" s="7">
        <v>5.77E-3</v>
      </c>
      <c r="Z10" s="7">
        <v>1.7600000000000001E-3</v>
      </c>
      <c r="AA10" s="7">
        <v>1.07E-3</v>
      </c>
      <c r="AB10" s="7">
        <v>1.65E-3</v>
      </c>
      <c r="AC10" s="7">
        <v>1.2440000000000001E-3</v>
      </c>
      <c r="AD10" s="7">
        <v>3.64E-3</v>
      </c>
      <c r="AE10" s="7">
        <v>8.1999999999999998E-4</v>
      </c>
      <c r="AF10" s="7">
        <v>1.2210000000000001E-3</v>
      </c>
      <c r="AG10" s="7">
        <v>8.1999999999999998E-4</v>
      </c>
      <c r="AH10" s="7">
        <v>5.77E-3</v>
      </c>
      <c r="AI10" s="7">
        <v>1.7600000000000001E-3</v>
      </c>
      <c r="AJ10" s="7">
        <v>1.07E-3</v>
      </c>
      <c r="AK10" s="7">
        <v>1.65E-3</v>
      </c>
      <c r="AL10" s="7">
        <v>1.2440000000000001E-3</v>
      </c>
      <c r="AM10" s="7">
        <v>3.64E-3</v>
      </c>
      <c r="AN10" s="7">
        <v>8.1999999999999998E-4</v>
      </c>
      <c r="AO10" s="7">
        <v>1.2210000000000001E-3</v>
      </c>
      <c r="AP10" s="24">
        <v>8.1999999999999998E-4</v>
      </c>
      <c r="AQ10" s="24">
        <f t="shared" ref="AQ10:AQ73" si="16">(AP10+AR10)/2</f>
        <v>7.7000000000000007E-4</v>
      </c>
      <c r="AR10" s="24">
        <v>7.2000000000000005E-4</v>
      </c>
      <c r="AS10" s="24">
        <v>4.84E-4</v>
      </c>
      <c r="AT10" s="24">
        <v>2.42E-4</v>
      </c>
      <c r="AU10" s="24">
        <v>7.9000000000000001E-4</v>
      </c>
      <c r="AV10" s="24">
        <v>5.5999999999999995E-4</v>
      </c>
      <c r="AX10" s="1">
        <f>1+AX9</f>
        <v>1</v>
      </c>
    </row>
    <row r="11" spans="1:50" x14ac:dyDescent="0.25">
      <c r="A11" s="19">
        <v>16</v>
      </c>
      <c r="B11">
        <v>3.1E-4</v>
      </c>
      <c r="C11" s="20">
        <f t="shared" si="9"/>
        <v>1.5500000000000001E-5</v>
      </c>
      <c r="D11" s="21"/>
      <c r="E11" s="20">
        <f t="shared" si="3"/>
        <v>0</v>
      </c>
      <c r="F11" s="22">
        <f t="shared" si="11"/>
        <v>9992651.8698687181</v>
      </c>
      <c r="G11" s="22">
        <f t="shared" si="12"/>
        <v>3097.6980723131901</v>
      </c>
      <c r="H11" s="22">
        <f t="shared" si="13"/>
        <v>154.86209663684801</v>
      </c>
      <c r="I11" s="22">
        <f t="shared" si="14"/>
        <v>0</v>
      </c>
      <c r="J11" s="22">
        <f t="shared" si="15"/>
        <v>0</v>
      </c>
      <c r="K11" s="4">
        <f t="shared" si="4"/>
        <v>7974406.9945550496</v>
      </c>
      <c r="L11" s="4">
        <f t="shared" si="5"/>
        <v>0</v>
      </c>
      <c r="M11" s="4">
        <f t="shared" si="6"/>
        <v>2395.5217975560008</v>
      </c>
      <c r="N11" s="22">
        <f t="shared" si="7"/>
        <v>119.7584527118775</v>
      </c>
      <c r="O11" s="4">
        <f t="shared" si="8"/>
        <v>0</v>
      </c>
      <c r="P11" s="22">
        <f>+SUM(M11:$M$60)</f>
        <v>459785.57244096458</v>
      </c>
      <c r="Q11" s="22">
        <f>+SUM(N11:$N$60)</f>
        <v>22934.188636186729</v>
      </c>
      <c r="R11" s="22">
        <f>+SUM(O11:$O$60)</f>
        <v>1356161.511816124</v>
      </c>
      <c r="S11" s="22">
        <f>+SUM(P11:$P$60)</f>
        <v>14599860.947806207</v>
      </c>
      <c r="T11" s="22">
        <f>+SUM(Q11:$Q$60)</f>
        <v>727896.95391618507</v>
      </c>
      <c r="U11" s="22">
        <f>+SUM(R11:$R$60)</f>
        <v>22490774.08513787</v>
      </c>
      <c r="V11" s="23">
        <f t="shared" si="10"/>
        <v>0.68223630920646228</v>
      </c>
      <c r="W11" s="23"/>
      <c r="X11" s="14">
        <f t="shared" ref="X11:X74" si="17">X10+1</f>
        <v>2</v>
      </c>
      <c r="Y11" s="7">
        <v>4.1399999999999996E-3</v>
      </c>
      <c r="Z11" s="7">
        <v>1.5200000000000001E-3</v>
      </c>
      <c r="AA11" s="7">
        <v>9.8999999999999999E-4</v>
      </c>
      <c r="AB11" s="7">
        <v>9.2599999999999996E-4</v>
      </c>
      <c r="AC11" s="7">
        <v>6.9800000000000005E-4</v>
      </c>
      <c r="AD11" s="7">
        <v>2.6199999999999999E-3</v>
      </c>
      <c r="AE11" s="7">
        <v>7.6000000000000004E-4</v>
      </c>
      <c r="AF11" s="7">
        <v>1.2110000000000001E-3</v>
      </c>
      <c r="AG11" s="7">
        <v>7.6000000000000004E-4</v>
      </c>
      <c r="AH11" s="7">
        <v>4.1399999999999996E-3</v>
      </c>
      <c r="AI11" s="7">
        <v>1.5200000000000001E-3</v>
      </c>
      <c r="AJ11" s="7">
        <v>9.8999999999999999E-4</v>
      </c>
      <c r="AK11" s="7">
        <v>9.2599999999999996E-4</v>
      </c>
      <c r="AL11" s="7">
        <v>6.9800000000000005E-4</v>
      </c>
      <c r="AM11" s="7">
        <v>2.6199999999999999E-3</v>
      </c>
      <c r="AN11" s="7">
        <v>7.6000000000000004E-4</v>
      </c>
      <c r="AO11" s="7">
        <v>1.2110000000000001E-3</v>
      </c>
      <c r="AP11" s="24">
        <v>7.6000000000000004E-4</v>
      </c>
      <c r="AQ11" s="24">
        <f t="shared" si="16"/>
        <v>7.1500000000000003E-4</v>
      </c>
      <c r="AR11" s="24">
        <v>6.7000000000000002E-4</v>
      </c>
      <c r="AS11" s="24">
        <v>4.5199999999999998E-4</v>
      </c>
      <c r="AT11" s="24">
        <v>2.2599999999999999E-4</v>
      </c>
      <c r="AU11" s="24">
        <v>6.3000000000000003E-4</v>
      </c>
      <c r="AV11" s="24">
        <v>4.2000000000000002E-4</v>
      </c>
      <c r="AX11" s="1">
        <f t="shared" ref="AX11:AX74" si="18">1+AX10</f>
        <v>2</v>
      </c>
    </row>
    <row r="12" spans="1:50" x14ac:dyDescent="0.25">
      <c r="A12" s="19">
        <v>17</v>
      </c>
      <c r="B12">
        <v>3.6999999999999999E-4</v>
      </c>
      <c r="C12" s="20">
        <f t="shared" si="9"/>
        <v>1.8500000000000002E-5</v>
      </c>
      <c r="D12" s="21"/>
      <c r="E12" s="20">
        <f t="shared" si="3"/>
        <v>0</v>
      </c>
      <c r="F12" s="22">
        <f t="shared" si="11"/>
        <v>9989399.3096997682</v>
      </c>
      <c r="G12" s="22">
        <f t="shared" si="12"/>
        <v>3696.04355586978</v>
      </c>
      <c r="H12" s="22">
        <f t="shared" si="13"/>
        <v>184.76969851030799</v>
      </c>
      <c r="I12" s="22">
        <f t="shared" si="14"/>
        <v>0</v>
      </c>
      <c r="J12" s="22">
        <f t="shared" si="15"/>
        <v>0</v>
      </c>
      <c r="K12" s="4">
        <f t="shared" si="4"/>
        <v>7860191.2998683061</v>
      </c>
      <c r="L12" s="4">
        <f t="shared" si="5"/>
        <v>0</v>
      </c>
      <c r="M12" s="4">
        <f t="shared" si="6"/>
        <v>2818.2156642679538</v>
      </c>
      <c r="N12" s="22">
        <f t="shared" si="7"/>
        <v>140.88601791416858</v>
      </c>
      <c r="O12" s="4">
        <f t="shared" si="8"/>
        <v>0</v>
      </c>
      <c r="P12" s="22">
        <f>+SUM(M12:$M$60)</f>
        <v>457390.05064340861</v>
      </c>
      <c r="Q12" s="22">
        <f>+SUM(N12:$N$60)</f>
        <v>22814.430183474851</v>
      </c>
      <c r="R12" s="22">
        <f>+SUM(O12:$O$60)</f>
        <v>1356161.511816124</v>
      </c>
      <c r="S12" s="22">
        <f>+SUM(P12:$P$60)</f>
        <v>14140075.375365244</v>
      </c>
      <c r="T12" s="22">
        <f>+SUM(Q12:$Q$60)</f>
        <v>704962.7652799983</v>
      </c>
      <c r="U12" s="22">
        <f>+SUM(R12:$R$60)</f>
        <v>21134612.573321749</v>
      </c>
      <c r="V12" s="23">
        <f t="shared" si="10"/>
        <v>0.68245844615147166</v>
      </c>
      <c r="W12" s="23"/>
      <c r="X12" s="14">
        <f t="shared" si="17"/>
        <v>3</v>
      </c>
      <c r="Y12" s="7">
        <v>3.3800000000000002E-3</v>
      </c>
      <c r="Z12" s="7">
        <v>1.4599999999999999E-3</v>
      </c>
      <c r="AA12" s="7">
        <v>9.7999999999999997E-4</v>
      </c>
      <c r="AB12" s="7">
        <v>7.4700000000000005E-4</v>
      </c>
      <c r="AC12" s="7">
        <v>5.6300000000000002E-4</v>
      </c>
      <c r="AD12" s="7">
        <v>2.0100000000000001E-3</v>
      </c>
      <c r="AE12" s="7">
        <v>7.5000000000000002E-4</v>
      </c>
      <c r="AF12" s="7">
        <v>1.2019999999999999E-3</v>
      </c>
      <c r="AG12" s="7">
        <v>7.5000000000000002E-4</v>
      </c>
      <c r="AH12" s="7">
        <v>3.3800000000000002E-3</v>
      </c>
      <c r="AI12" s="7">
        <v>1.4599999999999999E-3</v>
      </c>
      <c r="AJ12" s="7">
        <v>9.7999999999999997E-4</v>
      </c>
      <c r="AK12" s="7">
        <v>7.4700000000000005E-4</v>
      </c>
      <c r="AL12" s="7">
        <v>5.6300000000000002E-4</v>
      </c>
      <c r="AM12" s="7">
        <v>2.0100000000000001E-3</v>
      </c>
      <c r="AN12" s="7">
        <v>7.5000000000000002E-4</v>
      </c>
      <c r="AO12" s="7">
        <v>1.2019999999999999E-3</v>
      </c>
      <c r="AP12" s="24">
        <v>7.5000000000000002E-4</v>
      </c>
      <c r="AQ12" s="24">
        <f t="shared" si="16"/>
        <v>6.9999999999999999E-4</v>
      </c>
      <c r="AR12" s="24">
        <v>6.4999999999999997E-4</v>
      </c>
      <c r="AS12" s="24">
        <v>4.2000000000000002E-4</v>
      </c>
      <c r="AT12" s="24">
        <v>2.1000000000000001E-4</v>
      </c>
      <c r="AU12" s="24">
        <v>5.1000000000000004E-4</v>
      </c>
      <c r="AV12" s="24">
        <v>3.3E-4</v>
      </c>
      <c r="AX12" s="1">
        <f t="shared" si="18"/>
        <v>3</v>
      </c>
    </row>
    <row r="13" spans="1:50" x14ac:dyDescent="0.25">
      <c r="A13" s="19">
        <v>18</v>
      </c>
      <c r="B13">
        <v>4.2999999999999999E-4</v>
      </c>
      <c r="C13" s="20">
        <f t="shared" si="9"/>
        <v>2.1500000000000001E-5</v>
      </c>
      <c r="D13" s="21"/>
      <c r="E13" s="20">
        <f t="shared" si="3"/>
        <v>0</v>
      </c>
      <c r="F13" s="22">
        <f t="shared" si="11"/>
        <v>9985518.4964453876</v>
      </c>
      <c r="G13" s="22">
        <f t="shared" si="12"/>
        <v>4293.7267954122699</v>
      </c>
      <c r="H13" s="22">
        <f t="shared" si="13"/>
        <v>214.642489614326</v>
      </c>
      <c r="I13" s="22">
        <f t="shared" si="14"/>
        <v>0</v>
      </c>
      <c r="J13" s="22">
        <f t="shared" si="15"/>
        <v>0</v>
      </c>
      <c r="K13" s="4">
        <f t="shared" si="4"/>
        <v>7747123.2490627524</v>
      </c>
      <c r="L13" s="4">
        <f t="shared" si="5"/>
        <v>0</v>
      </c>
      <c r="M13" s="4">
        <f t="shared" si="6"/>
        <v>3228.105009770622</v>
      </c>
      <c r="N13" s="22">
        <f t="shared" si="7"/>
        <v>161.37228311171938</v>
      </c>
      <c r="O13" s="4">
        <f t="shared" si="8"/>
        <v>0</v>
      </c>
      <c r="P13" s="22">
        <f>+SUM(M13:$M$60)</f>
        <v>454571.83497914061</v>
      </c>
      <c r="Q13" s="22">
        <f>+SUM(N13:$N$60)</f>
        <v>22673.544165560685</v>
      </c>
      <c r="R13" s="22">
        <f>+SUM(O13:$O$60)</f>
        <v>1356161.511816124</v>
      </c>
      <c r="S13" s="22">
        <f>+SUM(P13:$P$60)</f>
        <v>13682685.324721836</v>
      </c>
      <c r="T13" s="22">
        <f>+SUM(Q13:$Q$60)</f>
        <v>682148.33509652351</v>
      </c>
      <c r="U13" s="22">
        <f>+SUM(R13:$R$60)</f>
        <v>19778451.061505627</v>
      </c>
      <c r="V13" s="23">
        <f t="shared" si="10"/>
        <v>0.68272367962776348</v>
      </c>
      <c r="W13" s="23"/>
      <c r="X13" s="14">
        <f t="shared" si="17"/>
        <v>4</v>
      </c>
      <c r="Y13" s="7">
        <v>2.99E-3</v>
      </c>
      <c r="Z13" s="7">
        <v>1.4E-3</v>
      </c>
      <c r="AA13" s="7">
        <v>9.5E-4</v>
      </c>
      <c r="AB13" s="7">
        <v>6.5499999999999998E-4</v>
      </c>
      <c r="AC13" s="7">
        <v>4.9399999999999997E-4</v>
      </c>
      <c r="AD13" s="7">
        <v>1.6999999999999999E-3</v>
      </c>
      <c r="AE13" s="7">
        <v>7.2999999999999996E-4</v>
      </c>
      <c r="AF13" s="7">
        <v>1.1919999999999999E-3</v>
      </c>
      <c r="AG13" s="7">
        <v>7.2999999999999996E-4</v>
      </c>
      <c r="AH13" s="7">
        <v>2.99E-3</v>
      </c>
      <c r="AI13" s="7">
        <v>1.4E-3</v>
      </c>
      <c r="AJ13" s="7">
        <v>9.5E-4</v>
      </c>
      <c r="AK13" s="7">
        <v>6.5499999999999998E-4</v>
      </c>
      <c r="AL13" s="7">
        <v>4.9399999999999997E-4</v>
      </c>
      <c r="AM13" s="7">
        <v>1.6999999999999999E-3</v>
      </c>
      <c r="AN13" s="7">
        <v>7.2999999999999996E-4</v>
      </c>
      <c r="AO13" s="7">
        <v>1.1919999999999999E-3</v>
      </c>
      <c r="AP13" s="24">
        <v>7.2999999999999996E-4</v>
      </c>
      <c r="AQ13" s="24">
        <f t="shared" si="16"/>
        <v>6.8500000000000006E-4</v>
      </c>
      <c r="AR13" s="24">
        <v>6.4000000000000005E-4</v>
      </c>
      <c r="AS13" s="24">
        <v>3.88E-4</v>
      </c>
      <c r="AT13" s="24">
        <v>1.94E-4</v>
      </c>
      <c r="AU13" s="24">
        <v>4.2999999999999999E-4</v>
      </c>
      <c r="AV13" s="24">
        <v>2.7999999999999998E-4</v>
      </c>
      <c r="AX13" s="1">
        <f t="shared" si="18"/>
        <v>4</v>
      </c>
    </row>
    <row r="14" spans="1:50" x14ac:dyDescent="0.25">
      <c r="A14" s="19">
        <v>19</v>
      </c>
      <c r="B14">
        <v>4.6999999999999999E-4</v>
      </c>
      <c r="C14" s="20">
        <f t="shared" si="9"/>
        <v>2.3500000000000002E-5</v>
      </c>
      <c r="D14" s="21"/>
      <c r="E14" s="20">
        <f t="shared" si="3"/>
        <v>0</v>
      </c>
      <c r="F14" s="22">
        <f t="shared" si="11"/>
        <v>9981010.127160361</v>
      </c>
      <c r="G14" s="22">
        <f t="shared" si="12"/>
        <v>4691.0196396369402</v>
      </c>
      <c r="H14" s="22">
        <f t="shared" si="13"/>
        <v>234.498617859841</v>
      </c>
      <c r="I14" s="22">
        <f t="shared" si="14"/>
        <v>0</v>
      </c>
      <c r="J14" s="22">
        <f t="shared" si="15"/>
        <v>0</v>
      </c>
      <c r="K14" s="4">
        <f t="shared" si="4"/>
        <v>7635200.4540761588</v>
      </c>
      <c r="L14" s="4">
        <f t="shared" si="5"/>
        <v>0</v>
      </c>
      <c r="M14" s="4">
        <f t="shared" si="6"/>
        <v>3477.4156165045511</v>
      </c>
      <c r="N14" s="22">
        <f t="shared" si="7"/>
        <v>173.83196371730722</v>
      </c>
      <c r="O14" s="4">
        <f t="shared" si="8"/>
        <v>0</v>
      </c>
      <c r="P14" s="22">
        <f>+SUM(M14:$M$60)</f>
        <v>451343.72996937</v>
      </c>
      <c r="Q14" s="22">
        <f>+SUM(N14:$N$60)</f>
        <v>22512.171882448965</v>
      </c>
      <c r="R14" s="22">
        <f>+SUM(O14:$O$60)</f>
        <v>1356161.511816124</v>
      </c>
      <c r="S14" s="22">
        <f>+SUM(P14:$P$60)</f>
        <v>13228113.489742696</v>
      </c>
      <c r="T14" s="22">
        <f>+SUM(Q14:$Q$60)</f>
        <v>659474.79093096289</v>
      </c>
      <c r="U14" s="22">
        <f>+SUM(R14:$R$60)</f>
        <v>18422289.549689498</v>
      </c>
      <c r="V14" s="23">
        <f t="shared" si="10"/>
        <v>0.68303206228925573</v>
      </c>
      <c r="W14" s="23"/>
      <c r="X14" s="14">
        <f t="shared" si="17"/>
        <v>5</v>
      </c>
      <c r="Y14" s="7">
        <v>2.7599999999999999E-3</v>
      </c>
      <c r="Z14" s="7">
        <v>1.3500000000000001E-3</v>
      </c>
      <c r="AA14" s="7">
        <v>8.9999999999999998E-4</v>
      </c>
      <c r="AB14" s="7">
        <v>4.5399999999999998E-4</v>
      </c>
      <c r="AC14" s="7">
        <v>3.4200000000000002E-4</v>
      </c>
      <c r="AD14" s="7">
        <v>1.58E-3</v>
      </c>
      <c r="AE14" s="7">
        <v>6.8999999999999997E-4</v>
      </c>
      <c r="AF14" s="7">
        <v>1.183E-3</v>
      </c>
      <c r="AG14" s="7">
        <v>6.8999999999999997E-4</v>
      </c>
      <c r="AH14" s="7">
        <v>2.7599999999999999E-3</v>
      </c>
      <c r="AI14" s="7">
        <v>1.3500000000000001E-3</v>
      </c>
      <c r="AJ14" s="7">
        <v>8.9999999999999998E-4</v>
      </c>
      <c r="AK14" s="7">
        <v>4.5399999999999998E-4</v>
      </c>
      <c r="AL14" s="7">
        <v>3.4200000000000002E-4</v>
      </c>
      <c r="AM14" s="7">
        <v>1.58E-3</v>
      </c>
      <c r="AN14" s="7">
        <v>6.8999999999999997E-4</v>
      </c>
      <c r="AO14" s="7">
        <v>1.183E-3</v>
      </c>
      <c r="AP14" s="24">
        <v>6.8999999999999997E-4</v>
      </c>
      <c r="AQ14" s="24">
        <f t="shared" si="16"/>
        <v>6.6E-4</v>
      </c>
      <c r="AR14" s="24">
        <v>6.3000000000000003E-4</v>
      </c>
      <c r="AS14" s="24">
        <v>3.4200000000000002E-4</v>
      </c>
      <c r="AT14" s="24">
        <v>1.7100000000000001E-4</v>
      </c>
      <c r="AU14" s="24">
        <v>3.8000000000000002E-4</v>
      </c>
      <c r="AV14" s="24">
        <v>2.7E-4</v>
      </c>
      <c r="AX14" s="1">
        <f t="shared" si="18"/>
        <v>5</v>
      </c>
    </row>
    <row r="15" spans="1:50" x14ac:dyDescent="0.25">
      <c r="A15" s="19">
        <v>20</v>
      </c>
      <c r="B15">
        <v>4.8999999999999998E-4</v>
      </c>
      <c r="C15" s="20">
        <f t="shared" si="9"/>
        <v>2.4499999999999999E-5</v>
      </c>
      <c r="D15" s="21">
        <v>0.01</v>
      </c>
      <c r="E15" s="20">
        <f t="shared" si="3"/>
        <v>0</v>
      </c>
      <c r="F15" s="22">
        <f t="shared" si="11"/>
        <v>9976084.6089028642</v>
      </c>
      <c r="G15" s="22">
        <f t="shared" si="12"/>
        <v>4863.7804690299699</v>
      </c>
      <c r="H15" s="22">
        <f t="shared" si="13"/>
        <v>243.13242051290399</v>
      </c>
      <c r="I15" s="22">
        <f t="shared" si="14"/>
        <v>99735.182910779506</v>
      </c>
      <c r="J15" s="22">
        <f t="shared" si="15"/>
        <v>0</v>
      </c>
      <c r="K15" s="4">
        <f t="shared" si="4"/>
        <v>7524578.4344527898</v>
      </c>
      <c r="L15" s="4">
        <f t="shared" si="5"/>
        <v>0</v>
      </c>
      <c r="M15" s="4">
        <f t="shared" si="6"/>
        <v>3554.9984513962445</v>
      </c>
      <c r="N15" s="22">
        <f t="shared" si="7"/>
        <v>177.70855076852942</v>
      </c>
      <c r="O15" s="4">
        <f t="shared" si="8"/>
        <v>72897.702323364792</v>
      </c>
      <c r="P15" s="22">
        <f>+SUM(M15:$M$60)</f>
        <v>447866.31435286539</v>
      </c>
      <c r="Q15" s="22">
        <f>+SUM(N15:$N$60)</f>
        <v>22338.339918731657</v>
      </c>
      <c r="R15" s="22">
        <f>+SUM(O15:$O$60)</f>
        <v>1356161.511816124</v>
      </c>
      <c r="S15" s="22">
        <f>+SUM(P15:$P$60)</f>
        <v>12776769.759773327</v>
      </c>
      <c r="T15" s="22">
        <f>+SUM(Q15:$Q$60)</f>
        <v>636962.61904851382</v>
      </c>
      <c r="U15" s="22">
        <f>+SUM(R15:$R$60)</f>
        <v>17066128.037873376</v>
      </c>
      <c r="V15" s="23">
        <f t="shared" si="10"/>
        <v>0.68336929748975306</v>
      </c>
      <c r="W15" s="23"/>
      <c r="X15" s="14">
        <f t="shared" si="17"/>
        <v>6</v>
      </c>
      <c r="Y15" s="7">
        <v>2.6099999999999999E-3</v>
      </c>
      <c r="Z15" s="7">
        <v>1.2999999999999999E-3</v>
      </c>
      <c r="AA15" s="7">
        <v>8.5999999999999998E-4</v>
      </c>
      <c r="AB15" s="7">
        <v>4.2200000000000001E-4</v>
      </c>
      <c r="AC15" s="7">
        <v>3.1799999999999998E-4</v>
      </c>
      <c r="AD15" s="7">
        <v>1.5399999999999999E-3</v>
      </c>
      <c r="AE15" s="7">
        <v>6.6E-4</v>
      </c>
      <c r="AF15" s="7">
        <v>1.173E-3</v>
      </c>
      <c r="AG15" s="7">
        <v>6.6E-4</v>
      </c>
      <c r="AH15" s="7">
        <v>2.6099999999999999E-3</v>
      </c>
      <c r="AI15" s="7">
        <v>1.2999999999999999E-3</v>
      </c>
      <c r="AJ15" s="7">
        <v>8.5999999999999998E-4</v>
      </c>
      <c r="AK15" s="7">
        <v>4.2200000000000001E-4</v>
      </c>
      <c r="AL15" s="7">
        <v>3.1799999999999998E-4</v>
      </c>
      <c r="AM15" s="7">
        <v>1.5399999999999999E-3</v>
      </c>
      <c r="AN15" s="7">
        <v>6.6E-4</v>
      </c>
      <c r="AO15" s="7">
        <v>1.173E-3</v>
      </c>
      <c r="AP15" s="24">
        <v>6.6E-4</v>
      </c>
      <c r="AQ15" s="24">
        <f t="shared" si="16"/>
        <v>6.3499999999999993E-4</v>
      </c>
      <c r="AR15" s="24">
        <v>6.0999999999999997E-4</v>
      </c>
      <c r="AS15" s="24">
        <v>3.1799999999999998E-4</v>
      </c>
      <c r="AT15" s="24">
        <v>1.3999999999999999E-4</v>
      </c>
      <c r="AU15" s="24">
        <v>3.4000000000000002E-4</v>
      </c>
      <c r="AV15" s="24">
        <v>2.9999999999999997E-4</v>
      </c>
      <c r="AX15" s="1">
        <f t="shared" si="18"/>
        <v>6</v>
      </c>
    </row>
    <row r="16" spans="1:50" x14ac:dyDescent="0.25">
      <c r="A16" s="19">
        <v>21</v>
      </c>
      <c r="B16">
        <v>4.8999999999999998E-4</v>
      </c>
      <c r="C16" s="20">
        <f t="shared" si="9"/>
        <v>2.4499999999999999E-5</v>
      </c>
      <c r="D16" s="21">
        <v>0.01</v>
      </c>
      <c r="E16" s="20">
        <f t="shared" si="3"/>
        <v>0</v>
      </c>
      <c r="F16" s="22">
        <f t="shared" si="11"/>
        <v>9871242.5131025407</v>
      </c>
      <c r="G16" s="22">
        <f t="shared" si="12"/>
        <v>4812.6653313906199</v>
      </c>
      <c r="H16" s="22">
        <f t="shared" si="13"/>
        <v>240.577258490638</v>
      </c>
      <c r="I16" s="22">
        <f t="shared" si="14"/>
        <v>98687.031655921106</v>
      </c>
      <c r="J16" s="22">
        <f t="shared" si="15"/>
        <v>0</v>
      </c>
      <c r="K16" s="4">
        <f t="shared" si="4"/>
        <v>7341249.3236715542</v>
      </c>
      <c r="L16" s="4">
        <f t="shared" si="5"/>
        <v>0</v>
      </c>
      <c r="M16" s="4">
        <f t="shared" si="6"/>
        <v>3468.3843359875855</v>
      </c>
      <c r="N16" s="22">
        <f t="shared" si="7"/>
        <v>173.37885298221249</v>
      </c>
      <c r="O16" s="4">
        <f t="shared" si="8"/>
        <v>71121.619973854409</v>
      </c>
      <c r="P16" s="22">
        <f>+SUM(M16:$M$60)</f>
        <v>444311.31590146915</v>
      </c>
      <c r="Q16" s="22">
        <f>+SUM(N16:$N$60)</f>
        <v>22160.631367963128</v>
      </c>
      <c r="R16" s="22">
        <f>+SUM(O16:$O$60)</f>
        <v>1283263.8094927592</v>
      </c>
      <c r="S16" s="22">
        <f>+SUM(P16:$P$60)</f>
        <v>12328903.445420463</v>
      </c>
      <c r="T16" s="22">
        <f>+SUM(Q16:$Q$60)</f>
        <v>614624.27912978223</v>
      </c>
      <c r="U16" s="22">
        <f>+SUM(R16:$R$60)</f>
        <v>15709966.526057255</v>
      </c>
      <c r="V16" s="23">
        <f t="shared" si="10"/>
        <v>0.69062733711944724</v>
      </c>
      <c r="W16" s="23"/>
      <c r="X16" s="14">
        <f t="shared" si="17"/>
        <v>7</v>
      </c>
      <c r="Y16" s="7">
        <v>2.47E-3</v>
      </c>
      <c r="Z16" s="7">
        <v>1.2600000000000001E-3</v>
      </c>
      <c r="AA16" s="7">
        <v>8.0000000000000004E-4</v>
      </c>
      <c r="AB16" s="7">
        <v>4.0099999999999999E-4</v>
      </c>
      <c r="AC16" s="7">
        <v>3.0200000000000002E-4</v>
      </c>
      <c r="AD16" s="7">
        <v>1.4400000000000001E-3</v>
      </c>
      <c r="AE16" s="7">
        <v>6.2E-4</v>
      </c>
      <c r="AF16" s="7">
        <v>1.183E-3</v>
      </c>
      <c r="AG16" s="7">
        <v>6.2E-4</v>
      </c>
      <c r="AH16" s="7">
        <v>2.47E-3</v>
      </c>
      <c r="AI16" s="7">
        <v>1.2600000000000001E-3</v>
      </c>
      <c r="AJ16" s="7">
        <v>8.0000000000000004E-4</v>
      </c>
      <c r="AK16" s="7">
        <v>4.0099999999999999E-4</v>
      </c>
      <c r="AL16" s="7">
        <v>3.0200000000000002E-4</v>
      </c>
      <c r="AM16" s="7">
        <v>1.4400000000000001E-3</v>
      </c>
      <c r="AN16" s="7">
        <v>6.2E-4</v>
      </c>
      <c r="AO16" s="7">
        <v>1.183E-3</v>
      </c>
      <c r="AP16" s="24">
        <v>6.2E-4</v>
      </c>
      <c r="AQ16" s="24">
        <f t="shared" si="16"/>
        <v>6.0999999999999997E-4</v>
      </c>
      <c r="AR16" s="24">
        <v>5.9999999999999995E-4</v>
      </c>
      <c r="AS16" s="24">
        <v>3.0200000000000002E-4</v>
      </c>
      <c r="AT16" s="24">
        <v>1.18E-4</v>
      </c>
      <c r="AU16" s="24">
        <v>3.1E-4</v>
      </c>
      <c r="AV16" s="24">
        <v>3.1E-4</v>
      </c>
      <c r="AX16" s="1">
        <f t="shared" si="18"/>
        <v>7</v>
      </c>
    </row>
    <row r="17" spans="1:50" x14ac:dyDescent="0.25">
      <c r="A17" s="19">
        <v>22</v>
      </c>
      <c r="B17">
        <v>4.8999999999999998E-4</v>
      </c>
      <c r="C17" s="20">
        <f t="shared" si="9"/>
        <v>2.4499999999999999E-5</v>
      </c>
      <c r="D17" s="21">
        <v>0.01</v>
      </c>
      <c r="E17" s="20">
        <f t="shared" si="3"/>
        <v>0</v>
      </c>
      <c r="F17" s="22">
        <f t="shared" si="11"/>
        <v>9767502.2388567403</v>
      </c>
      <c r="G17" s="22">
        <f t="shared" si="12"/>
        <v>4762.0873802695796</v>
      </c>
      <c r="H17" s="22">
        <f t="shared" si="13"/>
        <v>238.04894954270199</v>
      </c>
      <c r="I17" s="22">
        <f t="shared" si="14"/>
        <v>97649.895782205102</v>
      </c>
      <c r="J17" s="22">
        <f t="shared" si="15"/>
        <v>0</v>
      </c>
      <c r="K17" s="4">
        <f t="shared" si="4"/>
        <v>7162386.8502112823</v>
      </c>
      <c r="L17" s="4">
        <f t="shared" si="5"/>
        <v>0</v>
      </c>
      <c r="M17" s="4">
        <f t="shared" si="6"/>
        <v>3383.8804901305575</v>
      </c>
      <c r="N17" s="22">
        <f t="shared" si="7"/>
        <v>169.15464411491376</v>
      </c>
      <c r="O17" s="4">
        <f t="shared" si="8"/>
        <v>69388.810161223941</v>
      </c>
      <c r="P17" s="22">
        <f>+SUM(M17:$M$60)</f>
        <v>440842.93156548165</v>
      </c>
      <c r="Q17" s="22">
        <f>+SUM(N17:$N$60)</f>
        <v>21987.252514980915</v>
      </c>
      <c r="R17" s="22">
        <f>+SUM(O17:$O$60)</f>
        <v>1212142.1895189048</v>
      </c>
      <c r="S17" s="22">
        <f>+SUM(P17:$P$60)</f>
        <v>11884592.129518993</v>
      </c>
      <c r="T17" s="22">
        <f>+SUM(Q17:$Q$60)</f>
        <v>592463.64776181907</v>
      </c>
      <c r="U17" s="22">
        <f>+SUM(R17:$R$60)</f>
        <v>14426702.716564497</v>
      </c>
      <c r="V17" s="23">
        <f t="shared" si="10"/>
        <v>0.69796246411531304</v>
      </c>
      <c r="W17" s="23"/>
      <c r="X17" s="14">
        <f t="shared" si="17"/>
        <v>8</v>
      </c>
      <c r="Y17" s="7">
        <v>2.31E-3</v>
      </c>
      <c r="Z17" s="7">
        <v>1.23E-3</v>
      </c>
      <c r="AA17" s="7">
        <v>7.6000000000000004E-4</v>
      </c>
      <c r="AB17" s="7">
        <v>3.8999999999999999E-4</v>
      </c>
      <c r="AC17" s="7">
        <v>2.9399999999999999E-4</v>
      </c>
      <c r="AD17" s="7">
        <v>1.31E-3</v>
      </c>
      <c r="AE17" s="7">
        <v>5.8E-4</v>
      </c>
      <c r="AF17" s="7">
        <v>1.1919999999999999E-3</v>
      </c>
      <c r="AG17" s="7">
        <v>5.8E-4</v>
      </c>
      <c r="AH17" s="7">
        <v>2.31E-3</v>
      </c>
      <c r="AI17" s="7">
        <v>1.23E-3</v>
      </c>
      <c r="AJ17" s="7">
        <v>7.6000000000000004E-4</v>
      </c>
      <c r="AK17" s="7">
        <v>3.8999999999999999E-4</v>
      </c>
      <c r="AL17" s="7">
        <v>2.9399999999999999E-4</v>
      </c>
      <c r="AM17" s="7">
        <v>1.31E-3</v>
      </c>
      <c r="AN17" s="7">
        <v>5.8E-4</v>
      </c>
      <c r="AO17" s="7">
        <v>1.1919999999999999E-3</v>
      </c>
      <c r="AP17" s="24">
        <v>5.8E-4</v>
      </c>
      <c r="AQ17" s="24">
        <f t="shared" si="16"/>
        <v>5.8E-4</v>
      </c>
      <c r="AR17" s="24">
        <v>5.8E-4</v>
      </c>
      <c r="AS17" s="24">
        <v>2.9399999999999999E-4</v>
      </c>
      <c r="AT17" s="24">
        <v>1.0399999999999999E-4</v>
      </c>
      <c r="AU17" s="24">
        <v>2.9E-4</v>
      </c>
      <c r="AV17" s="24">
        <v>2.9999999999999997E-4</v>
      </c>
      <c r="AX17" s="1">
        <f t="shared" si="18"/>
        <v>8</v>
      </c>
    </row>
    <row r="18" spans="1:50" x14ac:dyDescent="0.25">
      <c r="A18" s="19">
        <v>23</v>
      </c>
      <c r="B18">
        <v>4.8999999999999998E-4</v>
      </c>
      <c r="C18" s="20">
        <f t="shared" si="9"/>
        <v>2.4499999999999999E-5</v>
      </c>
      <c r="D18" s="21">
        <v>0.01</v>
      </c>
      <c r="E18" s="20">
        <f t="shared" si="3"/>
        <v>0</v>
      </c>
      <c r="F18" s="22">
        <f t="shared" si="11"/>
        <v>9664852.206744723</v>
      </c>
      <c r="G18" s="22">
        <f t="shared" si="12"/>
        <v>4712.0409701893996</v>
      </c>
      <c r="H18" s="22">
        <f t="shared" si="13"/>
        <v>235.54721146092501</v>
      </c>
      <c r="I18" s="22">
        <f t="shared" si="14"/>
        <v>96623.659525211799</v>
      </c>
      <c r="J18" s="22">
        <f t="shared" si="15"/>
        <v>0</v>
      </c>
      <c r="K18" s="4">
        <f t="shared" si="4"/>
        <v>6987882.188753007</v>
      </c>
      <c r="L18" s="4">
        <f t="shared" si="5"/>
        <v>0</v>
      </c>
      <c r="M18" s="4">
        <f t="shared" si="6"/>
        <v>3301.4354991387513</v>
      </c>
      <c r="N18" s="22">
        <f t="shared" si="7"/>
        <v>165.03335403065961</v>
      </c>
      <c r="O18" s="4">
        <f t="shared" si="8"/>
        <v>67698.218591764147</v>
      </c>
      <c r="P18" s="22">
        <f>+SUM(M18:$M$60)</f>
        <v>437459.05107535102</v>
      </c>
      <c r="Q18" s="22">
        <f>+SUM(N18:$N$60)</f>
        <v>21818.097870866</v>
      </c>
      <c r="R18" s="22">
        <f>+SUM(O18:$O$60)</f>
        <v>1142753.3793576809</v>
      </c>
      <c r="S18" s="22">
        <f>+SUM(P18:$P$60)</f>
        <v>11443749.197953513</v>
      </c>
      <c r="T18" s="22">
        <f>+SUM(Q18:$Q$60)</f>
        <v>570476.39524683822</v>
      </c>
      <c r="U18" s="22">
        <f>+SUM(R18:$R$60)</f>
        <v>13214560.527045595</v>
      </c>
      <c r="V18" s="23">
        <f t="shared" si="10"/>
        <v>0.70537549721937032</v>
      </c>
      <c r="W18" s="23"/>
      <c r="X18" s="14">
        <f t="shared" si="17"/>
        <v>9</v>
      </c>
      <c r="Y18" s="7">
        <v>2.1199999999999999E-3</v>
      </c>
      <c r="Z18" s="7">
        <v>1.2099999999999999E-3</v>
      </c>
      <c r="AA18" s="7">
        <v>7.3999999999999999E-4</v>
      </c>
      <c r="AB18" s="7">
        <v>3.8699999999999997E-4</v>
      </c>
      <c r="AC18" s="7">
        <v>2.92E-4</v>
      </c>
      <c r="AD18" s="7">
        <v>1.14E-3</v>
      </c>
      <c r="AE18" s="7">
        <v>5.6999999999999998E-4</v>
      </c>
      <c r="AF18" s="7">
        <v>1.2019999999999999E-3</v>
      </c>
      <c r="AG18" s="7">
        <v>5.6999999999999998E-4</v>
      </c>
      <c r="AH18" s="7">
        <v>2.1199999999999999E-3</v>
      </c>
      <c r="AI18" s="7">
        <v>1.2099999999999999E-3</v>
      </c>
      <c r="AJ18" s="7">
        <v>7.3999999999999999E-4</v>
      </c>
      <c r="AK18" s="7">
        <v>3.8699999999999997E-4</v>
      </c>
      <c r="AL18" s="7">
        <v>2.92E-4</v>
      </c>
      <c r="AM18" s="7">
        <v>1.14E-3</v>
      </c>
      <c r="AN18" s="7">
        <v>5.6999999999999998E-4</v>
      </c>
      <c r="AO18" s="7">
        <v>1.2019999999999999E-3</v>
      </c>
      <c r="AP18" s="24">
        <v>5.6999999999999998E-4</v>
      </c>
      <c r="AQ18" s="24">
        <f t="shared" si="16"/>
        <v>5.6999999999999998E-4</v>
      </c>
      <c r="AR18" s="24">
        <v>5.6999999999999998E-4</v>
      </c>
      <c r="AS18" s="24">
        <v>2.92E-4</v>
      </c>
      <c r="AT18" s="24">
        <v>9.7E-5</v>
      </c>
      <c r="AU18" s="24">
        <v>2.7999999999999998E-4</v>
      </c>
      <c r="AV18" s="24">
        <v>2.7999999999999998E-4</v>
      </c>
      <c r="AX18" s="1">
        <f t="shared" si="18"/>
        <v>9</v>
      </c>
    </row>
    <row r="19" spans="1:50" x14ac:dyDescent="0.25">
      <c r="A19" s="19">
        <v>24</v>
      </c>
      <c r="B19" s="2">
        <v>5.0000000000000001E-4</v>
      </c>
      <c r="C19" s="20">
        <f t="shared" si="9"/>
        <v>2.5000000000000001E-5</v>
      </c>
      <c r="D19" s="21">
        <v>0.01</v>
      </c>
      <c r="E19" s="20">
        <f t="shared" si="3"/>
        <v>0</v>
      </c>
      <c r="F19" s="22">
        <f t="shared" si="11"/>
        <v>9563280.9590378609</v>
      </c>
      <c r="G19" s="22">
        <f t="shared" si="12"/>
        <v>4757.6728054678697</v>
      </c>
      <c r="H19" s="22">
        <f t="shared" si="13"/>
        <v>237.827142202603</v>
      </c>
      <c r="I19" s="22">
        <f t="shared" si="14"/>
        <v>95607.706276713696</v>
      </c>
      <c r="J19" s="22">
        <f t="shared" si="15"/>
        <v>0</v>
      </c>
      <c r="K19" s="4">
        <f t="shared" si="4"/>
        <v>6817629.1654018983</v>
      </c>
      <c r="L19" s="4">
        <f t="shared" si="5"/>
        <v>0</v>
      </c>
      <c r="M19" s="4">
        <f t="shared" si="6"/>
        <v>3286.733056872919</v>
      </c>
      <c r="N19" s="22">
        <f t="shared" si="7"/>
        <v>164.29762240071528</v>
      </c>
      <c r="O19" s="4">
        <f t="shared" si="8"/>
        <v>66048.469821280465</v>
      </c>
      <c r="P19" s="22">
        <f>+SUM(M19:$M$60)</f>
        <v>434157.61557621224</v>
      </c>
      <c r="Q19" s="22">
        <f>+SUM(N19:$N$60)</f>
        <v>21653.06451683534</v>
      </c>
      <c r="R19" s="22">
        <f>+SUM(O19:$O$60)</f>
        <v>1075055.1607659163</v>
      </c>
      <c r="S19" s="22">
        <f>+SUM(P19:$P$60)</f>
        <v>11006290.146878162</v>
      </c>
      <c r="T19" s="22">
        <f>+SUM(Q19:$Q$60)</f>
        <v>548658.29737597238</v>
      </c>
      <c r="U19" s="22">
        <f>+SUM(R19:$R$60)</f>
        <v>12071807.147687912</v>
      </c>
      <c r="V19" s="23">
        <f t="shared" si="10"/>
        <v>0.71286726386946653</v>
      </c>
      <c r="W19" s="23"/>
      <c r="X19" s="14">
        <f t="shared" si="17"/>
        <v>10</v>
      </c>
      <c r="Y19" s="7">
        <v>1.97E-3</v>
      </c>
      <c r="Z19" s="7">
        <v>1.2099999999999999E-3</v>
      </c>
      <c r="AA19" s="7">
        <v>7.2999999999999996E-4</v>
      </c>
      <c r="AB19" s="7">
        <v>3.8900000000000002E-4</v>
      </c>
      <c r="AC19" s="7">
        <v>2.9300000000000002E-4</v>
      </c>
      <c r="AD19" s="7">
        <v>1.0300000000000001E-3</v>
      </c>
      <c r="AE19" s="7">
        <v>5.5999999999999995E-4</v>
      </c>
      <c r="AF19" s="7">
        <v>1.2110000000000001E-3</v>
      </c>
      <c r="AG19" s="7">
        <v>5.5999999999999995E-4</v>
      </c>
      <c r="AH19" s="7">
        <v>1.97E-3</v>
      </c>
      <c r="AI19" s="7">
        <v>1.2099999999999999E-3</v>
      </c>
      <c r="AJ19" s="7">
        <v>7.2999999999999996E-4</v>
      </c>
      <c r="AK19" s="7">
        <v>3.8900000000000002E-4</v>
      </c>
      <c r="AL19" s="7">
        <v>2.9300000000000002E-4</v>
      </c>
      <c r="AM19" s="7">
        <v>1.0300000000000001E-3</v>
      </c>
      <c r="AN19" s="7">
        <v>5.5999999999999995E-4</v>
      </c>
      <c r="AO19" s="7">
        <v>1.2110000000000001E-3</v>
      </c>
      <c r="AP19" s="24">
        <v>5.5999999999999995E-4</v>
      </c>
      <c r="AQ19" s="24">
        <f t="shared" si="16"/>
        <v>5.5999999999999995E-4</v>
      </c>
      <c r="AR19" s="24">
        <v>5.5999999999999995E-4</v>
      </c>
      <c r="AS19" s="24">
        <v>2.9300000000000002E-4</v>
      </c>
      <c r="AT19" s="24">
        <v>9.6000000000000002E-5</v>
      </c>
      <c r="AU19" s="24">
        <v>2.7E-4</v>
      </c>
      <c r="AV19" s="24">
        <v>2.5000000000000001E-4</v>
      </c>
      <c r="AX19" s="1">
        <f t="shared" si="18"/>
        <v>10</v>
      </c>
    </row>
    <row r="20" spans="1:50" x14ac:dyDescent="0.25">
      <c r="A20" s="19">
        <v>25</v>
      </c>
      <c r="B20">
        <v>5.1999999999999995E-4</v>
      </c>
      <c r="C20" s="20">
        <f t="shared" si="9"/>
        <v>2.5999999999999998E-5</v>
      </c>
      <c r="D20" s="21">
        <v>0.01</v>
      </c>
      <c r="E20" s="20">
        <f t="shared" si="3"/>
        <v>0</v>
      </c>
      <c r="F20" s="22">
        <f t="shared" si="11"/>
        <v>9462677.7528134771</v>
      </c>
      <c r="G20" s="22">
        <f t="shared" si="12"/>
        <v>4895.9258214425899</v>
      </c>
      <c r="H20" s="22">
        <f t="shared" si="13"/>
        <v>244.73582560218401</v>
      </c>
      <c r="I20" s="22">
        <f t="shared" si="14"/>
        <v>94600.944737708094</v>
      </c>
      <c r="J20" s="22">
        <f t="shared" si="15"/>
        <v>0</v>
      </c>
      <c r="K20" s="4">
        <f t="shared" si="4"/>
        <v>6651454.3194355322</v>
      </c>
      <c r="L20" s="4">
        <f t="shared" si="5"/>
        <v>0</v>
      </c>
      <c r="M20" s="4">
        <f t="shared" si="6"/>
        <v>3334.8844678613145</v>
      </c>
      <c r="N20" s="22">
        <f t="shared" si="7"/>
        <v>166.70303703446527</v>
      </c>
      <c r="O20" s="4">
        <f t="shared" si="8"/>
        <v>64437.908734048549</v>
      </c>
      <c r="P20" s="22">
        <f>+SUM(M20:$M$60)</f>
        <v>430870.88251933939</v>
      </c>
      <c r="Q20" s="22">
        <f>+SUM(N20:$N$60)</f>
        <v>21488.766894434626</v>
      </c>
      <c r="R20" s="22">
        <f>+SUM(O20:$O$60)</f>
        <v>1009006.6909446355</v>
      </c>
      <c r="S20" s="22">
        <f>+SUM(P20:$P$60)</f>
        <v>10572132.531301951</v>
      </c>
      <c r="T20" s="22">
        <f>+SUM(Q20:$Q$60)</f>
        <v>527005.232859137</v>
      </c>
      <c r="U20" s="22">
        <f>+SUM(R20:$R$60)</f>
        <v>10996751.986921996</v>
      </c>
      <c r="V20" s="23">
        <f t="shared" si="10"/>
        <v>0.72044616851264209</v>
      </c>
      <c r="W20" s="23"/>
      <c r="X20" s="14">
        <f t="shared" si="17"/>
        <v>11</v>
      </c>
      <c r="Y20" s="7">
        <v>1.91E-3</v>
      </c>
      <c r="Z20" s="7">
        <v>1.23E-3</v>
      </c>
      <c r="AA20" s="7">
        <v>7.6999999999999996E-4</v>
      </c>
      <c r="AB20" s="7">
        <v>3.9500000000000001E-4</v>
      </c>
      <c r="AC20" s="7">
        <v>2.9799999999999998E-4</v>
      </c>
      <c r="AD20" s="7">
        <v>9.7000000000000005E-4</v>
      </c>
      <c r="AE20" s="7">
        <v>5.9000000000000003E-4</v>
      </c>
      <c r="AF20" s="7">
        <v>1.2210000000000001E-3</v>
      </c>
      <c r="AG20" s="7">
        <v>5.9000000000000003E-4</v>
      </c>
      <c r="AH20" s="7">
        <v>1.91E-3</v>
      </c>
      <c r="AI20" s="7">
        <v>1.23E-3</v>
      </c>
      <c r="AJ20" s="7">
        <v>7.6999999999999996E-4</v>
      </c>
      <c r="AK20" s="7">
        <v>3.9500000000000001E-4</v>
      </c>
      <c r="AL20" s="7">
        <v>2.9799999999999998E-4</v>
      </c>
      <c r="AM20" s="7">
        <v>9.7000000000000005E-4</v>
      </c>
      <c r="AN20" s="7">
        <v>5.9000000000000003E-4</v>
      </c>
      <c r="AO20" s="7">
        <v>1.2210000000000001E-3</v>
      </c>
      <c r="AP20" s="24">
        <v>5.9000000000000003E-4</v>
      </c>
      <c r="AQ20" s="24">
        <f t="shared" si="16"/>
        <v>5.8E-4</v>
      </c>
      <c r="AR20" s="24">
        <v>5.6999999999999998E-4</v>
      </c>
      <c r="AS20" s="24">
        <v>2.9799999999999998E-4</v>
      </c>
      <c r="AT20" s="24">
        <v>1.0399999999999999E-4</v>
      </c>
      <c r="AU20" s="24">
        <v>2.7E-4</v>
      </c>
      <c r="AV20" s="24">
        <v>2.4000000000000001E-4</v>
      </c>
      <c r="AX20" s="1">
        <f t="shared" si="18"/>
        <v>11</v>
      </c>
    </row>
    <row r="21" spans="1:50" x14ac:dyDescent="0.25">
      <c r="A21" s="19">
        <v>26</v>
      </c>
      <c r="B21">
        <v>5.5000000000000003E-4</v>
      </c>
      <c r="C21" s="20">
        <f t="shared" si="9"/>
        <v>2.7500000000000004E-5</v>
      </c>
      <c r="D21" s="21">
        <v>0.01</v>
      </c>
      <c r="E21" s="20">
        <f t="shared" si="3"/>
        <v>0</v>
      </c>
      <c r="F21" s="22">
        <f t="shared" si="11"/>
        <v>9362936.1464287248</v>
      </c>
      <c r="G21" s="22">
        <f t="shared" si="12"/>
        <v>5123.7963529645403</v>
      </c>
      <c r="H21" s="22">
        <f t="shared" si="13"/>
        <v>256.12288713807197</v>
      </c>
      <c r="I21" s="22">
        <f t="shared" si="14"/>
        <v>93602.326340200496</v>
      </c>
      <c r="J21" s="22">
        <f t="shared" si="15"/>
        <v>0</v>
      </c>
      <c r="K21" s="4">
        <f t="shared" si="4"/>
        <v>6489193.5258915285</v>
      </c>
      <c r="L21" s="4">
        <f t="shared" si="5"/>
        <v>0</v>
      </c>
      <c r="M21" s="4">
        <f t="shared" si="6"/>
        <v>3441.231792680489</v>
      </c>
      <c r="N21" s="22">
        <f t="shared" si="7"/>
        <v>172.01663792564662</v>
      </c>
      <c r="O21" s="4">
        <f t="shared" si="8"/>
        <v>62864.969464367285</v>
      </c>
      <c r="P21" s="22">
        <f>+SUM(M21:$M$60)</f>
        <v>427535.998051478</v>
      </c>
      <c r="Q21" s="22">
        <f>+SUM(N21:$N$60)</f>
        <v>21322.06385740016</v>
      </c>
      <c r="R21" s="22">
        <f>+SUM(O21:$O$60)</f>
        <v>944568.78221058706</v>
      </c>
      <c r="S21" s="22">
        <f>+SUM(P21:$P$60)</f>
        <v>10141261.648782611</v>
      </c>
      <c r="T21" s="22">
        <f>+SUM(Q21:$Q$60)</f>
        <v>505516.46596470242</v>
      </c>
      <c r="U21" s="22">
        <f>+SUM(R21:$R$60)</f>
        <v>9987745.2959773615</v>
      </c>
      <c r="V21" s="23">
        <f t="shared" si="10"/>
        <v>0.72812094670586935</v>
      </c>
      <c r="W21" s="23"/>
      <c r="X21" s="14">
        <f t="shared" si="17"/>
        <v>12</v>
      </c>
      <c r="Y21" s="7">
        <v>1.92E-3</v>
      </c>
      <c r="Z21" s="7">
        <v>1.2600000000000001E-3</v>
      </c>
      <c r="AA21" s="7">
        <v>8.4999999999999995E-4</v>
      </c>
      <c r="AB21" s="7">
        <v>4.0299999999999998E-4</v>
      </c>
      <c r="AC21" s="7">
        <v>3.0400000000000002E-4</v>
      </c>
      <c r="AD21" s="7">
        <v>9.6000000000000002E-4</v>
      </c>
      <c r="AE21" s="7">
        <v>6.4999999999999997E-4</v>
      </c>
      <c r="AF21" s="7">
        <v>1.23E-3</v>
      </c>
      <c r="AG21" s="7">
        <v>6.4999999999999997E-4</v>
      </c>
      <c r="AH21" s="7">
        <v>1.92E-3</v>
      </c>
      <c r="AI21" s="7">
        <v>1.2600000000000001E-3</v>
      </c>
      <c r="AJ21" s="7">
        <v>8.4999999999999995E-4</v>
      </c>
      <c r="AK21" s="7">
        <v>4.0299999999999998E-4</v>
      </c>
      <c r="AL21" s="7">
        <v>3.0400000000000002E-4</v>
      </c>
      <c r="AM21" s="7">
        <v>9.6000000000000002E-4</v>
      </c>
      <c r="AN21" s="7">
        <v>6.4999999999999997E-4</v>
      </c>
      <c r="AO21" s="7">
        <v>1.23E-3</v>
      </c>
      <c r="AP21" s="24">
        <v>6.4999999999999997E-4</v>
      </c>
      <c r="AQ21" s="24">
        <f t="shared" si="16"/>
        <v>6.249999999999999E-4</v>
      </c>
      <c r="AR21" s="24">
        <v>5.9999999999999995E-4</v>
      </c>
      <c r="AS21" s="24">
        <v>3.0400000000000002E-4</v>
      </c>
      <c r="AT21" s="24">
        <v>1.13E-4</v>
      </c>
      <c r="AU21" s="24">
        <v>2.5999999999999998E-4</v>
      </c>
      <c r="AV21" s="24">
        <v>2.5999999999999998E-4</v>
      </c>
      <c r="AX21" s="1">
        <f t="shared" si="18"/>
        <v>12</v>
      </c>
    </row>
    <row r="22" spans="1:50" x14ac:dyDescent="0.25">
      <c r="A22" s="19">
        <v>27</v>
      </c>
      <c r="B22" s="2">
        <v>5.9999999999999995E-4</v>
      </c>
      <c r="C22" s="20">
        <f t="shared" si="9"/>
        <v>2.9999999999999997E-5</v>
      </c>
      <c r="D22" s="21">
        <v>0.01</v>
      </c>
      <c r="E22" s="20">
        <f t="shared" si="3"/>
        <v>0</v>
      </c>
      <c r="F22" s="22">
        <f t="shared" si="11"/>
        <v>9263953.9008484222</v>
      </c>
      <c r="G22" s="22">
        <f t="shared" si="12"/>
        <v>5530.4975200993304</v>
      </c>
      <c r="H22" s="22">
        <f t="shared" si="13"/>
        <v>276.44606523314297</v>
      </c>
      <c r="I22" s="22">
        <f t="shared" si="14"/>
        <v>92610.357970574507</v>
      </c>
      <c r="J22" s="22">
        <f t="shared" si="15"/>
        <v>0</v>
      </c>
      <c r="K22" s="4">
        <f t="shared" si="4"/>
        <v>6330691.5275922706</v>
      </c>
      <c r="L22" s="4">
        <f t="shared" si="5"/>
        <v>0</v>
      </c>
      <c r="M22" s="4">
        <f t="shared" si="6"/>
        <v>3662.3712894175719</v>
      </c>
      <c r="N22" s="22">
        <f t="shared" si="7"/>
        <v>183.06637489716044</v>
      </c>
      <c r="O22" s="4">
        <f t="shared" si="8"/>
        <v>61327.848878236931</v>
      </c>
      <c r="P22" s="22">
        <f>+SUM(M22:$M$60)</f>
        <v>424094.76625879755</v>
      </c>
      <c r="Q22" s="22">
        <f>+SUM(N22:$N$60)</f>
        <v>21150.047219474516</v>
      </c>
      <c r="R22" s="22">
        <f>+SUM(O22:$O$60)</f>
        <v>881703.8127462198</v>
      </c>
      <c r="S22" s="22">
        <f>+SUM(P22:$P$60)</f>
        <v>9713725.6507311314</v>
      </c>
      <c r="T22" s="22">
        <f>+SUM(Q22:$Q$60)</f>
        <v>484194.40210730222</v>
      </c>
      <c r="U22" s="22">
        <f>+SUM(R22:$R$60)</f>
        <v>9043176.5137667749</v>
      </c>
      <c r="V22" s="23">
        <f t="shared" si="10"/>
        <v>0.73590067522463953</v>
      </c>
      <c r="W22" s="23"/>
      <c r="X22" s="14">
        <f t="shared" si="17"/>
        <v>13</v>
      </c>
      <c r="Y22" s="7">
        <v>1.98E-3</v>
      </c>
      <c r="Z22" s="7">
        <v>1.32E-3</v>
      </c>
      <c r="AA22" s="7">
        <v>9.8999999999999999E-4</v>
      </c>
      <c r="AB22" s="7">
        <v>4.1100000000000002E-4</v>
      </c>
      <c r="AC22" s="7">
        <v>3.1E-4</v>
      </c>
      <c r="AD22" s="7">
        <v>9.7999999999999997E-4</v>
      </c>
      <c r="AE22" s="7">
        <v>7.6000000000000004E-4</v>
      </c>
      <c r="AF22" s="7">
        <v>1.24E-3</v>
      </c>
      <c r="AG22" s="7">
        <v>7.6000000000000004E-4</v>
      </c>
      <c r="AH22" s="7">
        <v>1.98E-3</v>
      </c>
      <c r="AI22" s="7">
        <v>1.32E-3</v>
      </c>
      <c r="AJ22" s="7">
        <v>9.8999999999999999E-4</v>
      </c>
      <c r="AK22" s="7">
        <v>4.1100000000000002E-4</v>
      </c>
      <c r="AL22" s="7">
        <v>3.1E-4</v>
      </c>
      <c r="AM22" s="7">
        <v>9.7999999999999997E-4</v>
      </c>
      <c r="AN22" s="7">
        <v>7.6000000000000004E-4</v>
      </c>
      <c r="AO22" s="7">
        <v>1.24E-3</v>
      </c>
      <c r="AP22" s="24">
        <v>7.6000000000000004E-4</v>
      </c>
      <c r="AQ22" s="24">
        <f t="shared" si="16"/>
        <v>6.9000000000000008E-4</v>
      </c>
      <c r="AR22" s="24">
        <v>6.2E-4</v>
      </c>
      <c r="AS22" s="24">
        <v>3.1E-4</v>
      </c>
      <c r="AT22" s="24">
        <v>1.22E-4</v>
      </c>
      <c r="AU22" s="24">
        <v>2.5999999999999998E-4</v>
      </c>
      <c r="AV22" s="24">
        <v>2.7999999999999998E-4</v>
      </c>
      <c r="AX22" s="1">
        <f t="shared" si="18"/>
        <v>13</v>
      </c>
    </row>
    <row r="23" spans="1:50" x14ac:dyDescent="0.25">
      <c r="A23" s="19">
        <v>28</v>
      </c>
      <c r="B23">
        <v>6.4999999999999997E-4</v>
      </c>
      <c r="C23" s="20">
        <f t="shared" si="9"/>
        <v>3.2499999999999997E-5</v>
      </c>
      <c r="D23" s="21">
        <v>0.01</v>
      </c>
      <c r="E23" s="20">
        <f t="shared" si="3"/>
        <v>0</v>
      </c>
      <c r="F23" s="22">
        <f t="shared" si="11"/>
        <v>9165536.5992925148</v>
      </c>
      <c r="G23" s="22">
        <f t="shared" si="12"/>
        <v>5927.7144686669999</v>
      </c>
      <c r="H23" s="22">
        <f t="shared" si="13"/>
        <v>296.29421285419301</v>
      </c>
      <c r="I23" s="22">
        <f t="shared" si="14"/>
        <v>91624.089083334999</v>
      </c>
      <c r="J23" s="22">
        <f t="shared" si="15"/>
        <v>0</v>
      </c>
      <c r="K23" s="4">
        <f t="shared" si="4"/>
        <v>6175736.6120361099</v>
      </c>
      <c r="L23" s="4">
        <f t="shared" si="5"/>
        <v>0</v>
      </c>
      <c r="M23" s="4">
        <f t="shared" si="6"/>
        <v>3870.450765384825</v>
      </c>
      <c r="N23" s="22">
        <f t="shared" si="7"/>
        <v>193.46278721459598</v>
      </c>
      <c r="O23" s="4">
        <f t="shared" si="8"/>
        <v>59825.169986642133</v>
      </c>
      <c r="P23" s="22">
        <f>+SUM(M23:$M$60)</f>
        <v>420432.39496937994</v>
      </c>
      <c r="Q23" s="22">
        <f>+SUM(N23:$N$60)</f>
        <v>20966.980844577352</v>
      </c>
      <c r="R23" s="22">
        <f>+SUM(O23:$O$60)</f>
        <v>820375.96386798285</v>
      </c>
      <c r="S23" s="22">
        <f>+SUM(P23:$P$60)</f>
        <v>9289630.8844723348</v>
      </c>
      <c r="T23" s="22">
        <f>+SUM(Q23:$Q$60)</f>
        <v>463044.35488782765</v>
      </c>
      <c r="U23" s="22">
        <f>+SUM(R23:$R$60)</f>
        <v>8161472.7010205528</v>
      </c>
      <c r="V23" s="23">
        <f t="shared" si="10"/>
        <v>0.74380259759265122</v>
      </c>
      <c r="W23" s="23"/>
      <c r="X23" s="14">
        <f t="shared" si="17"/>
        <v>14</v>
      </c>
      <c r="Y23" s="7">
        <v>2.0699999999999998E-3</v>
      </c>
      <c r="Z23" s="7">
        <v>1.39E-3</v>
      </c>
      <c r="AA23" s="7">
        <v>1.15E-3</v>
      </c>
      <c r="AB23" s="7">
        <v>4.2000000000000002E-4</v>
      </c>
      <c r="AC23" s="7">
        <v>3.1700000000000001E-4</v>
      </c>
      <c r="AD23" s="7">
        <v>1.06E-3</v>
      </c>
      <c r="AE23" s="7">
        <v>8.8000000000000003E-4</v>
      </c>
      <c r="AF23" s="7">
        <v>1.25E-3</v>
      </c>
      <c r="AG23" s="7">
        <v>8.8000000000000003E-4</v>
      </c>
      <c r="AH23" s="7">
        <v>2.0699999999999998E-3</v>
      </c>
      <c r="AI23" s="7">
        <v>1.39E-3</v>
      </c>
      <c r="AJ23" s="7">
        <v>1.15E-3</v>
      </c>
      <c r="AK23" s="7">
        <v>4.2000000000000002E-4</v>
      </c>
      <c r="AL23" s="7">
        <v>3.1700000000000001E-4</v>
      </c>
      <c r="AM23" s="7">
        <v>1.06E-3</v>
      </c>
      <c r="AN23" s="7">
        <v>8.8000000000000003E-4</v>
      </c>
      <c r="AO23" s="7">
        <v>1.25E-3</v>
      </c>
      <c r="AP23" s="24">
        <v>8.8000000000000003E-4</v>
      </c>
      <c r="AQ23" s="24">
        <f t="shared" si="16"/>
        <v>7.7000000000000007E-4</v>
      </c>
      <c r="AR23" s="24">
        <v>6.6E-4</v>
      </c>
      <c r="AS23" s="24">
        <v>3.1700000000000001E-4</v>
      </c>
      <c r="AT23" s="24">
        <v>1.3100000000000001E-4</v>
      </c>
      <c r="AU23" s="24">
        <v>2.7E-4</v>
      </c>
      <c r="AV23" s="24">
        <v>2.9E-4</v>
      </c>
      <c r="AX23" s="1">
        <f t="shared" si="18"/>
        <v>14</v>
      </c>
    </row>
    <row r="24" spans="1:50" x14ac:dyDescent="0.25">
      <c r="A24" s="19">
        <v>29</v>
      </c>
      <c r="B24" s="2">
        <v>6.9999999999999999E-4</v>
      </c>
      <c r="C24" s="20">
        <f t="shared" si="9"/>
        <v>3.5000000000000004E-5</v>
      </c>
      <c r="D24" s="21">
        <v>0.01</v>
      </c>
      <c r="E24" s="20">
        <f t="shared" si="3"/>
        <v>0</v>
      </c>
      <c r="F24" s="22">
        <f t="shared" si="11"/>
        <v>9067688.5015276596</v>
      </c>
      <c r="G24" s="22">
        <f t="shared" si="12"/>
        <v>6315.5345175257899</v>
      </c>
      <c r="H24" s="22">
        <f t="shared" si="13"/>
        <v>315.671728277478</v>
      </c>
      <c r="I24" s="22">
        <f t="shared" si="14"/>
        <v>90643.561815429406</v>
      </c>
      <c r="J24" s="22">
        <f t="shared" si="15"/>
        <v>0</v>
      </c>
      <c r="K24" s="4">
        <f t="shared" si="4"/>
        <v>6024258.0225100275</v>
      </c>
      <c r="L24" s="4">
        <f t="shared" si="5"/>
        <v>0</v>
      </c>
      <c r="M24" s="4">
        <f t="shared" si="6"/>
        <v>4065.9355187646534</v>
      </c>
      <c r="N24" s="22">
        <f t="shared" si="7"/>
        <v>203.22917857727964</v>
      </c>
      <c r="O24" s="4">
        <f t="shared" si="8"/>
        <v>58356.24467097038</v>
      </c>
      <c r="P24" s="22">
        <f>+SUM(M24:$M$60)</f>
        <v>416561.94420399511</v>
      </c>
      <c r="Q24" s="22">
        <f>+SUM(N24:$N$60)</f>
        <v>20773.518057362759</v>
      </c>
      <c r="R24" s="22">
        <f>+SUM(O24:$O$60)</f>
        <v>760550.79388134077</v>
      </c>
      <c r="S24" s="22">
        <f>+SUM(P24:$P$60)</f>
        <v>8869198.4895029552</v>
      </c>
      <c r="T24" s="22">
        <f>+SUM(Q24:$Q$60)</f>
        <v>442077.37404325034</v>
      </c>
      <c r="U24" s="22">
        <f>+SUM(R24:$R$60)</f>
        <v>7341096.7371525699</v>
      </c>
      <c r="V24" s="23">
        <f t="shared" si="10"/>
        <v>0.75182886242020219</v>
      </c>
      <c r="W24" s="23"/>
      <c r="X24" s="14">
        <f t="shared" si="17"/>
        <v>15</v>
      </c>
      <c r="Y24" s="7">
        <v>2.15E-3</v>
      </c>
      <c r="Z24" s="7">
        <v>1.4599999999999999E-3</v>
      </c>
      <c r="AA24" s="7">
        <v>1.33E-3</v>
      </c>
      <c r="AB24" s="7">
        <v>4.3100000000000001E-4</v>
      </c>
      <c r="AC24" s="7">
        <v>3.2499999999999999E-4</v>
      </c>
      <c r="AD24" s="7">
        <v>1.24E-3</v>
      </c>
      <c r="AE24" s="7">
        <v>1.0200000000000001E-3</v>
      </c>
      <c r="AF24" s="7">
        <v>1.2600000000000001E-3</v>
      </c>
      <c r="AG24" s="7">
        <v>1.0200000000000001E-3</v>
      </c>
      <c r="AH24" s="7">
        <v>2.15E-3</v>
      </c>
      <c r="AI24" s="7">
        <v>1.4599999999999999E-3</v>
      </c>
      <c r="AJ24" s="7">
        <v>1.33E-3</v>
      </c>
      <c r="AK24" s="7">
        <v>4.3100000000000001E-4</v>
      </c>
      <c r="AL24" s="7">
        <v>3.2499999999999999E-4</v>
      </c>
      <c r="AM24" s="7">
        <v>1.24E-3</v>
      </c>
      <c r="AN24" s="7">
        <v>1.0200000000000001E-3</v>
      </c>
      <c r="AO24" s="7">
        <v>1.2600000000000001E-3</v>
      </c>
      <c r="AP24" s="24">
        <v>1.0200000000000001E-3</v>
      </c>
      <c r="AQ24" s="24">
        <f t="shared" si="16"/>
        <v>8.6000000000000009E-4</v>
      </c>
      <c r="AR24" s="24">
        <v>6.9999999999999999E-4</v>
      </c>
      <c r="AS24" s="24">
        <v>3.2499999999999999E-4</v>
      </c>
      <c r="AT24" s="24">
        <v>1.3999999999999999E-4</v>
      </c>
      <c r="AU24" s="24">
        <v>2.9E-4</v>
      </c>
      <c r="AV24" s="24">
        <v>2.7999999999999998E-4</v>
      </c>
      <c r="AX24" s="1">
        <f t="shared" si="18"/>
        <v>15</v>
      </c>
    </row>
    <row r="25" spans="1:50" x14ac:dyDescent="0.25">
      <c r="A25" s="19">
        <v>30</v>
      </c>
      <c r="B25">
        <v>7.5000000000000002E-4</v>
      </c>
      <c r="C25" s="20">
        <f t="shared" si="9"/>
        <v>3.7500000000000003E-5</v>
      </c>
      <c r="D25" s="21">
        <v>0.01</v>
      </c>
      <c r="E25" s="20">
        <f t="shared" si="3"/>
        <v>0</v>
      </c>
      <c r="F25" s="22">
        <f t="shared" si="11"/>
        <v>8970413.7334664259</v>
      </c>
      <c r="G25" s="22">
        <f t="shared" si="12"/>
        <v>6694.0457328884104</v>
      </c>
      <c r="H25" s="22">
        <f t="shared" si="13"/>
        <v>334.58304671905501</v>
      </c>
      <c r="I25" s="22">
        <f t="shared" si="14"/>
        <v>89668.816961321005</v>
      </c>
      <c r="J25" s="22">
        <f t="shared" si="15"/>
        <v>0</v>
      </c>
      <c r="K25" s="4">
        <f t="shared" si="4"/>
        <v>5876186.1960329646</v>
      </c>
      <c r="L25" s="4">
        <f t="shared" si="5"/>
        <v>0</v>
      </c>
      <c r="M25" s="4">
        <f t="shared" si="6"/>
        <v>4249.2780641945028</v>
      </c>
      <c r="N25" s="22">
        <f t="shared" si="7"/>
        <v>212.38821152498767</v>
      </c>
      <c r="O25" s="4">
        <f t="shared" si="8"/>
        <v>56920.396447844978</v>
      </c>
      <c r="P25" s="22">
        <f>+SUM(M25:$M$60)</f>
        <v>412496.00868523045</v>
      </c>
      <c r="Q25" s="22">
        <f>+SUM(N25:$N$60)</f>
        <v>20570.288878785479</v>
      </c>
      <c r="R25" s="22">
        <f>+SUM(O25:$O$60)</f>
        <v>702194.5492103704</v>
      </c>
      <c r="S25" s="22">
        <f>+SUM(P25:$P$60)</f>
        <v>8452636.5452989601</v>
      </c>
      <c r="T25" s="22">
        <f>+SUM(Q25:$Q$60)</f>
        <v>421303.85598588758</v>
      </c>
      <c r="U25" s="22">
        <f>+SUM(R25:$R$60)</f>
        <v>6580545.9432712281</v>
      </c>
      <c r="V25" s="23">
        <f t="shared" si="10"/>
        <v>0.7599816612081578</v>
      </c>
      <c r="W25" s="23"/>
      <c r="X25" s="14">
        <f t="shared" si="17"/>
        <v>16</v>
      </c>
      <c r="Y25" s="7">
        <v>2.1900000000000001E-3</v>
      </c>
      <c r="Z25" s="7">
        <v>1.5399999999999999E-3</v>
      </c>
      <c r="AA25" s="7">
        <v>1.5100000000000001E-3</v>
      </c>
      <c r="AB25" s="7">
        <v>4.4200000000000001E-4</v>
      </c>
      <c r="AC25" s="7">
        <v>3.3300000000000002E-4</v>
      </c>
      <c r="AD25" s="7">
        <v>1.49E-3</v>
      </c>
      <c r="AE25" s="7">
        <v>1.16E-3</v>
      </c>
      <c r="AF25" s="7">
        <v>1.2700000000000001E-3</v>
      </c>
      <c r="AG25" s="7">
        <v>1.16E-3</v>
      </c>
      <c r="AH25" s="7">
        <v>2.1900000000000001E-3</v>
      </c>
      <c r="AI25" s="7">
        <v>1.5399999999999999E-3</v>
      </c>
      <c r="AJ25" s="7">
        <v>1.5100000000000001E-3</v>
      </c>
      <c r="AK25" s="7">
        <v>4.4200000000000001E-4</v>
      </c>
      <c r="AL25" s="7">
        <v>3.3300000000000002E-4</v>
      </c>
      <c r="AM25" s="7">
        <v>1.49E-3</v>
      </c>
      <c r="AN25" s="7">
        <v>1.16E-3</v>
      </c>
      <c r="AO25" s="7">
        <v>1.2700000000000001E-3</v>
      </c>
      <c r="AP25" s="24">
        <v>1.16E-3</v>
      </c>
      <c r="AQ25" s="24">
        <f t="shared" si="16"/>
        <v>9.5500000000000001E-4</v>
      </c>
      <c r="AR25" s="24">
        <v>7.5000000000000002E-4</v>
      </c>
      <c r="AS25" s="24">
        <v>3.3300000000000002E-4</v>
      </c>
      <c r="AT25" s="24">
        <v>1.4899999999999999E-4</v>
      </c>
      <c r="AU25" s="24">
        <v>2.9999999999999997E-4</v>
      </c>
      <c r="AV25" s="24">
        <v>2.5000000000000001E-4</v>
      </c>
      <c r="AX25" s="1">
        <f t="shared" si="18"/>
        <v>16</v>
      </c>
    </row>
    <row r="26" spans="1:50" x14ac:dyDescent="0.25">
      <c r="A26" s="19">
        <v>31</v>
      </c>
      <c r="B26" s="2">
        <v>8.0999999999999996E-4</v>
      </c>
      <c r="C26" s="20">
        <f t="shared" si="9"/>
        <v>4.0500000000000002E-5</v>
      </c>
      <c r="D26" s="26">
        <v>8.9999999999999993E-3</v>
      </c>
      <c r="E26" s="20">
        <f t="shared" si="3"/>
        <v>0</v>
      </c>
      <c r="F26" s="22">
        <f t="shared" si="11"/>
        <v>8873716.287725497</v>
      </c>
      <c r="G26" s="22">
        <f t="shared" si="12"/>
        <v>7155.2206010375703</v>
      </c>
      <c r="H26" s="22">
        <f t="shared" si="13"/>
        <v>357.62337870812701</v>
      </c>
      <c r="I26" s="22">
        <f t="shared" si="14"/>
        <v>79829.485313847399</v>
      </c>
      <c r="J26" s="22">
        <f t="shared" si="15"/>
        <v>0</v>
      </c>
      <c r="K26" s="4">
        <f t="shared" si="4"/>
        <v>5731452.7484621713</v>
      </c>
      <c r="L26" s="4">
        <f t="shared" si="5"/>
        <v>0</v>
      </c>
      <c r="M26" s="4">
        <f t="shared" si="6"/>
        <v>4478.4281062133796</v>
      </c>
      <c r="N26" s="22">
        <f t="shared" si="7"/>
        <v>223.83524980532718</v>
      </c>
      <c r="O26" s="4">
        <f t="shared" si="8"/>
        <v>49965.001873211324</v>
      </c>
      <c r="P26" s="22">
        <f>+SUM(M26:$M$60)</f>
        <v>408246.73062103597</v>
      </c>
      <c r="Q26" s="22">
        <f>+SUM(N26:$N$60)</f>
        <v>20357.900667260492</v>
      </c>
      <c r="R26" s="22">
        <f>+SUM(O26:$O$60)</f>
        <v>645274.15276252537</v>
      </c>
      <c r="S26" s="22">
        <f>+SUM(P26:$P$60)</f>
        <v>8040140.5366137289</v>
      </c>
      <c r="T26" s="22">
        <f>+SUM(Q26:$Q$60)</f>
        <v>400733.56710710214</v>
      </c>
      <c r="U26" s="22">
        <f>+SUM(R26:$R$60)</f>
        <v>5878351.3940608585</v>
      </c>
      <c r="V26" s="23">
        <f t="shared" si="10"/>
        <v>0.76826322927569102</v>
      </c>
      <c r="W26" s="23"/>
      <c r="X26" s="14">
        <f t="shared" si="17"/>
        <v>17</v>
      </c>
      <c r="Y26" s="7">
        <v>2.2499999999999998E-3</v>
      </c>
      <c r="Z26" s="7">
        <v>1.6199999999999999E-3</v>
      </c>
      <c r="AA26" s="7">
        <v>1.67E-3</v>
      </c>
      <c r="AB26" s="7">
        <v>4.55E-4</v>
      </c>
      <c r="AC26" s="7">
        <v>3.4299999999999999E-4</v>
      </c>
      <c r="AD26" s="7">
        <v>1.7799999999999999E-3</v>
      </c>
      <c r="AE26" s="7">
        <v>1.2800000000000001E-3</v>
      </c>
      <c r="AF26" s="7">
        <v>1.2800000000000001E-3</v>
      </c>
      <c r="AG26" s="7">
        <v>1.2800000000000001E-3</v>
      </c>
      <c r="AH26" s="7">
        <v>2.2499999999999998E-3</v>
      </c>
      <c r="AI26" s="7">
        <v>1.6199999999999999E-3</v>
      </c>
      <c r="AJ26" s="7">
        <v>1.67E-3</v>
      </c>
      <c r="AK26" s="7">
        <v>4.55E-4</v>
      </c>
      <c r="AL26" s="7">
        <v>3.4299999999999999E-4</v>
      </c>
      <c r="AM26" s="7">
        <v>1.7799999999999999E-3</v>
      </c>
      <c r="AN26" s="7">
        <v>1.2800000000000001E-3</v>
      </c>
      <c r="AO26" s="7">
        <v>1.2800000000000001E-3</v>
      </c>
      <c r="AP26" s="24">
        <v>1.2800000000000001E-3</v>
      </c>
      <c r="AQ26" s="24">
        <f t="shared" si="16"/>
        <v>1.0350000000000001E-3</v>
      </c>
      <c r="AR26" s="24">
        <v>7.9000000000000001E-4</v>
      </c>
      <c r="AS26" s="24">
        <v>3.4299999999999999E-4</v>
      </c>
      <c r="AT26" s="24">
        <v>1.5899999999999999E-4</v>
      </c>
      <c r="AU26" s="24">
        <v>3.2000000000000003E-4</v>
      </c>
      <c r="AV26" s="24">
        <v>2.4000000000000001E-4</v>
      </c>
      <c r="AX26" s="1">
        <f t="shared" si="18"/>
        <v>17</v>
      </c>
    </row>
    <row r="27" spans="1:50" x14ac:dyDescent="0.25">
      <c r="A27" s="19">
        <v>32</v>
      </c>
      <c r="B27">
        <v>8.7000000000000001E-4</v>
      </c>
      <c r="C27" s="20">
        <f t="shared" si="9"/>
        <v>4.35E-5</v>
      </c>
      <c r="D27" s="26">
        <v>8.9999999999999993E-3</v>
      </c>
      <c r="E27" s="20">
        <f t="shared" si="3"/>
        <v>0</v>
      </c>
      <c r="F27" s="22">
        <f t="shared" si="11"/>
        <v>8786373.9584319033</v>
      </c>
      <c r="G27" s="22">
        <f t="shared" si="12"/>
        <v>7609.5811777979898</v>
      </c>
      <c r="H27" s="22">
        <f t="shared" si="13"/>
        <v>380.32182249892202</v>
      </c>
      <c r="I27" s="22">
        <f t="shared" si="14"/>
        <v>79041.247787308195</v>
      </c>
      <c r="J27" s="22">
        <f t="shared" si="15"/>
        <v>0</v>
      </c>
      <c r="K27" s="4">
        <f t="shared" si="4"/>
        <v>5595578.1155629568</v>
      </c>
      <c r="L27" s="4">
        <f t="shared" si="5"/>
        <v>0</v>
      </c>
      <c r="M27" s="4">
        <f t="shared" si="6"/>
        <v>4696.1227004890952</v>
      </c>
      <c r="N27" s="22">
        <f t="shared" si="7"/>
        <v>234.70909927862866</v>
      </c>
      <c r="O27" s="4">
        <f t="shared" si="8"/>
        <v>48778.952393852145</v>
      </c>
      <c r="P27" s="22">
        <f>+SUM(M27:$M$60)</f>
        <v>403768.30251482263</v>
      </c>
      <c r="Q27" s="22">
        <f>+SUM(N27:$N$60)</f>
        <v>20134.065417455164</v>
      </c>
      <c r="R27" s="22">
        <f>+SUM(O27:$O$60)</f>
        <v>595309.15088931401</v>
      </c>
      <c r="S27" s="22">
        <f>+SUM(P27:$P$60)</f>
        <v>7631893.8059926927</v>
      </c>
      <c r="T27" s="22">
        <f>+SUM(Q27:$Q$60)</f>
        <v>380375.66643984162</v>
      </c>
      <c r="U27" s="22">
        <f>+SUM(R27:$R$60)</f>
        <v>5233077.2412983328</v>
      </c>
      <c r="V27" s="23">
        <f t="shared" si="10"/>
        <v>0.77590027047983445</v>
      </c>
      <c r="W27" s="23"/>
      <c r="X27" s="14">
        <f t="shared" si="17"/>
        <v>18</v>
      </c>
      <c r="Y27" s="7">
        <v>2.3E-3</v>
      </c>
      <c r="Z27" s="7">
        <v>1.6900000000000001E-3</v>
      </c>
      <c r="AA27" s="7">
        <v>1.7799999999999999E-3</v>
      </c>
      <c r="AB27" s="7">
        <v>4.6799999999999999E-4</v>
      </c>
      <c r="AC27" s="7">
        <v>3.5300000000000002E-4</v>
      </c>
      <c r="AD27" s="7">
        <v>2.0100000000000001E-3</v>
      </c>
      <c r="AE27" s="7">
        <v>1.3699999999999999E-3</v>
      </c>
      <c r="AF27" s="7">
        <v>1.2899999999999999E-3</v>
      </c>
      <c r="AG27" s="7">
        <v>1.3699999999999999E-3</v>
      </c>
      <c r="AH27" s="7">
        <v>2.3E-3</v>
      </c>
      <c r="AI27" s="7">
        <v>1.6900000000000001E-3</v>
      </c>
      <c r="AJ27" s="7">
        <v>1.7799999999999999E-3</v>
      </c>
      <c r="AK27" s="7">
        <v>4.6799999999999999E-4</v>
      </c>
      <c r="AL27" s="7">
        <v>3.5300000000000002E-4</v>
      </c>
      <c r="AM27" s="7">
        <v>2.0100000000000001E-3</v>
      </c>
      <c r="AN27" s="7">
        <v>1.3699999999999999E-3</v>
      </c>
      <c r="AO27" s="7">
        <v>1.2899999999999999E-3</v>
      </c>
      <c r="AP27" s="24">
        <v>1.3699999999999999E-3</v>
      </c>
      <c r="AQ27" s="24">
        <f t="shared" si="16"/>
        <v>1.0899999999999998E-3</v>
      </c>
      <c r="AR27" s="24">
        <v>8.0999999999999996E-4</v>
      </c>
      <c r="AS27" s="24">
        <v>3.5300000000000002E-4</v>
      </c>
      <c r="AT27" s="24">
        <v>1.6799999999999999E-4</v>
      </c>
      <c r="AU27" s="24">
        <v>3.6000000000000002E-4</v>
      </c>
      <c r="AV27" s="24">
        <v>2.3000000000000001E-4</v>
      </c>
      <c r="AX27" s="1">
        <f t="shared" si="18"/>
        <v>18</v>
      </c>
    </row>
    <row r="28" spans="1:50" x14ac:dyDescent="0.25">
      <c r="A28" s="19">
        <v>33</v>
      </c>
      <c r="B28" s="2">
        <v>9.3000000000000005E-4</v>
      </c>
      <c r="C28" s="20">
        <f t="shared" si="9"/>
        <v>4.6500000000000005E-5</v>
      </c>
      <c r="D28" s="26">
        <v>8.9999999999999993E-3</v>
      </c>
      <c r="E28" s="20">
        <f t="shared" si="3"/>
        <v>0</v>
      </c>
      <c r="F28" s="22">
        <f t="shared" si="11"/>
        <v>8699342.8076443002</v>
      </c>
      <c r="G28" s="22">
        <f t="shared" si="12"/>
        <v>8053.7948063762797</v>
      </c>
      <c r="H28" s="22">
        <f t="shared" si="13"/>
        <v>402.51184799003101</v>
      </c>
      <c r="I28" s="22">
        <f t="shared" si="14"/>
        <v>78255.859028123101</v>
      </c>
      <c r="J28" s="22">
        <f t="shared" si="15"/>
        <v>0</v>
      </c>
      <c r="K28" s="4">
        <f t="shared" si="4"/>
        <v>5462580.2112542726</v>
      </c>
      <c r="L28" s="4">
        <f t="shared" si="5"/>
        <v>0</v>
      </c>
      <c r="M28" s="4">
        <f t="shared" si="6"/>
        <v>4900.6687042753038</v>
      </c>
      <c r="N28" s="22">
        <f t="shared" si="7"/>
        <v>244.92518917703885</v>
      </c>
      <c r="O28" s="4">
        <f t="shared" si="8"/>
        <v>47618.054406064177</v>
      </c>
      <c r="P28" s="22">
        <f>+SUM(M28:$M$60)</f>
        <v>399072.1798143335</v>
      </c>
      <c r="Q28" s="22">
        <f>+SUM(N28:$N$60)</f>
        <v>19899.356318176538</v>
      </c>
      <c r="R28" s="22">
        <f>+SUM(O28:$O$60)</f>
        <v>546530.19849546195</v>
      </c>
      <c r="S28" s="22">
        <f>+SUM(P28:$P$60)</f>
        <v>7228125.5034778696</v>
      </c>
      <c r="T28" s="22">
        <f>+SUM(Q28:$Q$60)</f>
        <v>360241.60102238646</v>
      </c>
      <c r="U28" s="22">
        <f>+SUM(R28:$R$60)</f>
        <v>4637768.09040902</v>
      </c>
      <c r="V28" s="23">
        <f t="shared" si="10"/>
        <v>0.78366263769876221</v>
      </c>
      <c r="W28" s="23"/>
      <c r="X28" s="14">
        <f t="shared" si="17"/>
        <v>19</v>
      </c>
      <c r="Y28" s="7">
        <v>2.3700000000000001E-3</v>
      </c>
      <c r="Z28" s="7">
        <v>1.74E-3</v>
      </c>
      <c r="AA28" s="7">
        <v>1.8600000000000001E-3</v>
      </c>
      <c r="AB28" s="7">
        <v>4.84E-4</v>
      </c>
      <c r="AC28" s="7">
        <v>3.6499999999999998E-4</v>
      </c>
      <c r="AD28" s="7">
        <v>2.14E-3</v>
      </c>
      <c r="AE28" s="7">
        <v>1.3699999999999999E-3</v>
      </c>
      <c r="AF28" s="7">
        <v>1.31E-3</v>
      </c>
      <c r="AG28" s="7">
        <v>1.3699999999999999E-3</v>
      </c>
      <c r="AH28" s="7">
        <v>2.3700000000000001E-3</v>
      </c>
      <c r="AI28" s="7">
        <v>1.74E-3</v>
      </c>
      <c r="AJ28" s="7">
        <v>1.8600000000000001E-3</v>
      </c>
      <c r="AK28" s="7">
        <v>4.84E-4</v>
      </c>
      <c r="AL28" s="7">
        <v>3.6499999999999998E-4</v>
      </c>
      <c r="AM28" s="7">
        <v>2.14E-3</v>
      </c>
      <c r="AN28" s="7">
        <v>1.3699999999999999E-3</v>
      </c>
      <c r="AO28" s="7">
        <v>1.31E-3</v>
      </c>
      <c r="AP28" s="24">
        <v>1.4300000000000001E-3</v>
      </c>
      <c r="AQ28" s="24">
        <f t="shared" si="16"/>
        <v>1.14E-3</v>
      </c>
      <c r="AR28" s="24">
        <v>8.4999999999999995E-4</v>
      </c>
      <c r="AS28" s="24">
        <v>3.6499999999999998E-4</v>
      </c>
      <c r="AT28" s="24">
        <v>1.7899999999999999E-4</v>
      </c>
      <c r="AU28" s="24">
        <v>4.0999999999999999E-4</v>
      </c>
      <c r="AV28" s="24">
        <v>2.4000000000000001E-4</v>
      </c>
      <c r="AX28" s="1">
        <f t="shared" si="18"/>
        <v>19</v>
      </c>
    </row>
    <row r="29" spans="1:50" x14ac:dyDescent="0.25">
      <c r="A29" s="19">
        <v>34</v>
      </c>
      <c r="B29">
        <v>9.8999999999999999E-4</v>
      </c>
      <c r="C29" s="20">
        <f t="shared" si="9"/>
        <v>4.9500000000000004E-5</v>
      </c>
      <c r="D29" s="26">
        <v>8.9999999999999993E-3</v>
      </c>
      <c r="E29" s="20">
        <f t="shared" si="3"/>
        <v>0</v>
      </c>
      <c r="F29" s="22">
        <f t="shared" si="11"/>
        <v>8612630.6419618111</v>
      </c>
      <c r="G29" s="22">
        <f t="shared" si="12"/>
        <v>8487.9249846893708</v>
      </c>
      <c r="H29" s="22">
        <f t="shared" si="13"/>
        <v>424.19667195872802</v>
      </c>
      <c r="I29" s="22">
        <f t="shared" si="14"/>
        <v>77473.388994310299</v>
      </c>
      <c r="J29" s="22">
        <f t="shared" si="15"/>
        <v>0</v>
      </c>
      <c r="K29" s="4">
        <f t="shared" si="4"/>
        <v>5332407.2123937244</v>
      </c>
      <c r="L29" s="4">
        <f t="shared" si="5"/>
        <v>0</v>
      </c>
      <c r="M29" s="4">
        <f t="shared" si="6"/>
        <v>5092.5161962777038</v>
      </c>
      <c r="N29" s="22">
        <f t="shared" si="7"/>
        <v>254.50606906323637</v>
      </c>
      <c r="O29" s="4">
        <f t="shared" si="8"/>
        <v>46481.853803575599</v>
      </c>
      <c r="P29" s="22">
        <f>+SUM(M29:$M$60)</f>
        <v>394171.51111005823</v>
      </c>
      <c r="Q29" s="22">
        <f>+SUM(N29:$N$60)</f>
        <v>19654.431128999498</v>
      </c>
      <c r="R29" s="22">
        <f>+SUM(O29:$O$60)</f>
        <v>498912.1440893978</v>
      </c>
      <c r="S29" s="22">
        <f>+SUM(P29:$P$60)</f>
        <v>6829053.3236635365</v>
      </c>
      <c r="T29" s="22">
        <f>+SUM(Q29:$Q$60)</f>
        <v>340342.24470420991</v>
      </c>
      <c r="U29" s="22">
        <f>+SUM(R29:$R$60)</f>
        <v>4091237.8919135593</v>
      </c>
      <c r="V29" s="23">
        <f t="shared" si="10"/>
        <v>0.79155257136760382</v>
      </c>
      <c r="W29" s="23"/>
      <c r="X29" s="14">
        <f t="shared" si="17"/>
        <v>20</v>
      </c>
      <c r="Y29" s="7">
        <v>2.4299999999999999E-3</v>
      </c>
      <c r="Z29" s="7">
        <v>1.7899999999999999E-3</v>
      </c>
      <c r="AA29" s="7">
        <v>1.9E-3</v>
      </c>
      <c r="AB29" s="7">
        <v>5.0000000000000001E-4</v>
      </c>
      <c r="AC29" s="7">
        <v>3.77E-4</v>
      </c>
      <c r="AD29" s="7">
        <v>2.1800000000000001E-3</v>
      </c>
      <c r="AE29" s="7">
        <v>1.3699999999999999E-3</v>
      </c>
      <c r="AF29" s="7">
        <v>1.33E-3</v>
      </c>
      <c r="AG29" s="7">
        <v>1.3699999999999999E-3</v>
      </c>
      <c r="AH29" s="7">
        <v>2.4299999999999999E-3</v>
      </c>
      <c r="AI29" s="7">
        <v>1.7899999999999999E-3</v>
      </c>
      <c r="AJ29" s="7">
        <v>1.9E-3</v>
      </c>
      <c r="AK29" s="7">
        <v>5.0000000000000001E-4</v>
      </c>
      <c r="AL29" s="7">
        <v>3.77E-4</v>
      </c>
      <c r="AM29" s="7">
        <v>2.1800000000000001E-3</v>
      </c>
      <c r="AN29" s="7">
        <v>1.3699999999999999E-3</v>
      </c>
      <c r="AO29" s="7">
        <v>1.33E-3</v>
      </c>
      <c r="AP29" s="24">
        <v>1.4599999999999999E-3</v>
      </c>
      <c r="AQ29" s="24">
        <f t="shared" si="16"/>
        <v>1.165E-3</v>
      </c>
      <c r="AR29" s="24">
        <v>8.7000000000000001E-4</v>
      </c>
      <c r="AS29" s="24">
        <v>3.77E-4</v>
      </c>
      <c r="AT29" s="24">
        <v>1.8900000000000001E-4</v>
      </c>
      <c r="AU29" s="24">
        <v>4.8999999999999998E-4</v>
      </c>
      <c r="AV29" s="24">
        <v>2.5999999999999998E-4</v>
      </c>
      <c r="AX29" s="1">
        <f t="shared" si="18"/>
        <v>20</v>
      </c>
    </row>
    <row r="30" spans="1:50" x14ac:dyDescent="0.25">
      <c r="A30" s="19">
        <v>35</v>
      </c>
      <c r="B30" s="2">
        <v>1.07E-3</v>
      </c>
      <c r="C30" s="20">
        <f t="shared" si="9"/>
        <v>5.3499999999999999E-5</v>
      </c>
      <c r="D30" s="26">
        <v>8.9999999999999993E-3</v>
      </c>
      <c r="E30" s="20">
        <f t="shared" si="3"/>
        <v>0</v>
      </c>
      <c r="F30" s="22">
        <f t="shared" si="11"/>
        <v>8526245.1313108522</v>
      </c>
      <c r="G30" s="22">
        <f t="shared" si="12"/>
        <v>9081.7854759351103</v>
      </c>
      <c r="H30" s="22">
        <f t="shared" si="13"/>
        <v>453.85847674952697</v>
      </c>
      <c r="I30" s="22">
        <f t="shared" si="14"/>
        <v>76693.100716166096</v>
      </c>
      <c r="J30" s="22">
        <f t="shared" si="15"/>
        <v>0</v>
      </c>
      <c r="K30" s="4">
        <f t="shared" si="4"/>
        <v>5205008.0026124464</v>
      </c>
      <c r="L30" s="4">
        <f t="shared" si="5"/>
        <v>0</v>
      </c>
      <c r="M30" s="4">
        <f t="shared" si="6"/>
        <v>5372.522312077529</v>
      </c>
      <c r="N30" s="22">
        <f t="shared" si="7"/>
        <v>268.4895827283662</v>
      </c>
      <c r="O30" s="4">
        <f t="shared" si="8"/>
        <v>45369.426075062198</v>
      </c>
      <c r="P30" s="22">
        <f>+SUM(M30:$M$60)</f>
        <v>389078.99491378054</v>
      </c>
      <c r="Q30" s="22">
        <f>+SUM(N30:$N$60)</f>
        <v>19399.92505993626</v>
      </c>
      <c r="R30" s="22">
        <f>+SUM(O30:$O$60)</f>
        <v>452430.29028582218</v>
      </c>
      <c r="S30" s="22">
        <f>+SUM(P30:$P$60)</f>
        <v>6434881.8125534784</v>
      </c>
      <c r="T30" s="22">
        <f>+SUM(Q30:$Q$60)</f>
        <v>320687.8135752104</v>
      </c>
      <c r="U30" s="22">
        <f>+SUM(R30:$R$60)</f>
        <v>3592325.7478241613</v>
      </c>
      <c r="V30" s="23">
        <f t="shared" si="10"/>
        <v>0.79957235874546884</v>
      </c>
      <c r="W30" s="23"/>
      <c r="X30" s="14">
        <f t="shared" si="17"/>
        <v>21</v>
      </c>
      <c r="Y30" s="7">
        <v>2.5100000000000001E-3</v>
      </c>
      <c r="Z30" s="7">
        <v>1.83E-3</v>
      </c>
      <c r="AA30" s="7">
        <v>1.91E-3</v>
      </c>
      <c r="AB30" s="7">
        <v>5.1999999999999995E-4</v>
      </c>
      <c r="AC30" s="7">
        <v>3.9199999999999999E-4</v>
      </c>
      <c r="AD30" s="7">
        <v>2.2000000000000001E-3</v>
      </c>
      <c r="AE30" s="7">
        <v>1.3699999999999999E-3</v>
      </c>
      <c r="AF30" s="7">
        <v>1.3600000000000001E-3</v>
      </c>
      <c r="AG30" s="7">
        <v>1.3699999999999999E-3</v>
      </c>
      <c r="AH30" s="7">
        <v>2.5100000000000001E-3</v>
      </c>
      <c r="AI30" s="7">
        <v>1.83E-3</v>
      </c>
      <c r="AJ30" s="7">
        <v>1.91E-3</v>
      </c>
      <c r="AK30" s="7">
        <v>5.1999999999999995E-4</v>
      </c>
      <c r="AL30" s="7">
        <v>3.9199999999999999E-4</v>
      </c>
      <c r="AM30" s="7">
        <v>2.2000000000000001E-3</v>
      </c>
      <c r="AN30" s="7">
        <v>1.3699999999999999E-3</v>
      </c>
      <c r="AO30" s="7">
        <v>1.3600000000000001E-3</v>
      </c>
      <c r="AP30" s="24">
        <v>1.47E-3</v>
      </c>
      <c r="AQ30" s="24">
        <f t="shared" si="16"/>
        <v>1.1800000000000001E-3</v>
      </c>
      <c r="AR30" s="24">
        <v>8.8999999999999995E-4</v>
      </c>
      <c r="AS30" s="24">
        <v>3.9199999999999999E-4</v>
      </c>
      <c r="AT30" s="24">
        <v>2.0100000000000001E-4</v>
      </c>
      <c r="AU30" s="24">
        <v>5.9000000000000003E-4</v>
      </c>
      <c r="AV30" s="24">
        <v>2.9E-4</v>
      </c>
      <c r="AX30" s="1">
        <f t="shared" si="18"/>
        <v>21</v>
      </c>
    </row>
    <row r="31" spans="1:50" x14ac:dyDescent="0.25">
      <c r="A31" s="19">
        <v>36</v>
      </c>
      <c r="B31">
        <v>1.16E-3</v>
      </c>
      <c r="C31" s="20">
        <f t="shared" si="9"/>
        <v>5.8E-5</v>
      </c>
      <c r="D31" s="26">
        <v>7.0000000000000001E-3</v>
      </c>
      <c r="E31" s="20">
        <f t="shared" si="3"/>
        <v>0</v>
      </c>
      <c r="F31" s="22">
        <f t="shared" si="11"/>
        <v>8440016.3866420016</v>
      </c>
      <c r="G31" s="22">
        <f t="shared" si="12"/>
        <v>9755.86961355124</v>
      </c>
      <c r="H31" s="22">
        <f t="shared" si="13"/>
        <v>487.524698675031</v>
      </c>
      <c r="I31" s="22">
        <f t="shared" si="14"/>
        <v>59044.135910365301</v>
      </c>
      <c r="J31" s="22">
        <f t="shared" si="15"/>
        <v>0</v>
      </c>
      <c r="K31" s="4">
        <f t="shared" si="4"/>
        <v>5080225.3742360836</v>
      </c>
      <c r="L31" s="4">
        <f t="shared" si="5"/>
        <v>0</v>
      </c>
      <c r="M31" s="4">
        <f t="shared" si="6"/>
        <v>5690.4823230259653</v>
      </c>
      <c r="N31" s="22">
        <f t="shared" si="7"/>
        <v>284.36733881675644</v>
      </c>
      <c r="O31" s="4">
        <f t="shared" si="8"/>
        <v>34439.739867943208</v>
      </c>
      <c r="P31" s="22">
        <f>+SUM(M31:$M$60)</f>
        <v>383706.47260170296</v>
      </c>
      <c r="Q31" s="22">
        <f>+SUM(N31:$N$60)</f>
        <v>19131.435477207895</v>
      </c>
      <c r="R31" s="22">
        <f>+SUM(O31:$O$60)</f>
        <v>407060.86421075993</v>
      </c>
      <c r="S31" s="22">
        <f>+SUM(P31:$P$60)</f>
        <v>6045802.8176396992</v>
      </c>
      <c r="T31" s="22">
        <f>+SUM(Q31:$Q$60)</f>
        <v>301287.88851527416</v>
      </c>
      <c r="U31" s="22">
        <f>+SUM(R31:$R$60)</f>
        <v>3139895.4575383388</v>
      </c>
      <c r="V31" s="23">
        <f t="shared" si="10"/>
        <v>0.80774131453987397</v>
      </c>
      <c r="W31" s="23"/>
      <c r="X31" s="14">
        <f t="shared" si="17"/>
        <v>22</v>
      </c>
      <c r="Y31" s="7">
        <v>2.5899999999999999E-3</v>
      </c>
      <c r="Z31" s="7">
        <v>1.8600000000000001E-3</v>
      </c>
      <c r="AA31" s="7">
        <v>1.89E-3</v>
      </c>
      <c r="AB31" s="7">
        <v>5.4000000000000001E-4</v>
      </c>
      <c r="AC31" s="7">
        <v>4.08E-4</v>
      </c>
      <c r="AD31" s="7">
        <v>2.2200000000000002E-3</v>
      </c>
      <c r="AE31" s="7">
        <v>1.3699999999999999E-3</v>
      </c>
      <c r="AF31" s="7">
        <v>1.4E-3</v>
      </c>
      <c r="AG31" s="7">
        <v>1.3699999999999999E-3</v>
      </c>
      <c r="AH31" s="7">
        <v>2.5899999999999999E-3</v>
      </c>
      <c r="AI31" s="7">
        <v>1.8600000000000001E-3</v>
      </c>
      <c r="AJ31" s="7">
        <v>1.89E-3</v>
      </c>
      <c r="AK31" s="7">
        <v>5.4000000000000001E-4</v>
      </c>
      <c r="AL31" s="7">
        <v>4.08E-4</v>
      </c>
      <c r="AM31" s="7">
        <v>2.2200000000000002E-3</v>
      </c>
      <c r="AN31" s="7">
        <v>1.3699999999999999E-3</v>
      </c>
      <c r="AO31" s="7">
        <v>1.4E-3</v>
      </c>
      <c r="AP31" s="24">
        <v>1.4499999999999999E-3</v>
      </c>
      <c r="AQ31" s="24">
        <f t="shared" si="16"/>
        <v>1.1749999999999998E-3</v>
      </c>
      <c r="AR31" s="24">
        <v>8.9999999999999998E-4</v>
      </c>
      <c r="AS31" s="24">
        <v>4.08E-4</v>
      </c>
      <c r="AT31" s="24">
        <v>2.12E-4</v>
      </c>
      <c r="AU31" s="24">
        <v>6.8999999999999997E-4</v>
      </c>
      <c r="AV31" s="24">
        <v>3.3E-4</v>
      </c>
      <c r="AX31" s="1">
        <f t="shared" si="18"/>
        <v>22</v>
      </c>
    </row>
    <row r="32" spans="1:50" x14ac:dyDescent="0.25">
      <c r="A32" s="19">
        <v>37</v>
      </c>
      <c r="B32" s="2">
        <v>1.2700000000000001E-3</v>
      </c>
      <c r="C32" s="20">
        <f t="shared" si="9"/>
        <v>6.3500000000000012E-5</v>
      </c>
      <c r="D32" s="26">
        <v>7.0000000000000001E-3</v>
      </c>
      <c r="E32" s="20">
        <f t="shared" si="3"/>
        <v>0</v>
      </c>
      <c r="F32" s="22">
        <f t="shared" si="11"/>
        <v>8370728.8564194106</v>
      </c>
      <c r="G32" s="22">
        <f t="shared" si="12"/>
        <v>10593.2814105221</v>
      </c>
      <c r="H32" s="22">
        <f t="shared" si="13"/>
        <v>529.34454053048103</v>
      </c>
      <c r="I32" s="22">
        <f t="shared" si="14"/>
        <v>58556.034892031203</v>
      </c>
      <c r="J32" s="22">
        <f t="shared" si="15"/>
        <v>0</v>
      </c>
      <c r="K32" s="4">
        <f t="shared" si="4"/>
        <v>4967971.1659860546</v>
      </c>
      <c r="L32" s="4">
        <f t="shared" si="5"/>
        <v>0</v>
      </c>
      <c r="M32" s="4">
        <f t="shared" si="6"/>
        <v>6092.4181486560719</v>
      </c>
      <c r="N32" s="22">
        <f t="shared" si="7"/>
        <v>304.43713903574712</v>
      </c>
      <c r="O32" s="4">
        <f t="shared" si="8"/>
        <v>33676.802858762763</v>
      </c>
      <c r="P32" s="22">
        <f>+SUM(M32:$M$60)</f>
        <v>378015.99027867703</v>
      </c>
      <c r="Q32" s="22">
        <f>+SUM(N32:$N$60)</f>
        <v>18847.06813839114</v>
      </c>
      <c r="R32" s="22">
        <f>+SUM(O32:$O$60)</f>
        <v>372621.12434281677</v>
      </c>
      <c r="S32" s="22">
        <f>+SUM(P32:$P$60)</f>
        <v>5662096.3450379968</v>
      </c>
      <c r="T32" s="22">
        <f>+SUM(Q32:$Q$60)</f>
        <v>282156.45303806622</v>
      </c>
      <c r="U32" s="22">
        <f>+SUM(R32:$R$60)</f>
        <v>2732834.5933275786</v>
      </c>
      <c r="V32" s="23">
        <f t="shared" si="10"/>
        <v>0.81442727960972539</v>
      </c>
      <c r="W32" s="23"/>
      <c r="X32" s="14">
        <f t="shared" si="17"/>
        <v>23</v>
      </c>
      <c r="Y32" s="7">
        <v>2.6800000000000001E-3</v>
      </c>
      <c r="Z32" s="7">
        <v>1.89E-3</v>
      </c>
      <c r="AA32" s="7">
        <v>1.8600000000000001E-3</v>
      </c>
      <c r="AB32" s="7">
        <v>5.6999999999999998E-4</v>
      </c>
      <c r="AC32" s="7">
        <v>4.2400000000000001E-4</v>
      </c>
      <c r="AD32" s="7">
        <v>2.2300000000000002E-3</v>
      </c>
      <c r="AE32" s="7">
        <v>1.3699999999999999E-3</v>
      </c>
      <c r="AF32" s="7">
        <v>1.4400000000000001E-3</v>
      </c>
      <c r="AG32" s="7">
        <v>1.3699999999999999E-3</v>
      </c>
      <c r="AH32" s="7">
        <v>2.6800000000000001E-3</v>
      </c>
      <c r="AI32" s="7">
        <v>1.89E-3</v>
      </c>
      <c r="AJ32" s="7">
        <v>1.8600000000000001E-3</v>
      </c>
      <c r="AK32" s="7">
        <v>5.6999999999999998E-4</v>
      </c>
      <c r="AL32" s="7">
        <v>4.2400000000000001E-4</v>
      </c>
      <c r="AM32" s="7">
        <v>2.2300000000000002E-3</v>
      </c>
      <c r="AN32" s="7">
        <v>1.3699999999999999E-3</v>
      </c>
      <c r="AO32" s="7">
        <v>1.4400000000000001E-3</v>
      </c>
      <c r="AP32" s="24">
        <v>1.4300000000000001E-3</v>
      </c>
      <c r="AQ32" s="24">
        <f t="shared" si="16"/>
        <v>1.175E-3</v>
      </c>
      <c r="AR32" s="24">
        <v>9.2000000000000003E-4</v>
      </c>
      <c r="AS32" s="24">
        <v>4.2400000000000001E-4</v>
      </c>
      <c r="AT32" s="24">
        <v>2.2499999999999999E-4</v>
      </c>
      <c r="AU32" s="24">
        <v>7.6999999999999996E-4</v>
      </c>
      <c r="AV32" s="24">
        <v>3.6999999999999999E-4</v>
      </c>
      <c r="AX32" s="1">
        <f t="shared" si="18"/>
        <v>23</v>
      </c>
    </row>
    <row r="33" spans="1:50" x14ac:dyDescent="0.25">
      <c r="A33" s="19">
        <v>38</v>
      </c>
      <c r="B33">
        <v>1.39E-3</v>
      </c>
      <c r="C33" s="20">
        <f t="shared" si="9"/>
        <v>6.9499999999999995E-5</v>
      </c>
      <c r="D33" s="26">
        <v>7.0000000000000001E-3</v>
      </c>
      <c r="E33" s="20">
        <f t="shared" si="3"/>
        <v>0</v>
      </c>
      <c r="F33" s="22">
        <f t="shared" si="11"/>
        <v>8301050.1955763269</v>
      </c>
      <c r="G33" s="22">
        <f t="shared" si="12"/>
        <v>11497.675604537701</v>
      </c>
      <c r="H33" s="22">
        <f t="shared" si="13"/>
        <v>574.50420002057899</v>
      </c>
      <c r="I33" s="22">
        <f t="shared" si="14"/>
        <v>58064.948932737898</v>
      </c>
      <c r="J33" s="22">
        <f t="shared" si="15"/>
        <v>0</v>
      </c>
      <c r="K33" s="4">
        <f t="shared" si="4"/>
        <v>4857635.6200214876</v>
      </c>
      <c r="L33" s="4">
        <f t="shared" si="5"/>
        <v>0</v>
      </c>
      <c r="M33" s="4">
        <f t="shared" si="6"/>
        <v>6519.9662474761199</v>
      </c>
      <c r="N33" s="22">
        <f t="shared" si="7"/>
        <v>325.78306450819838</v>
      </c>
      <c r="O33" s="4">
        <f t="shared" si="8"/>
        <v>32926.786267431627</v>
      </c>
      <c r="P33" s="22">
        <f>+SUM(M33:$M$60)</f>
        <v>371923.572130021</v>
      </c>
      <c r="Q33" s="22">
        <f>+SUM(N33:$N$60)</f>
        <v>18542.630999355391</v>
      </c>
      <c r="R33" s="22">
        <f>+SUM(O33:$O$60)</f>
        <v>338944.32148405397</v>
      </c>
      <c r="S33" s="22">
        <f>+SUM(P33:$P$60)</f>
        <v>5284080.3547593197</v>
      </c>
      <c r="T33" s="22">
        <f>+SUM(Q33:$Q$60)</f>
        <v>263309.38489967503</v>
      </c>
      <c r="U33" s="22">
        <f>+SUM(R33:$R$60)</f>
        <v>2360213.4689847622</v>
      </c>
      <c r="V33" s="23">
        <f t="shared" si="10"/>
        <v>0.82126354741443308</v>
      </c>
      <c r="W33" s="23"/>
      <c r="X33" s="14">
        <f t="shared" si="17"/>
        <v>24</v>
      </c>
      <c r="Y33" s="7">
        <v>2.7699999999999999E-3</v>
      </c>
      <c r="Z33" s="7">
        <v>1.91E-3</v>
      </c>
      <c r="AA33" s="7">
        <v>1.82E-3</v>
      </c>
      <c r="AB33" s="7">
        <v>5.9000000000000003E-4</v>
      </c>
      <c r="AC33" s="7">
        <v>4.44E-4</v>
      </c>
      <c r="AD33" s="7">
        <v>2.2899999999999999E-3</v>
      </c>
      <c r="AE33" s="7">
        <v>1.3699999999999999E-3</v>
      </c>
      <c r="AF33" s="7">
        <v>1.5E-3</v>
      </c>
      <c r="AG33" s="7">
        <v>1.3699999999999999E-3</v>
      </c>
      <c r="AH33" s="7">
        <v>2.7699999999999999E-3</v>
      </c>
      <c r="AI33" s="7">
        <v>1.91E-3</v>
      </c>
      <c r="AJ33" s="7">
        <v>1.82E-3</v>
      </c>
      <c r="AK33" s="7">
        <v>5.9000000000000003E-4</v>
      </c>
      <c r="AL33" s="7">
        <v>4.44E-4</v>
      </c>
      <c r="AM33" s="7">
        <v>2.2899999999999999E-3</v>
      </c>
      <c r="AN33" s="7">
        <v>1.3699999999999999E-3</v>
      </c>
      <c r="AO33" s="7">
        <v>1.5E-3</v>
      </c>
      <c r="AP33" s="24">
        <v>1.39E-3</v>
      </c>
      <c r="AQ33" s="24">
        <f t="shared" si="16"/>
        <v>1.175E-3</v>
      </c>
      <c r="AR33" s="24">
        <v>9.6000000000000002E-4</v>
      </c>
      <c r="AS33" s="24">
        <v>4.44E-4</v>
      </c>
      <c r="AT33" s="24">
        <v>2.3900000000000001E-4</v>
      </c>
      <c r="AU33" s="24">
        <v>8.3000000000000001E-4</v>
      </c>
      <c r="AV33" s="24">
        <v>3.8999999999999999E-4</v>
      </c>
      <c r="AX33" s="1">
        <f t="shared" si="18"/>
        <v>24</v>
      </c>
    </row>
    <row r="34" spans="1:50" x14ac:dyDescent="0.25">
      <c r="A34" s="19">
        <v>39</v>
      </c>
      <c r="B34">
        <v>1.5499999999999999E-3</v>
      </c>
      <c r="C34" s="20">
        <f t="shared" si="9"/>
        <v>7.75E-5</v>
      </c>
      <c r="D34" s="26">
        <v>7.0000000000000001E-3</v>
      </c>
      <c r="E34" s="20">
        <f t="shared" si="3"/>
        <v>0</v>
      </c>
      <c r="F34" s="22">
        <f t="shared" si="11"/>
        <v>8230913.06683903</v>
      </c>
      <c r="G34" s="22">
        <f t="shared" si="12"/>
        <v>12712.7699112891</v>
      </c>
      <c r="H34" s="22">
        <f t="shared" si="13"/>
        <v>635.17048858682404</v>
      </c>
      <c r="I34" s="22">
        <f t="shared" si="14"/>
        <v>57569.5078596085</v>
      </c>
      <c r="J34" s="22">
        <f t="shared" si="15"/>
        <v>0</v>
      </c>
      <c r="K34" s="4">
        <f t="shared" si="4"/>
        <v>4749151.3662208887</v>
      </c>
      <c r="L34" s="4">
        <f t="shared" si="5"/>
        <v>0</v>
      </c>
      <c r="M34" s="4">
        <f t="shared" si="6"/>
        <v>7108.0681891690429</v>
      </c>
      <c r="N34" s="22">
        <f t="shared" si="7"/>
        <v>355.14173355829655</v>
      </c>
      <c r="O34" s="4">
        <f t="shared" si="8"/>
        <v>32188.735447781411</v>
      </c>
      <c r="P34" s="22">
        <f>+SUM(M34:$M$60)</f>
        <v>365403.60588254483</v>
      </c>
      <c r="Q34" s="22">
        <f>+SUM(N34:$N$60)</f>
        <v>18216.847934847196</v>
      </c>
      <c r="R34" s="22">
        <f>+SUM(O34:$O$60)</f>
        <v>306017.53521662235</v>
      </c>
      <c r="S34" s="22">
        <f>+SUM(P34:$P$60)</f>
        <v>4912156.782629298</v>
      </c>
      <c r="T34" s="22">
        <f>+SUM(Q34:$Q$60)</f>
        <v>244766.7539003196</v>
      </c>
      <c r="U34" s="22">
        <f>+SUM(R34:$R$60)</f>
        <v>2021269.1475007078</v>
      </c>
      <c r="V34" s="23">
        <f t="shared" si="10"/>
        <v>0.82826168561423019</v>
      </c>
      <c r="W34" s="23"/>
      <c r="X34" s="14">
        <f t="shared" si="17"/>
        <v>25</v>
      </c>
      <c r="Y34" s="7">
        <v>2.8800000000000002E-3</v>
      </c>
      <c r="Z34" s="7">
        <v>1.9300000000000001E-3</v>
      </c>
      <c r="AA34" s="7">
        <v>1.7700000000000001E-3</v>
      </c>
      <c r="AB34" s="7">
        <v>6.2E-4</v>
      </c>
      <c r="AC34" s="7">
        <v>4.64E-4</v>
      </c>
      <c r="AD34" s="7">
        <v>2.2699999999999999E-3</v>
      </c>
      <c r="AE34" s="7">
        <v>1.3699999999999999E-3</v>
      </c>
      <c r="AF34" s="7">
        <v>1.56E-3</v>
      </c>
      <c r="AG34" s="7">
        <v>1.3699999999999999E-3</v>
      </c>
      <c r="AH34" s="7">
        <v>2.8800000000000002E-3</v>
      </c>
      <c r="AI34" s="7">
        <v>1.9300000000000001E-3</v>
      </c>
      <c r="AJ34" s="7">
        <v>1.7700000000000001E-3</v>
      </c>
      <c r="AK34" s="7">
        <v>6.2E-4</v>
      </c>
      <c r="AL34" s="7">
        <v>4.64E-4</v>
      </c>
      <c r="AM34" s="7">
        <v>2.2699999999999999E-3</v>
      </c>
      <c r="AN34" s="7">
        <v>1.3699999999999999E-3</v>
      </c>
      <c r="AO34" s="7">
        <v>1.56E-3</v>
      </c>
      <c r="AP34" s="24">
        <v>1.3699999999999999E-3</v>
      </c>
      <c r="AQ34" s="24">
        <f t="shared" si="16"/>
        <v>1.1849999999999999E-3</v>
      </c>
      <c r="AR34" s="24">
        <v>1E-3</v>
      </c>
      <c r="AS34" s="24">
        <v>4.64E-4</v>
      </c>
      <c r="AT34" s="24">
        <v>2.5300000000000002E-4</v>
      </c>
      <c r="AU34" s="24">
        <v>8.4999999999999995E-4</v>
      </c>
      <c r="AV34" s="24">
        <v>4.2000000000000002E-4</v>
      </c>
      <c r="AX34" s="1">
        <f t="shared" si="18"/>
        <v>25</v>
      </c>
    </row>
    <row r="35" spans="1:50" x14ac:dyDescent="0.25">
      <c r="A35" s="19">
        <v>40</v>
      </c>
      <c r="B35" s="27">
        <v>1.73E-3</v>
      </c>
      <c r="C35" s="20">
        <f t="shared" si="9"/>
        <v>8.6500000000000002E-5</v>
      </c>
      <c r="D35" s="26">
        <v>7.0000000000000001E-3</v>
      </c>
      <c r="E35" s="20">
        <f t="shared" si="3"/>
        <v>0</v>
      </c>
      <c r="F35" s="22">
        <f t="shared" si="11"/>
        <v>8159995.618579546</v>
      </c>
      <c r="G35" s="22">
        <f t="shared" si="12"/>
        <v>14066.775232329401</v>
      </c>
      <c r="H35" s="22">
        <f t="shared" si="13"/>
        <v>702.76076799088696</v>
      </c>
      <c r="I35" s="22">
        <f t="shared" si="14"/>
        <v>57068.092254842202</v>
      </c>
      <c r="J35" s="22">
        <f t="shared" si="15"/>
        <v>0</v>
      </c>
      <c r="K35" s="4">
        <f t="shared" si="4"/>
        <v>4642308.7921310291</v>
      </c>
      <c r="L35" s="4">
        <f t="shared" si="5"/>
        <v>0</v>
      </c>
      <c r="M35" s="4">
        <f t="shared" si="6"/>
        <v>7755.0044123162106</v>
      </c>
      <c r="N35" s="22">
        <f t="shared" si="7"/>
        <v>387.43157309051378</v>
      </c>
      <c r="O35" s="4">
        <f t="shared" si="8"/>
        <v>31461.603667458556</v>
      </c>
      <c r="P35" s="22">
        <f>+SUM(M35:$M$60)</f>
        <v>358295.53769337578</v>
      </c>
      <c r="Q35" s="22">
        <f>+SUM(N35:$N$60)</f>
        <v>17861.7062012889</v>
      </c>
      <c r="R35" s="22">
        <f>+SUM(O35:$O$60)</f>
        <v>273828.79976884089</v>
      </c>
      <c r="S35" s="22">
        <f>+SUM(P35:$P$60)</f>
        <v>4546753.176746754</v>
      </c>
      <c r="T35" s="22">
        <f>+SUM(Q35:$Q$60)</f>
        <v>226549.90596547243</v>
      </c>
      <c r="U35" s="22">
        <f>+SUM(R35:$R$60)</f>
        <v>1715251.6122840857</v>
      </c>
      <c r="V35" s="23">
        <f t="shared" si="10"/>
        <v>0.8354599989443402</v>
      </c>
      <c r="W35" s="23"/>
      <c r="X35" s="14">
        <f t="shared" si="17"/>
        <v>26</v>
      </c>
      <c r="Y35" s="7">
        <v>2.99E-3</v>
      </c>
      <c r="Z35" s="7">
        <v>1.9599999999999999E-3</v>
      </c>
      <c r="AA35" s="7">
        <v>1.73E-3</v>
      </c>
      <c r="AB35" s="7">
        <v>6.4999999999999997E-4</v>
      </c>
      <c r="AC35" s="7">
        <v>4.8799999999999999E-4</v>
      </c>
      <c r="AD35" s="7">
        <v>2.1700000000000001E-3</v>
      </c>
      <c r="AE35" s="7">
        <v>1.3699999999999999E-3</v>
      </c>
      <c r="AF35" s="7">
        <v>1.6299999999999999E-3</v>
      </c>
      <c r="AG35" s="7">
        <v>1.3699999999999999E-3</v>
      </c>
      <c r="AH35" s="7">
        <v>2.99E-3</v>
      </c>
      <c r="AI35" s="7">
        <v>1.9599999999999999E-3</v>
      </c>
      <c r="AJ35" s="7">
        <v>1.73E-3</v>
      </c>
      <c r="AK35" s="7">
        <v>6.4999999999999997E-4</v>
      </c>
      <c r="AL35" s="7">
        <v>4.8799999999999999E-4</v>
      </c>
      <c r="AM35" s="7">
        <v>2.1700000000000001E-3</v>
      </c>
      <c r="AN35" s="7">
        <v>1.3699999999999999E-3</v>
      </c>
      <c r="AO35" s="7">
        <v>1.6299999999999999E-3</v>
      </c>
      <c r="AP35" s="24">
        <v>1.3600000000000001E-3</v>
      </c>
      <c r="AQ35" s="24">
        <f t="shared" si="16"/>
        <v>1.1900000000000001E-3</v>
      </c>
      <c r="AR35" s="24">
        <v>1.0200000000000001E-3</v>
      </c>
      <c r="AS35" s="24">
        <v>4.8799999999999999E-4</v>
      </c>
      <c r="AT35" s="24">
        <v>2.6800000000000001E-4</v>
      </c>
      <c r="AU35" s="24">
        <v>8.3000000000000001E-4</v>
      </c>
      <c r="AV35" s="24">
        <v>4.4000000000000002E-4</v>
      </c>
      <c r="AX35" s="1">
        <f t="shared" si="18"/>
        <v>26</v>
      </c>
    </row>
    <row r="36" spans="1:50" x14ac:dyDescent="0.25">
      <c r="A36" s="19">
        <v>41</v>
      </c>
      <c r="B36" s="27">
        <v>1.9300000000000001E-3</v>
      </c>
      <c r="C36" s="20">
        <f t="shared" si="9"/>
        <v>9.6500000000000015E-5</v>
      </c>
      <c r="D36" s="26">
        <v>6.0000000000000001E-3</v>
      </c>
      <c r="E36" s="20">
        <f t="shared" si="3"/>
        <v>0</v>
      </c>
      <c r="F36" s="22">
        <f t="shared" si="11"/>
        <v>8088157.9903243836</v>
      </c>
      <c r="G36" s="22">
        <f t="shared" si="12"/>
        <v>15562.563556638101</v>
      </c>
      <c r="H36" s="22">
        <f t="shared" si="13"/>
        <v>777.41479440412797</v>
      </c>
      <c r="I36" s="22">
        <f t="shared" si="14"/>
        <v>48479.778245012603</v>
      </c>
      <c r="J36" s="22">
        <f t="shared" si="15"/>
        <v>0</v>
      </c>
      <c r="K36" s="4">
        <f t="shared" si="4"/>
        <v>4537010.9550303435</v>
      </c>
      <c r="L36" s="4">
        <f t="shared" si="5"/>
        <v>0</v>
      </c>
      <c r="M36" s="4">
        <f t="shared" si="6"/>
        <v>8459.5009148502395</v>
      </c>
      <c r="N36" s="22">
        <f t="shared" si="7"/>
        <v>422.5872646588906</v>
      </c>
      <c r="O36" s="4">
        <f t="shared" si="8"/>
        <v>26352.646009949261</v>
      </c>
      <c r="P36" s="22">
        <f>+SUM(M36:$M$60)</f>
        <v>350540.53328105964</v>
      </c>
      <c r="Q36" s="22">
        <f>+SUM(N36:$N$60)</f>
        <v>17474.274628198385</v>
      </c>
      <c r="R36" s="22">
        <f>+SUM(O36:$O$60)</f>
        <v>242367.19610138235</v>
      </c>
      <c r="S36" s="22">
        <f>+SUM(P36:$P$60)</f>
        <v>4188457.6390533783</v>
      </c>
      <c r="T36" s="22">
        <f>+SUM(Q36:$Q$60)</f>
        <v>208688.19976418352</v>
      </c>
      <c r="U36" s="22">
        <f>+SUM(R36:$R$60)</f>
        <v>1441422.8125152448</v>
      </c>
      <c r="V36" s="23">
        <f t="shared" si="10"/>
        <v>0.84288041097115995</v>
      </c>
      <c r="W36" s="23"/>
      <c r="X36" s="14">
        <f t="shared" si="17"/>
        <v>27</v>
      </c>
      <c r="Y36" s="7">
        <v>3.1099999999999999E-3</v>
      </c>
      <c r="Z36" s="7">
        <v>1.99E-3</v>
      </c>
      <c r="AA36" s="7">
        <v>1.7099999999999999E-3</v>
      </c>
      <c r="AB36" s="7">
        <v>6.8000000000000005E-4</v>
      </c>
      <c r="AC36" s="7">
        <v>5.13E-4</v>
      </c>
      <c r="AD36" s="7">
        <v>2.0200000000000001E-3</v>
      </c>
      <c r="AE36" s="7">
        <v>1.3699999999999999E-3</v>
      </c>
      <c r="AF36" s="7">
        <v>1.72E-3</v>
      </c>
      <c r="AG36" s="7">
        <v>1.3699999999999999E-3</v>
      </c>
      <c r="AH36" s="7">
        <v>3.1099999999999999E-3</v>
      </c>
      <c r="AI36" s="7">
        <v>1.99E-3</v>
      </c>
      <c r="AJ36" s="7">
        <v>1.7099999999999999E-3</v>
      </c>
      <c r="AK36" s="7">
        <v>6.8000000000000005E-4</v>
      </c>
      <c r="AL36" s="7">
        <v>5.13E-4</v>
      </c>
      <c r="AM36" s="7">
        <v>2.0200000000000001E-3</v>
      </c>
      <c r="AN36" s="7">
        <v>1.3699999999999999E-3</v>
      </c>
      <c r="AO36" s="7">
        <v>1.72E-3</v>
      </c>
      <c r="AP36" s="24">
        <v>1.3500000000000001E-3</v>
      </c>
      <c r="AQ36" s="24">
        <f t="shared" si="16"/>
        <v>1.1949999999999999E-3</v>
      </c>
      <c r="AR36" s="24">
        <v>1.0399999999999999E-3</v>
      </c>
      <c r="AS36" s="24">
        <v>5.13E-4</v>
      </c>
      <c r="AT36" s="24">
        <v>2.8400000000000002E-4</v>
      </c>
      <c r="AU36" s="24">
        <v>7.9000000000000001E-4</v>
      </c>
      <c r="AV36" s="24">
        <v>4.6000000000000001E-4</v>
      </c>
      <c r="AX36" s="1">
        <f t="shared" si="18"/>
        <v>27</v>
      </c>
    </row>
    <row r="37" spans="1:50" x14ac:dyDescent="0.25">
      <c r="A37" s="19">
        <v>42</v>
      </c>
      <c r="B37" s="27">
        <v>2.16E-3</v>
      </c>
      <c r="C37" s="20">
        <f t="shared" si="9"/>
        <v>1.0800000000000001E-4</v>
      </c>
      <c r="D37" s="26">
        <v>6.0000000000000001E-3</v>
      </c>
      <c r="E37" s="20">
        <f t="shared" si="3"/>
        <v>0</v>
      </c>
      <c r="F37" s="22">
        <f t="shared" si="11"/>
        <v>8023338.2337283287</v>
      </c>
      <c r="G37" s="22">
        <f t="shared" si="12"/>
        <v>17277.486318453601</v>
      </c>
      <c r="H37" s="22">
        <f t="shared" si="13"/>
        <v>862.98793300986404</v>
      </c>
      <c r="I37" s="22">
        <f t="shared" si="14"/>
        <v>48085.441416554197</v>
      </c>
      <c r="J37" s="22">
        <f t="shared" si="15"/>
        <v>0</v>
      </c>
      <c r="K37" s="4">
        <f t="shared" si="4"/>
        <v>4437633.2326079691</v>
      </c>
      <c r="L37" s="4">
        <f t="shared" si="5"/>
        <v>0</v>
      </c>
      <c r="M37" s="4">
        <f t="shared" si="6"/>
        <v>9260.197809717527</v>
      </c>
      <c r="N37" s="22">
        <f t="shared" si="7"/>
        <v>462.53481668425144</v>
      </c>
      <c r="O37" s="4">
        <f t="shared" si="8"/>
        <v>25772.308024303493</v>
      </c>
      <c r="P37" s="22">
        <f>+SUM(M37:$M$60)</f>
        <v>342081.03236620937</v>
      </c>
      <c r="Q37" s="22">
        <f>+SUM(N37:$N$60)</f>
        <v>17051.687363539495</v>
      </c>
      <c r="R37" s="22">
        <f>+SUM(O37:$O$60)</f>
        <v>216014.55009143314</v>
      </c>
      <c r="S37" s="22">
        <f>+SUM(P37:$P$60)</f>
        <v>3837917.1057723179</v>
      </c>
      <c r="T37" s="22">
        <f>+SUM(Q37:$Q$60)</f>
        <v>191213.9251359851</v>
      </c>
      <c r="U37" s="22">
        <f>+SUM(R37:$R$60)</f>
        <v>1199055.6164138624</v>
      </c>
      <c r="V37" s="23">
        <f t="shared" si="10"/>
        <v>0.8496899585045119</v>
      </c>
      <c r="W37" s="23"/>
      <c r="X37" s="14">
        <f t="shared" si="17"/>
        <v>28</v>
      </c>
      <c r="Y37" s="7">
        <v>3.2499999999999999E-3</v>
      </c>
      <c r="Z37" s="7">
        <v>2.0300000000000001E-3</v>
      </c>
      <c r="AA37" s="7">
        <v>1.6999999999999999E-3</v>
      </c>
      <c r="AB37" s="7">
        <v>7.2000000000000005E-4</v>
      </c>
      <c r="AC37" s="7">
        <v>5.4199999999999995E-4</v>
      </c>
      <c r="AD37" s="7">
        <v>1.8699999999999999E-3</v>
      </c>
      <c r="AE37" s="7">
        <v>1.3699999999999999E-3</v>
      </c>
      <c r="AF37" s="7">
        <v>1.82E-3</v>
      </c>
      <c r="AG37" s="7">
        <v>1.3699999999999999E-3</v>
      </c>
      <c r="AH37" s="7">
        <v>3.2499999999999999E-3</v>
      </c>
      <c r="AI37" s="7">
        <v>2.0300000000000001E-3</v>
      </c>
      <c r="AJ37" s="7">
        <v>1.6999999999999999E-3</v>
      </c>
      <c r="AK37" s="7">
        <v>7.2000000000000005E-4</v>
      </c>
      <c r="AL37" s="7">
        <v>5.4199999999999995E-4</v>
      </c>
      <c r="AM37" s="7">
        <v>1.8699999999999999E-3</v>
      </c>
      <c r="AN37" s="7">
        <v>1.3699999999999999E-3</v>
      </c>
      <c r="AO37" s="7">
        <v>1.82E-3</v>
      </c>
      <c r="AP37" s="24">
        <v>1.3600000000000001E-3</v>
      </c>
      <c r="AQ37" s="24">
        <f t="shared" si="16"/>
        <v>1.2000000000000001E-3</v>
      </c>
      <c r="AR37" s="24">
        <v>1.0399999999999999E-3</v>
      </c>
      <c r="AS37" s="24">
        <v>5.4199999999999995E-4</v>
      </c>
      <c r="AT37" s="24">
        <v>3.0200000000000002E-4</v>
      </c>
      <c r="AU37" s="24">
        <v>7.5000000000000002E-4</v>
      </c>
      <c r="AV37" s="24">
        <v>4.8000000000000001E-4</v>
      </c>
      <c r="AX37" s="1">
        <f t="shared" si="18"/>
        <v>28</v>
      </c>
    </row>
    <row r="38" spans="1:50" x14ac:dyDescent="0.25">
      <c r="A38" s="19">
        <v>43</v>
      </c>
      <c r="B38" s="27">
        <v>2.4099999999999998E-3</v>
      </c>
      <c r="C38" s="20">
        <f t="shared" si="9"/>
        <v>1.205E-4</v>
      </c>
      <c r="D38" s="26">
        <v>6.0000000000000001E-3</v>
      </c>
      <c r="E38" s="20">
        <f t="shared" si="3"/>
        <v>0</v>
      </c>
      <c r="F38" s="22">
        <f t="shared" si="11"/>
        <v>7957112.3180603115</v>
      </c>
      <c r="G38" s="22">
        <f t="shared" si="12"/>
        <v>19117.958838042199</v>
      </c>
      <c r="H38" s="22">
        <f t="shared" si="13"/>
        <v>954.80361179972999</v>
      </c>
      <c r="I38" s="22">
        <f t="shared" si="14"/>
        <v>47682.270956377099</v>
      </c>
      <c r="J38" s="22">
        <f t="shared" si="15"/>
        <v>0</v>
      </c>
      <c r="K38" s="4">
        <f t="shared" si="4"/>
        <v>4339382.1208300134</v>
      </c>
      <c r="L38" s="4">
        <f t="shared" si="5"/>
        <v>0</v>
      </c>
      <c r="M38" s="4">
        <f t="shared" si="6"/>
        <v>10103.162326997513</v>
      </c>
      <c r="N38" s="22">
        <f t="shared" si="7"/>
        <v>504.57980175273036</v>
      </c>
      <c r="O38" s="4">
        <f t="shared" si="8"/>
        <v>25198.386902766775</v>
      </c>
      <c r="P38" s="22">
        <f>+SUM(M38:$M$60)</f>
        <v>332820.83455649187</v>
      </c>
      <c r="Q38" s="22">
        <f>+SUM(N38:$N$60)</f>
        <v>16589.152546855243</v>
      </c>
      <c r="R38" s="22">
        <f>+SUM(O38:$O$60)</f>
        <v>190242.24206712961</v>
      </c>
      <c r="S38" s="22">
        <f>+SUM(P38:$P$60)</f>
        <v>3495836.0734061087</v>
      </c>
      <c r="T38" s="22">
        <f>+SUM(Q38:$Q$60)</f>
        <v>174162.2377724456</v>
      </c>
      <c r="U38" s="22">
        <f>+SUM(R38:$R$60)</f>
        <v>983041.06632242934</v>
      </c>
      <c r="V38" s="23">
        <f t="shared" si="10"/>
        <v>0.85676180734698226</v>
      </c>
      <c r="W38" s="23"/>
      <c r="X38" s="14">
        <f t="shared" si="17"/>
        <v>29</v>
      </c>
      <c r="Y38" s="7">
        <v>3.3999999999999998E-3</v>
      </c>
      <c r="Z38" s="7">
        <v>2.0799999999999998E-3</v>
      </c>
      <c r="AA38" s="7">
        <v>1.7099999999999999E-3</v>
      </c>
      <c r="AB38" s="7">
        <v>7.6000000000000004E-4</v>
      </c>
      <c r="AC38" s="7">
        <v>5.7200000000000003E-4</v>
      </c>
      <c r="AD38" s="7">
        <v>1.7600000000000001E-3</v>
      </c>
      <c r="AE38" s="7">
        <v>1.3699999999999999E-3</v>
      </c>
      <c r="AF38" s="7">
        <v>1.9400000000000001E-3</v>
      </c>
      <c r="AG38" s="7">
        <v>1.3699999999999999E-3</v>
      </c>
      <c r="AH38" s="7">
        <v>3.3999999999999998E-3</v>
      </c>
      <c r="AI38" s="7">
        <v>2.0799999999999998E-3</v>
      </c>
      <c r="AJ38" s="7">
        <v>1.7099999999999999E-3</v>
      </c>
      <c r="AK38" s="7">
        <v>7.6000000000000004E-4</v>
      </c>
      <c r="AL38" s="7">
        <v>5.7200000000000003E-4</v>
      </c>
      <c r="AM38" s="7">
        <v>1.7600000000000001E-3</v>
      </c>
      <c r="AN38" s="7">
        <v>1.3699999999999999E-3</v>
      </c>
      <c r="AO38" s="7">
        <v>1.9400000000000001E-3</v>
      </c>
      <c r="AP38" s="24">
        <v>1.3699999999999999E-3</v>
      </c>
      <c r="AQ38" s="24">
        <f t="shared" si="16"/>
        <v>1.2049999999999999E-3</v>
      </c>
      <c r="AR38" s="24">
        <v>1.0399999999999999E-3</v>
      </c>
      <c r="AS38" s="24">
        <v>5.7200000000000003E-4</v>
      </c>
      <c r="AT38" s="24">
        <v>3.2000000000000003E-4</v>
      </c>
      <c r="AU38" s="24">
        <v>7.3999999999999999E-4</v>
      </c>
      <c r="AV38" s="24">
        <v>5.1000000000000004E-4</v>
      </c>
      <c r="AX38" s="1">
        <f t="shared" si="18"/>
        <v>29</v>
      </c>
    </row>
    <row r="39" spans="1:50" x14ac:dyDescent="0.25">
      <c r="A39" s="19">
        <v>44</v>
      </c>
      <c r="B39" s="28">
        <v>2.7000000000000001E-3</v>
      </c>
      <c r="C39" s="20">
        <f t="shared" si="9"/>
        <v>1.35E-4</v>
      </c>
      <c r="D39" s="26">
        <v>6.0000000000000001E-3</v>
      </c>
      <c r="E39" s="20">
        <f t="shared" si="3"/>
        <v>0</v>
      </c>
      <c r="F39" s="22">
        <f t="shared" si="11"/>
        <v>7889357.284654092</v>
      </c>
      <c r="G39" s="22">
        <f t="shared" si="12"/>
        <v>21235.927352701299</v>
      </c>
      <c r="H39" s="22">
        <f t="shared" si="13"/>
        <v>1060.43452186898</v>
      </c>
      <c r="I39" s="22">
        <f t="shared" si="14"/>
        <v>47269.049037724697</v>
      </c>
      <c r="J39" s="22">
        <f t="shared" si="15"/>
        <v>0</v>
      </c>
      <c r="K39" s="4">
        <f t="shared" si="4"/>
        <v>4242190.1746704979</v>
      </c>
      <c r="L39" s="4">
        <f t="shared" si="5"/>
        <v>0</v>
      </c>
      <c r="M39" s="4">
        <f t="shared" si="6"/>
        <v>11065.298704463075</v>
      </c>
      <c r="N39" s="22">
        <f t="shared" si="7"/>
        <v>552.55532504504106</v>
      </c>
      <c r="O39" s="4">
        <f t="shared" si="8"/>
        <v>24630.24752304038</v>
      </c>
      <c r="P39" s="22">
        <f>+SUM(M39:$M$60)</f>
        <v>322717.67222949426</v>
      </c>
      <c r="Q39" s="22">
        <f>+SUM(N39:$N$60)</f>
        <v>16084.57274510251</v>
      </c>
      <c r="R39" s="22">
        <f>+SUM(O39:$O$60)</f>
        <v>165043.85516436285</v>
      </c>
      <c r="S39" s="22">
        <f>+SUM(P39:$P$60)</f>
        <v>3163015.2388496171</v>
      </c>
      <c r="T39" s="22">
        <f>+SUM(Q39:$Q$60)</f>
        <v>157573.08522559036</v>
      </c>
      <c r="U39" s="22">
        <f>+SUM(R39:$R$60)</f>
        <v>792798.82425529975</v>
      </c>
      <c r="V39" s="23">
        <f t="shared" si="10"/>
        <v>0.86411981165373142</v>
      </c>
      <c r="W39" s="23"/>
      <c r="X39" s="14">
        <f t="shared" si="17"/>
        <v>30</v>
      </c>
      <c r="Y39" s="7">
        <v>3.5599999999999998E-3</v>
      </c>
      <c r="Z39" s="7">
        <v>2.1299999999999999E-3</v>
      </c>
      <c r="AA39" s="7">
        <v>1.73E-3</v>
      </c>
      <c r="AB39" s="7">
        <v>8.0999999999999996E-4</v>
      </c>
      <c r="AC39" s="7">
        <v>6.0700000000000001E-4</v>
      </c>
      <c r="AD39" s="7">
        <v>1.73E-3</v>
      </c>
      <c r="AE39" s="7">
        <v>1.3699999999999999E-3</v>
      </c>
      <c r="AF39" s="7">
        <v>2.0699999999999998E-3</v>
      </c>
      <c r="AG39" s="7">
        <v>1.3699999999999999E-3</v>
      </c>
      <c r="AH39" s="7">
        <v>3.5599999999999998E-3</v>
      </c>
      <c r="AI39" s="7">
        <v>2.1299999999999999E-3</v>
      </c>
      <c r="AJ39" s="7">
        <v>1.73E-3</v>
      </c>
      <c r="AK39" s="7">
        <v>8.0999999999999996E-4</v>
      </c>
      <c r="AL39" s="7">
        <v>6.0700000000000001E-4</v>
      </c>
      <c r="AM39" s="7">
        <v>1.73E-3</v>
      </c>
      <c r="AN39" s="7">
        <v>1.3699999999999999E-3</v>
      </c>
      <c r="AO39" s="7">
        <v>2.0699999999999998E-3</v>
      </c>
      <c r="AP39" s="24">
        <v>1.3699999999999999E-3</v>
      </c>
      <c r="AQ39" s="24">
        <f t="shared" si="16"/>
        <v>1.2049999999999999E-3</v>
      </c>
      <c r="AR39" s="24">
        <v>1.0399999999999999E-3</v>
      </c>
      <c r="AS39" s="24">
        <v>6.0700000000000001E-4</v>
      </c>
      <c r="AT39" s="24">
        <v>3.4200000000000002E-4</v>
      </c>
      <c r="AU39" s="24">
        <v>7.6000000000000004E-4</v>
      </c>
      <c r="AV39" s="24">
        <v>5.4000000000000001E-4</v>
      </c>
      <c r="AX39" s="1">
        <f t="shared" si="18"/>
        <v>30</v>
      </c>
    </row>
    <row r="40" spans="1:50" x14ac:dyDescent="0.25">
      <c r="A40" s="19">
        <v>45</v>
      </c>
      <c r="B40" s="27">
        <v>3.0200000000000001E-3</v>
      </c>
      <c r="C40" s="20">
        <f t="shared" si="9"/>
        <v>1.5100000000000001E-4</v>
      </c>
      <c r="D40" s="26">
        <v>5.0000000000000001E-3</v>
      </c>
      <c r="E40" s="20">
        <f t="shared" si="3"/>
        <v>0</v>
      </c>
      <c r="F40" s="22">
        <f t="shared" si="11"/>
        <v>7819791.8737417972</v>
      </c>
      <c r="G40" s="22">
        <f t="shared" si="12"/>
        <v>23554.953496785201</v>
      </c>
      <c r="H40" s="22">
        <f t="shared" si="13"/>
        <v>1176.05806823441</v>
      </c>
      <c r="I40" s="22">
        <f t="shared" si="14"/>
        <v>39036.972426106797</v>
      </c>
      <c r="J40" s="22">
        <f t="shared" si="15"/>
        <v>0</v>
      </c>
      <c r="K40" s="4">
        <f t="shared" si="4"/>
        <v>4145909.3897709502</v>
      </c>
      <c r="L40" s="4">
        <f t="shared" si="5"/>
        <v>0</v>
      </c>
      <c r="M40" s="4">
        <f t="shared" si="6"/>
        <v>12101.808177440884</v>
      </c>
      <c r="N40" s="22">
        <f t="shared" si="7"/>
        <v>604.22234114140645</v>
      </c>
      <c r="O40" s="4">
        <f t="shared" si="8"/>
        <v>20055.991712879819</v>
      </c>
      <c r="P40" s="22">
        <f>+SUM(M40:$M$60)</f>
        <v>311652.37352503126</v>
      </c>
      <c r="Q40" s="22">
        <f>+SUM(N40:$N$60)</f>
        <v>15532.017420057471</v>
      </c>
      <c r="R40" s="22">
        <f>+SUM(O40:$O$60)</f>
        <v>140413.60764132248</v>
      </c>
      <c r="S40" s="22">
        <f>+SUM(P40:$P$60)</f>
        <v>2840297.5666201222</v>
      </c>
      <c r="T40" s="22">
        <f>+SUM(Q40:$Q$60)</f>
        <v>141488.5124804879</v>
      </c>
      <c r="U40" s="22">
        <f>+SUM(R40:$R$60)</f>
        <v>627754.96909093671</v>
      </c>
      <c r="V40" s="23">
        <f t="shared" si="10"/>
        <v>0.87180708143606411</v>
      </c>
      <c r="W40" s="23"/>
      <c r="X40" s="14">
        <f t="shared" si="17"/>
        <v>31</v>
      </c>
      <c r="Y40" s="7">
        <v>3.7299999999999998E-3</v>
      </c>
      <c r="Z40" s="7">
        <v>2.1900000000000001E-3</v>
      </c>
      <c r="AA40" s="7">
        <v>1.7799999999999999E-3</v>
      </c>
      <c r="AB40" s="7">
        <v>8.5999999999999998E-4</v>
      </c>
      <c r="AC40" s="7">
        <v>6.4499999999999996E-4</v>
      </c>
      <c r="AD40" s="7">
        <v>1.7700000000000001E-3</v>
      </c>
      <c r="AE40" s="7">
        <v>1.39E-3</v>
      </c>
      <c r="AF40" s="7">
        <v>2.2100000000000002E-3</v>
      </c>
      <c r="AG40" s="7">
        <v>1.39E-3</v>
      </c>
      <c r="AH40" s="7">
        <v>3.7299999999999998E-3</v>
      </c>
      <c r="AI40" s="7">
        <v>2.1900000000000001E-3</v>
      </c>
      <c r="AJ40" s="7">
        <v>1.7799999999999999E-3</v>
      </c>
      <c r="AK40" s="7">
        <v>8.5999999999999998E-4</v>
      </c>
      <c r="AL40" s="7">
        <v>6.4499999999999996E-4</v>
      </c>
      <c r="AM40" s="7">
        <v>1.7700000000000001E-3</v>
      </c>
      <c r="AN40" s="7">
        <v>1.39E-3</v>
      </c>
      <c r="AO40" s="7">
        <v>2.2100000000000002E-3</v>
      </c>
      <c r="AP40" s="24">
        <v>1.39E-3</v>
      </c>
      <c r="AQ40" s="24">
        <f t="shared" si="16"/>
        <v>1.225E-3</v>
      </c>
      <c r="AR40" s="24">
        <v>1.06E-3</v>
      </c>
      <c r="AS40" s="24">
        <v>6.4499999999999996E-4</v>
      </c>
      <c r="AT40" s="24">
        <v>3.6400000000000001E-4</v>
      </c>
      <c r="AU40" s="24">
        <v>8.0000000000000004E-4</v>
      </c>
      <c r="AV40" s="24">
        <v>5.6999999999999998E-4</v>
      </c>
      <c r="AX40" s="1">
        <f t="shared" si="18"/>
        <v>31</v>
      </c>
    </row>
    <row r="41" spans="1:50" x14ac:dyDescent="0.25">
      <c r="A41" s="19">
        <v>46</v>
      </c>
      <c r="B41" s="27">
        <v>3.3800000000000002E-3</v>
      </c>
      <c r="C41" s="20">
        <f>$E$3*B41</f>
        <v>1.6900000000000002E-4</v>
      </c>
      <c r="D41" s="26">
        <v>5.0000000000000001E-3</v>
      </c>
      <c r="E41" s="20">
        <f t="shared" si="3"/>
        <v>0</v>
      </c>
      <c r="F41" s="22">
        <f t="shared" si="11"/>
        <v>7756023.8897506706</v>
      </c>
      <c r="G41" s="22">
        <f t="shared" si="12"/>
        <v>26147.612685500699</v>
      </c>
      <c r="H41" s="22">
        <f t="shared" si="13"/>
        <v>1305.2814572862501</v>
      </c>
      <c r="I41" s="22">
        <f t="shared" si="14"/>
        <v>38711.309664786502</v>
      </c>
      <c r="J41" s="22">
        <f t="shared" si="15"/>
        <v>0</v>
      </c>
      <c r="K41" s="4">
        <f t="shared" si="4"/>
        <v>4054523.7851398569</v>
      </c>
      <c r="L41" s="4">
        <f t="shared" si="5"/>
        <v>0</v>
      </c>
      <c r="M41" s="4">
        <f t="shared" si="6"/>
        <v>13245.737966737297</v>
      </c>
      <c r="N41" s="22">
        <f t="shared" si="7"/>
        <v>661.22350686500522</v>
      </c>
      <c r="O41" s="4">
        <f t="shared" si="8"/>
        <v>19610.198083334821</v>
      </c>
      <c r="P41" s="22">
        <f>+SUM(M41:$M$60)</f>
        <v>299550.56534759037</v>
      </c>
      <c r="Q41" s="22">
        <f>+SUM(N41:$N$60)</f>
        <v>14927.795078916064</v>
      </c>
      <c r="R41" s="22">
        <f>+SUM(O41:$O$60)</f>
        <v>120357.61592844265</v>
      </c>
      <c r="S41" s="22">
        <f>+SUM(P41:$P$60)</f>
        <v>2528645.1930950913</v>
      </c>
      <c r="T41" s="22">
        <f>+SUM(Q41:$Q$60)</f>
        <v>125956.4950604304</v>
      </c>
      <c r="U41" s="22">
        <f>+SUM(R41:$R$60)</f>
        <v>487341.36144961434</v>
      </c>
      <c r="V41" s="23">
        <f t="shared" si="10"/>
        <v>0.87897484945774729</v>
      </c>
      <c r="W41" s="23"/>
      <c r="X41" s="14">
        <f t="shared" si="17"/>
        <v>32</v>
      </c>
      <c r="Y41" s="7">
        <v>3.9199999999999999E-3</v>
      </c>
      <c r="Z41" s="7">
        <v>2.2499999999999998E-3</v>
      </c>
      <c r="AA41" s="7">
        <v>1.83E-3</v>
      </c>
      <c r="AB41" s="7">
        <v>9.2000000000000003E-4</v>
      </c>
      <c r="AC41" s="7">
        <v>6.87E-4</v>
      </c>
      <c r="AD41" s="7">
        <v>1.83E-3</v>
      </c>
      <c r="AE41" s="7">
        <v>1.42E-3</v>
      </c>
      <c r="AF41" s="7">
        <v>2.3800000000000002E-3</v>
      </c>
      <c r="AG41" s="7">
        <v>1.42E-3</v>
      </c>
      <c r="AH41" s="7">
        <v>3.9199999999999999E-3</v>
      </c>
      <c r="AI41" s="7">
        <v>2.2499999999999998E-3</v>
      </c>
      <c r="AJ41" s="7">
        <v>1.83E-3</v>
      </c>
      <c r="AK41" s="7">
        <v>9.2000000000000003E-4</v>
      </c>
      <c r="AL41" s="7">
        <v>6.87E-4</v>
      </c>
      <c r="AM41" s="7">
        <v>1.83E-3</v>
      </c>
      <c r="AN41" s="7">
        <v>1.42E-3</v>
      </c>
      <c r="AO41" s="7">
        <v>2.3800000000000002E-3</v>
      </c>
      <c r="AP41" s="24">
        <v>1.42E-3</v>
      </c>
      <c r="AQ41" s="24">
        <f t="shared" si="16"/>
        <v>1.255E-3</v>
      </c>
      <c r="AR41" s="24">
        <v>1.09E-3</v>
      </c>
      <c r="AS41" s="24">
        <v>6.87E-4</v>
      </c>
      <c r="AT41" s="24">
        <v>3.88E-4</v>
      </c>
      <c r="AU41" s="24">
        <v>8.3000000000000001E-4</v>
      </c>
      <c r="AV41" s="24">
        <v>5.9999999999999995E-4</v>
      </c>
      <c r="AX41" s="1">
        <f t="shared" si="18"/>
        <v>32</v>
      </c>
    </row>
    <row r="42" spans="1:50" x14ac:dyDescent="0.25">
      <c r="A42" s="19">
        <v>47</v>
      </c>
      <c r="B42" s="27">
        <v>3.7699999999999999E-3</v>
      </c>
      <c r="C42" s="20">
        <f t="shared" si="9"/>
        <v>1.885E-4</v>
      </c>
      <c r="D42" s="26">
        <v>5.0000000000000001E-3</v>
      </c>
      <c r="E42" s="20">
        <f t="shared" si="3"/>
        <v>0</v>
      </c>
      <c r="F42" s="22">
        <f t="shared" si="11"/>
        <v>7689859.6859430969</v>
      </c>
      <c r="G42" s="22">
        <f t="shared" si="12"/>
        <v>28915.568539247601</v>
      </c>
      <c r="H42" s="22">
        <f t="shared" si="13"/>
        <v>1443.1891552054401</v>
      </c>
      <c r="I42" s="22">
        <f t="shared" si="14"/>
        <v>38373.204486748902</v>
      </c>
      <c r="J42" s="22">
        <f t="shared" si="15"/>
        <v>0</v>
      </c>
      <c r="K42" s="4">
        <f t="shared" si="4"/>
        <v>3963649.398348562</v>
      </c>
      <c r="L42" s="4">
        <f t="shared" si="5"/>
        <v>0</v>
      </c>
      <c r="M42" s="4">
        <f t="shared" si="6"/>
        <v>14442.81852713588</v>
      </c>
      <c r="N42" s="22">
        <f t="shared" si="7"/>
        <v>720.84763059979855</v>
      </c>
      <c r="O42" s="4">
        <f t="shared" si="8"/>
        <v>19166.741541136988</v>
      </c>
      <c r="P42" s="22">
        <f>+SUM(M42:$M$60)</f>
        <v>286304.82738085306</v>
      </c>
      <c r="Q42" s="22">
        <f>+SUM(N42:$N$60)</f>
        <v>14266.571572051058</v>
      </c>
      <c r="R42" s="22">
        <f>+SUM(O42:$O$60)</f>
        <v>100747.41784510783</v>
      </c>
      <c r="S42" s="22">
        <f>+SUM(P42:$P$60)</f>
        <v>2229094.6277474998</v>
      </c>
      <c r="T42" s="22">
        <f>+SUM(Q42:$Q$60)</f>
        <v>111028.69998151435</v>
      </c>
      <c r="U42" s="22">
        <f>+SUM(R42:$R$60)</f>
        <v>366983.74552117166</v>
      </c>
      <c r="V42" s="23">
        <f t="shared" si="10"/>
        <v>0.88653762348177312</v>
      </c>
      <c r="W42" s="23"/>
      <c r="X42" s="14">
        <f t="shared" si="17"/>
        <v>33</v>
      </c>
      <c r="Y42" s="7">
        <v>4.1200000000000004E-3</v>
      </c>
      <c r="Z42" s="7">
        <v>2.32E-3</v>
      </c>
      <c r="AA42" s="7">
        <v>1.91E-3</v>
      </c>
      <c r="AB42" s="7">
        <v>9.7999999999999997E-4</v>
      </c>
      <c r="AC42" s="7">
        <v>7.3399999999999995E-4</v>
      </c>
      <c r="AD42" s="7">
        <v>1.8799999999999999E-3</v>
      </c>
      <c r="AE42" s="7">
        <v>1.47E-3</v>
      </c>
      <c r="AF42" s="7">
        <v>2.5600000000000002E-3</v>
      </c>
      <c r="AG42" s="7">
        <v>1.47E-3</v>
      </c>
      <c r="AH42" s="7">
        <v>4.1200000000000004E-3</v>
      </c>
      <c r="AI42" s="7">
        <v>2.32E-3</v>
      </c>
      <c r="AJ42" s="7">
        <v>1.91E-3</v>
      </c>
      <c r="AK42" s="7">
        <v>9.7999999999999997E-4</v>
      </c>
      <c r="AL42" s="7">
        <v>7.3399999999999995E-4</v>
      </c>
      <c r="AM42" s="7">
        <v>1.8799999999999999E-3</v>
      </c>
      <c r="AN42" s="7">
        <v>1.47E-3</v>
      </c>
      <c r="AO42" s="7">
        <v>2.5600000000000002E-3</v>
      </c>
      <c r="AP42" s="24">
        <v>1.47E-3</v>
      </c>
      <c r="AQ42" s="24">
        <f t="shared" si="16"/>
        <v>1.2949999999999999E-3</v>
      </c>
      <c r="AR42" s="24">
        <v>1.1199999999999999E-3</v>
      </c>
      <c r="AS42" s="24">
        <v>7.3399999999999995E-4</v>
      </c>
      <c r="AT42" s="24">
        <v>4.1399999999999998E-4</v>
      </c>
      <c r="AU42" s="24">
        <v>8.4000000000000003E-4</v>
      </c>
      <c r="AV42" s="24">
        <v>6.2E-4</v>
      </c>
      <c r="AX42" s="1">
        <f t="shared" si="18"/>
        <v>33</v>
      </c>
    </row>
    <row r="43" spans="1:50" x14ac:dyDescent="0.25">
      <c r="A43" s="19">
        <v>48</v>
      </c>
      <c r="B43" s="27">
        <v>4.1799999999999997E-3</v>
      </c>
      <c r="C43" s="20">
        <f t="shared" si="9"/>
        <v>2.0899999999999998E-4</v>
      </c>
      <c r="D43" s="26">
        <v>5.0000000000000001E-3</v>
      </c>
      <c r="E43" s="20">
        <f t="shared" si="3"/>
        <v>0</v>
      </c>
      <c r="F43" s="22">
        <f t="shared" si="11"/>
        <v>7621127.7237618947</v>
      </c>
      <c r="G43" s="22">
        <f t="shared" si="12"/>
        <v>31773.352438272399</v>
      </c>
      <c r="H43" s="22">
        <f t="shared" si="13"/>
        <v>1585.5129926915599</v>
      </c>
      <c r="I43" s="22">
        <f t="shared" si="14"/>
        <v>38022.0241173225</v>
      </c>
      <c r="J43" s="22">
        <f t="shared" si="15"/>
        <v>0</v>
      </c>
      <c r="K43" s="4">
        <f t="shared" si="4"/>
        <v>3873219.9438823657</v>
      </c>
      <c r="L43" s="4">
        <f t="shared" si="5"/>
        <v>0</v>
      </c>
      <c r="M43" s="4">
        <f t="shared" si="6"/>
        <v>15648.01886930961</v>
      </c>
      <c r="N43" s="22">
        <f t="shared" si="7"/>
        <v>780.84732403900125</v>
      </c>
      <c r="O43" s="4">
        <f t="shared" si="8"/>
        <v>18725.419421607548</v>
      </c>
      <c r="P43" s="22">
        <f>+SUM(M43:$M$60)</f>
        <v>271862.00885371718</v>
      </c>
      <c r="Q43" s="22">
        <f>+SUM(N43:$N$60)</f>
        <v>13545.723941451261</v>
      </c>
      <c r="R43" s="22">
        <f>+SUM(O43:$O$60)</f>
        <v>81580.676303970846</v>
      </c>
      <c r="S43" s="22">
        <f>+SUM(P43:$P$60)</f>
        <v>1942789.8003666468</v>
      </c>
      <c r="T43" s="22">
        <f>+SUM(Q43:$Q$60)</f>
        <v>96762.128409463287</v>
      </c>
      <c r="U43" s="22">
        <f>+SUM(R43:$R$60)</f>
        <v>266236.32767606381</v>
      </c>
      <c r="V43" s="23">
        <f t="shared" si="10"/>
        <v>0.89453295863661875</v>
      </c>
      <c r="W43" s="23"/>
      <c r="X43" s="14">
        <f t="shared" si="17"/>
        <v>34</v>
      </c>
      <c r="Y43" s="7">
        <v>4.3499999999999997E-3</v>
      </c>
      <c r="Z43" s="7">
        <v>2.3999999999999998E-3</v>
      </c>
      <c r="AA43" s="7">
        <v>2E-3</v>
      </c>
      <c r="AB43" s="7">
        <v>1.0499999999999999E-3</v>
      </c>
      <c r="AC43" s="7">
        <v>7.85E-4</v>
      </c>
      <c r="AD43" s="7">
        <v>1.92E-3</v>
      </c>
      <c r="AE43" s="7">
        <v>1.5499999999999999E-3</v>
      </c>
      <c r="AF43" s="7">
        <v>2.7499999999999998E-3</v>
      </c>
      <c r="AG43" s="7">
        <v>1.5499999999999999E-3</v>
      </c>
      <c r="AH43" s="7">
        <v>4.3499999999999997E-3</v>
      </c>
      <c r="AI43" s="7">
        <v>2.3999999999999998E-3</v>
      </c>
      <c r="AJ43" s="7">
        <v>2E-3</v>
      </c>
      <c r="AK43" s="7">
        <v>1.0499999999999999E-3</v>
      </c>
      <c r="AL43" s="7">
        <v>7.85E-4</v>
      </c>
      <c r="AM43" s="7">
        <v>1.92E-3</v>
      </c>
      <c r="AN43" s="7">
        <v>1.5499999999999999E-3</v>
      </c>
      <c r="AO43" s="7">
        <v>2.7499999999999998E-3</v>
      </c>
      <c r="AP43" s="24">
        <v>1.5499999999999999E-3</v>
      </c>
      <c r="AQ43" s="24">
        <f t="shared" si="16"/>
        <v>1.3500000000000001E-3</v>
      </c>
      <c r="AR43" s="24">
        <v>1.15E-3</v>
      </c>
      <c r="AS43" s="24">
        <v>7.85E-4</v>
      </c>
      <c r="AT43" s="24">
        <v>4.4299999999999998E-4</v>
      </c>
      <c r="AU43" s="24">
        <v>8.5999999999999998E-4</v>
      </c>
      <c r="AV43" s="24">
        <v>6.4000000000000005E-4</v>
      </c>
      <c r="AX43" s="1">
        <f t="shared" si="18"/>
        <v>34</v>
      </c>
    </row>
    <row r="44" spans="1:50" x14ac:dyDescent="0.25">
      <c r="A44" s="19">
        <v>49</v>
      </c>
      <c r="B44" s="27">
        <v>4.6100000000000004E-3</v>
      </c>
      <c r="C44" s="20">
        <f t="shared" si="9"/>
        <v>2.3050000000000002E-4</v>
      </c>
      <c r="D44" s="26">
        <v>4.0000000000000001E-3</v>
      </c>
      <c r="E44" s="20">
        <f t="shared" si="3"/>
        <v>0</v>
      </c>
      <c r="F44" s="22">
        <f t="shared" si="11"/>
        <v>7549746.8342136089</v>
      </c>
      <c r="G44" s="22">
        <f t="shared" si="12"/>
        <v>34730.721062944598</v>
      </c>
      <c r="H44" s="22">
        <f t="shared" si="13"/>
        <v>1732.7330350270099</v>
      </c>
      <c r="I44" s="22">
        <f t="shared" si="14"/>
        <v>30125.9062601511</v>
      </c>
      <c r="J44" s="22">
        <f t="shared" si="15"/>
        <v>0</v>
      </c>
      <c r="K44" s="4">
        <f t="shared" si="4"/>
        <v>3783218.3761155871</v>
      </c>
      <c r="L44" s="4">
        <f t="shared" si="5"/>
        <v>0</v>
      </c>
      <c r="M44" s="4">
        <f t="shared" si="6"/>
        <v>16864.995263713583</v>
      </c>
      <c r="N44" s="22">
        <f t="shared" si="7"/>
        <v>841.40304418237702</v>
      </c>
      <c r="O44" s="4">
        <f t="shared" si="8"/>
        <v>14628.929398606946</v>
      </c>
      <c r="P44" s="22">
        <f>+SUM(M44:$M$60)</f>
        <v>256213.98998440756</v>
      </c>
      <c r="Q44" s="22">
        <f>+SUM(N44:$N$60)</f>
        <v>12764.876617412259</v>
      </c>
      <c r="R44" s="22">
        <f>+SUM(O44:$O$60)</f>
        <v>62855.256882363297</v>
      </c>
      <c r="S44" s="22">
        <f>+SUM(P44:$P$60)</f>
        <v>1670927.7915129298</v>
      </c>
      <c r="T44" s="22">
        <f>+SUM(Q44:$Q$60)</f>
        <v>83216.404468012013</v>
      </c>
      <c r="U44" s="22">
        <f>+SUM(R44:$R$60)</f>
        <v>184655.65137209295</v>
      </c>
      <c r="V44" s="23">
        <f t="shared" si="10"/>
        <v>0.90299053472756496</v>
      </c>
      <c r="W44" s="23"/>
      <c r="X44" s="14">
        <f t="shared" si="17"/>
        <v>35</v>
      </c>
      <c r="Y44" s="7">
        <v>4.4999999999999997E-3</v>
      </c>
      <c r="Z44" s="7">
        <v>2.5100000000000001E-3</v>
      </c>
      <c r="AA44" s="7">
        <v>2.1099999999999999E-3</v>
      </c>
      <c r="AB44" s="7">
        <v>1.1199999999999999E-3</v>
      </c>
      <c r="AC44" s="7">
        <v>8.5999999999999998E-4</v>
      </c>
      <c r="AD44" s="7">
        <v>1.97E-3</v>
      </c>
      <c r="AE44" s="7">
        <v>1.64E-3</v>
      </c>
      <c r="AF44" s="7">
        <v>2.98E-3</v>
      </c>
      <c r="AG44" s="7">
        <v>1.64E-3</v>
      </c>
      <c r="AH44" s="7">
        <v>4.4999999999999997E-3</v>
      </c>
      <c r="AI44" s="7">
        <v>2.5100000000000001E-3</v>
      </c>
      <c r="AJ44" s="7">
        <v>2.1099999999999999E-3</v>
      </c>
      <c r="AK44" s="7">
        <v>1.1199999999999999E-3</v>
      </c>
      <c r="AL44" s="7">
        <v>8.5999999999999998E-4</v>
      </c>
      <c r="AM44" s="7">
        <v>1.97E-3</v>
      </c>
      <c r="AN44" s="7">
        <v>1.64E-3</v>
      </c>
      <c r="AO44" s="7">
        <v>2.98E-3</v>
      </c>
      <c r="AP44" s="24">
        <v>1.64E-3</v>
      </c>
      <c r="AQ44" s="24">
        <f t="shared" si="16"/>
        <v>1.4199999999999998E-3</v>
      </c>
      <c r="AR44" s="24">
        <v>1.1999999999999999E-3</v>
      </c>
      <c r="AS44" s="24">
        <v>8.5999999999999998E-4</v>
      </c>
      <c r="AT44" s="24">
        <v>4.7600000000000002E-4</v>
      </c>
      <c r="AU44" s="24">
        <v>9.1E-4</v>
      </c>
      <c r="AV44" s="24">
        <v>6.7000000000000002E-4</v>
      </c>
      <c r="AX44" s="1">
        <f t="shared" si="18"/>
        <v>35</v>
      </c>
    </row>
    <row r="45" spans="1:50" x14ac:dyDescent="0.25">
      <c r="A45" s="19">
        <v>50</v>
      </c>
      <c r="B45">
        <v>5.0800000000000003E-3</v>
      </c>
      <c r="C45" s="20">
        <f t="shared" si="9"/>
        <v>2.5400000000000005E-4</v>
      </c>
      <c r="D45" s="26">
        <v>4.0000000000000001E-3</v>
      </c>
      <c r="E45" s="20">
        <f t="shared" si="3"/>
        <v>0</v>
      </c>
      <c r="F45" s="22">
        <f t="shared" si="11"/>
        <v>7483157.4738554861</v>
      </c>
      <c r="G45" s="22">
        <f t="shared" si="12"/>
        <v>37933.5929090434</v>
      </c>
      <c r="H45" s="22">
        <f t="shared" si="13"/>
        <v>1892.10237615449</v>
      </c>
      <c r="I45" s="22">
        <f t="shared" si="14"/>
        <v>29852.809227158599</v>
      </c>
      <c r="J45" s="22">
        <f t="shared" si="15"/>
        <v>0</v>
      </c>
      <c r="K45" s="4">
        <f t="shared" si="4"/>
        <v>3697345.2746415199</v>
      </c>
      <c r="L45" s="4">
        <f t="shared" si="5"/>
        <v>0</v>
      </c>
      <c r="M45" s="4">
        <f t="shared" si="6"/>
        <v>18162.369432053238</v>
      </c>
      <c r="N45" s="22">
        <f t="shared" si="7"/>
        <v>905.92690340152171</v>
      </c>
      <c r="O45" s="4">
        <f t="shared" si="8"/>
        <v>14293.340234560321</v>
      </c>
      <c r="P45" s="22">
        <f>+SUM(M45:$M$60)</f>
        <v>239348.994720694</v>
      </c>
      <c r="Q45" s="22">
        <f>+SUM(N45:$N$60)</f>
        <v>11923.47357322988</v>
      </c>
      <c r="R45" s="22">
        <f>+SUM(O45:$O$60)</f>
        <v>48226.327483756351</v>
      </c>
      <c r="S45" s="22">
        <f>+SUM(P45:$P$60)</f>
        <v>1414713.8015285223</v>
      </c>
      <c r="T45" s="22">
        <f>+SUM(Q45:$Q$60)</f>
        <v>70451.52785059977</v>
      </c>
      <c r="U45" s="22">
        <f>+SUM(R45:$R$60)</f>
        <v>121800.39448972965</v>
      </c>
      <c r="V45" s="23">
        <f t="shared" si="10"/>
        <v>0.9110258543539429</v>
      </c>
      <c r="W45" s="23"/>
      <c r="X45" s="14">
        <f t="shared" si="17"/>
        <v>36</v>
      </c>
      <c r="Y45" s="7">
        <v>4.8599999999999997E-3</v>
      </c>
      <c r="Z45" s="7">
        <v>2.64E-3</v>
      </c>
      <c r="AA45" s="7">
        <v>2.2399999999999998E-3</v>
      </c>
      <c r="AB45" s="7">
        <v>1.1999999999999999E-3</v>
      </c>
      <c r="AC45" s="7">
        <v>9.0700000000000004E-4</v>
      </c>
      <c r="AD45" s="7">
        <v>2.0699999999999998E-3</v>
      </c>
      <c r="AE45" s="7">
        <v>1.75E-3</v>
      </c>
      <c r="AF45" s="7">
        <v>3.2200000000000002E-3</v>
      </c>
      <c r="AG45" s="7">
        <v>1.75E-3</v>
      </c>
      <c r="AH45" s="7">
        <v>4.8599999999999997E-3</v>
      </c>
      <c r="AI45" s="7">
        <v>2.64E-3</v>
      </c>
      <c r="AJ45" s="7">
        <v>2.2399999999999998E-3</v>
      </c>
      <c r="AK45" s="7">
        <v>1.1999999999999999E-3</v>
      </c>
      <c r="AL45" s="7">
        <v>9.0700000000000004E-4</v>
      </c>
      <c r="AM45" s="7">
        <v>2.0699999999999998E-3</v>
      </c>
      <c r="AN45" s="7">
        <v>1.75E-3</v>
      </c>
      <c r="AO45" s="7">
        <v>3.2200000000000002E-3</v>
      </c>
      <c r="AP45" s="24">
        <v>1.75E-3</v>
      </c>
      <c r="AQ45" s="24">
        <f t="shared" si="16"/>
        <v>1.5E-3</v>
      </c>
      <c r="AR45" s="24">
        <v>1.25E-3</v>
      </c>
      <c r="AS45" s="24">
        <v>9.0700000000000004E-4</v>
      </c>
      <c r="AT45" s="24">
        <v>5.0199999999999995E-4</v>
      </c>
      <c r="AU45" s="24">
        <v>9.8999999999999999E-4</v>
      </c>
      <c r="AV45" s="24">
        <v>7.3999999999999999E-4</v>
      </c>
      <c r="AX45" s="1">
        <f t="shared" si="18"/>
        <v>36</v>
      </c>
    </row>
    <row r="46" spans="1:50" x14ac:dyDescent="0.25">
      <c r="A46" s="19">
        <v>51</v>
      </c>
      <c r="B46">
        <v>5.5599999999999998E-3</v>
      </c>
      <c r="C46" s="20">
        <f t="shared" si="9"/>
        <v>2.7799999999999998E-4</v>
      </c>
      <c r="D46" s="26">
        <v>4.0000000000000001E-3</v>
      </c>
      <c r="E46" s="20">
        <f t="shared" si="3"/>
        <v>0</v>
      </c>
      <c r="F46" s="22">
        <f t="shared" si="11"/>
        <v>7413478.9693431295</v>
      </c>
      <c r="G46" s="22">
        <f t="shared" si="12"/>
        <v>41130.787209188202</v>
      </c>
      <c r="H46" s="22">
        <f t="shared" si="13"/>
        <v>2051.1072849499401</v>
      </c>
      <c r="I46" s="22">
        <f t="shared" si="14"/>
        <v>29567.3675557926</v>
      </c>
      <c r="J46" s="22">
        <f t="shared" si="15"/>
        <v>0</v>
      </c>
      <c r="K46" s="4">
        <f t="shared" si="4"/>
        <v>3611630.2898459095</v>
      </c>
      <c r="L46" s="4">
        <f t="shared" si="5"/>
        <v>0</v>
      </c>
      <c r="M46" s="4">
        <f t="shared" si="6"/>
        <v>19417.425615756616</v>
      </c>
      <c r="N46" s="22">
        <f t="shared" si="7"/>
        <v>968.30685327984622</v>
      </c>
      <c r="O46" s="4">
        <f t="shared" si="8"/>
        <v>13958.453001358681</v>
      </c>
      <c r="P46" s="22">
        <f>+SUM(M46:$M$60)</f>
        <v>221186.62528864076</v>
      </c>
      <c r="Q46" s="22">
        <f>+SUM(N46:$N$60)</f>
        <v>11017.54666982836</v>
      </c>
      <c r="R46" s="22">
        <f>+SUM(O46:$O$60)</f>
        <v>33932.987249196027</v>
      </c>
      <c r="S46" s="22">
        <f>+SUM(P46:$P$60)</f>
        <v>1175364.8068078284</v>
      </c>
      <c r="T46" s="22">
        <f>+SUM(Q46:$Q$60)</f>
        <v>58528.054277369898</v>
      </c>
      <c r="U46" s="22">
        <f>+SUM(R46:$R$60)</f>
        <v>73574.067005973295</v>
      </c>
      <c r="V46" s="23">
        <f t="shared" si="10"/>
        <v>0.91958848997562315</v>
      </c>
      <c r="W46" s="23"/>
      <c r="X46" s="14">
        <f t="shared" si="17"/>
        <v>37</v>
      </c>
      <c r="Y46" s="7">
        <v>5.1500000000000001E-3</v>
      </c>
      <c r="Z46" s="7">
        <v>2.8E-3</v>
      </c>
      <c r="AA46" s="7">
        <v>2.3999999999999998E-3</v>
      </c>
      <c r="AB46" s="7">
        <v>1.2899999999999999E-3</v>
      </c>
      <c r="AC46" s="7">
        <v>9.6599999999999995E-4</v>
      </c>
      <c r="AD46" s="7">
        <v>2.2499999999999998E-3</v>
      </c>
      <c r="AE46" s="7">
        <v>1.8799999999999999E-3</v>
      </c>
      <c r="AF46" s="7">
        <v>3.47E-3</v>
      </c>
      <c r="AG46" s="7">
        <v>1.8799999999999999E-3</v>
      </c>
      <c r="AH46" s="7">
        <v>5.1500000000000001E-3</v>
      </c>
      <c r="AI46" s="7">
        <v>2.8E-3</v>
      </c>
      <c r="AJ46" s="7">
        <v>2.3999999999999998E-3</v>
      </c>
      <c r="AK46" s="7">
        <v>1.2899999999999999E-3</v>
      </c>
      <c r="AL46" s="7">
        <v>9.6599999999999995E-4</v>
      </c>
      <c r="AM46" s="7">
        <v>2.2499999999999998E-3</v>
      </c>
      <c r="AN46" s="7">
        <v>1.8799999999999999E-3</v>
      </c>
      <c r="AO46" s="7">
        <v>3.47E-3</v>
      </c>
      <c r="AP46" s="24">
        <v>1.8799999999999999E-3</v>
      </c>
      <c r="AQ46" s="24">
        <f t="shared" si="16"/>
        <v>1.5950000000000001E-3</v>
      </c>
      <c r="AR46" s="24">
        <v>1.31E-3</v>
      </c>
      <c r="AS46" s="24">
        <v>9.6599999999999995E-4</v>
      </c>
      <c r="AT46" s="24">
        <v>5.3600000000000002E-4</v>
      </c>
      <c r="AU46" s="24">
        <v>1.09E-3</v>
      </c>
      <c r="AV46" s="24">
        <v>8.4000000000000003E-4</v>
      </c>
      <c r="AX46" s="1">
        <f t="shared" si="18"/>
        <v>37</v>
      </c>
    </row>
    <row r="47" spans="1:50" x14ac:dyDescent="0.25">
      <c r="A47" s="19">
        <v>52</v>
      </c>
      <c r="B47">
        <v>6.0899999999999999E-3</v>
      </c>
      <c r="C47" s="20">
        <f t="shared" si="9"/>
        <v>3.0450000000000003E-4</v>
      </c>
      <c r="D47" s="26">
        <v>2E-3</v>
      </c>
      <c r="E47" s="20">
        <f t="shared" si="3"/>
        <v>0</v>
      </c>
      <c r="F47" s="22">
        <f t="shared" si="11"/>
        <v>7340729.7072931984</v>
      </c>
      <c r="G47" s="22">
        <f t="shared" si="12"/>
        <v>44653.539336904701</v>
      </c>
      <c r="H47" s="22">
        <f t="shared" si="13"/>
        <v>2226.2174070814199</v>
      </c>
      <c r="I47" s="22">
        <f t="shared" si="14"/>
        <v>14634.525924816</v>
      </c>
      <c r="J47" s="22">
        <f t="shared" si="15"/>
        <v>0</v>
      </c>
      <c r="K47" s="4">
        <f t="shared" si="4"/>
        <v>3526115.7333900407</v>
      </c>
      <c r="L47" s="4">
        <f t="shared" si="5"/>
        <v>0</v>
      </c>
      <c r="M47" s="4">
        <f t="shared" si="6"/>
        <v>20785.315388529518</v>
      </c>
      <c r="N47" s="22">
        <f t="shared" si="7"/>
        <v>1036.2589755876058</v>
      </c>
      <c r="O47" s="4">
        <f t="shared" si="8"/>
        <v>6812.0745057607246</v>
      </c>
      <c r="P47" s="22">
        <f>+SUM(M47:$M$60)</f>
        <v>201769.19967288416</v>
      </c>
      <c r="Q47" s="22">
        <f>+SUM(N47:$N$60)</f>
        <v>10049.239816548512</v>
      </c>
      <c r="R47" s="22">
        <f>+SUM(O47:$O$60)</f>
        <v>19974.53424783735</v>
      </c>
      <c r="S47" s="22">
        <f>+SUM(P47:$P$60)</f>
        <v>954178.18151918752</v>
      </c>
      <c r="T47" s="22">
        <f>+SUM(Q47:$Q$60)</f>
        <v>47510.507607541527</v>
      </c>
      <c r="U47" s="22">
        <f>+SUM(R47:$R$60)</f>
        <v>39641.079756777275</v>
      </c>
      <c r="V47" s="23">
        <f t="shared" si="10"/>
        <v>0.92870194145836482</v>
      </c>
      <c r="W47" s="23"/>
      <c r="X47" s="14">
        <f t="shared" si="17"/>
        <v>38</v>
      </c>
      <c r="Y47" s="7">
        <v>5.4599999999999996E-3</v>
      </c>
      <c r="Z47" s="7">
        <v>3.0100000000000001E-3</v>
      </c>
      <c r="AA47" s="7">
        <v>2.5799999999999998E-3</v>
      </c>
      <c r="AB47" s="7">
        <v>1.4E-3</v>
      </c>
      <c r="AC47" s="7">
        <v>1.039E-3</v>
      </c>
      <c r="AD47" s="7">
        <v>2.5300000000000001E-3</v>
      </c>
      <c r="AE47" s="7">
        <v>2.0100000000000001E-3</v>
      </c>
      <c r="AF47" s="7">
        <v>3.7399999999999998E-3</v>
      </c>
      <c r="AG47" s="7">
        <v>2.0100000000000001E-3</v>
      </c>
      <c r="AH47" s="7">
        <v>5.4599999999999996E-3</v>
      </c>
      <c r="AI47" s="7">
        <v>3.0100000000000001E-3</v>
      </c>
      <c r="AJ47" s="7">
        <v>2.5799999999999998E-3</v>
      </c>
      <c r="AK47" s="7">
        <v>1.4E-3</v>
      </c>
      <c r="AL47" s="7">
        <v>1.039E-3</v>
      </c>
      <c r="AM47" s="7">
        <v>2.5300000000000001E-3</v>
      </c>
      <c r="AN47" s="7">
        <v>2.0100000000000001E-3</v>
      </c>
      <c r="AO47" s="7">
        <v>3.7399999999999998E-3</v>
      </c>
      <c r="AP47" s="24">
        <v>2.0100000000000001E-3</v>
      </c>
      <c r="AQ47" s="24">
        <f t="shared" si="16"/>
        <v>1.7000000000000001E-3</v>
      </c>
      <c r="AR47" s="24">
        <v>1.39E-3</v>
      </c>
      <c r="AS47" s="24">
        <v>1.039E-3</v>
      </c>
      <c r="AT47" s="24">
        <v>5.7300000000000005E-4</v>
      </c>
      <c r="AU47" s="24">
        <v>1.1999999999999999E-3</v>
      </c>
      <c r="AV47" s="24">
        <v>9.3000000000000005E-4</v>
      </c>
      <c r="AX47" s="1">
        <f t="shared" si="18"/>
        <v>38</v>
      </c>
    </row>
    <row r="48" spans="1:50" x14ac:dyDescent="0.25">
      <c r="A48" s="19">
        <v>53</v>
      </c>
      <c r="B48">
        <v>6.6699999999999997E-3</v>
      </c>
      <c r="C48" s="20">
        <f t="shared" si="9"/>
        <v>3.3350000000000003E-4</v>
      </c>
      <c r="D48" s="26">
        <v>2E-3</v>
      </c>
      <c r="E48" s="20">
        <f t="shared" si="3"/>
        <v>0</v>
      </c>
      <c r="F48" s="22">
        <f t="shared" si="11"/>
        <v>7279215.4246243965</v>
      </c>
      <c r="G48" s="22">
        <f t="shared" si="12"/>
        <v>48495.726504291997</v>
      </c>
      <c r="H48" s="22">
        <f t="shared" si="13"/>
        <v>2417.1027146976899</v>
      </c>
      <c r="I48" s="22">
        <f t="shared" si="14"/>
        <v>14507.458960129599</v>
      </c>
      <c r="J48" s="22">
        <f t="shared" si="15"/>
        <v>0</v>
      </c>
      <c r="K48" s="4">
        <f t="shared" si="4"/>
        <v>3447608.9864783594</v>
      </c>
      <c r="L48" s="4">
        <f t="shared" si="5"/>
        <v>0</v>
      </c>
      <c r="M48" s="4">
        <f t="shared" si="6"/>
        <v>22257.700962840161</v>
      </c>
      <c r="N48" s="22">
        <f t="shared" si="7"/>
        <v>1109.3585620466779</v>
      </c>
      <c r="O48" s="4">
        <f t="shared" si="8"/>
        <v>6658.3739752133206</v>
      </c>
      <c r="P48" s="22">
        <f>+SUM(M48:$M$60)</f>
        <v>180983.88428435463</v>
      </c>
      <c r="Q48" s="22">
        <f>+SUM(N48:$N$60)</f>
        <v>9012.9808409609068</v>
      </c>
      <c r="R48" s="22">
        <f>+SUM(O48:$O$60)</f>
        <v>13162.459742076622</v>
      </c>
      <c r="S48" s="22">
        <f>+SUM(P48:$P$60)</f>
        <v>752408.98184630345</v>
      </c>
      <c r="T48" s="22">
        <f>+SUM(Q48:$Q$60)</f>
        <v>37461.267790993021</v>
      </c>
      <c r="U48" s="22">
        <f>+SUM(R48:$R$60)</f>
        <v>19666.545508939926</v>
      </c>
      <c r="V48" s="23">
        <f t="shared" si="10"/>
        <v>0.93655009959209434</v>
      </c>
      <c r="W48" s="23"/>
      <c r="X48" s="14">
        <f t="shared" si="17"/>
        <v>39</v>
      </c>
      <c r="Y48" s="7">
        <v>5.8100000000000001E-3</v>
      </c>
      <c r="Z48" s="7">
        <v>3.2499999999999999E-3</v>
      </c>
      <c r="AA48" s="7">
        <v>2.7899999999999999E-3</v>
      </c>
      <c r="AB48" s="7">
        <v>1.5100000000000001E-3</v>
      </c>
      <c r="AC48" s="7">
        <v>1.1280000000000001E-3</v>
      </c>
      <c r="AD48" s="7">
        <v>2.8600000000000001E-3</v>
      </c>
      <c r="AE48" s="7">
        <v>2.14E-3</v>
      </c>
      <c r="AF48" s="7">
        <v>4.0400000000000002E-3</v>
      </c>
      <c r="AG48" s="7">
        <v>2.14E-3</v>
      </c>
      <c r="AH48" s="7">
        <v>5.8100000000000001E-3</v>
      </c>
      <c r="AI48" s="7">
        <v>3.2499999999999999E-3</v>
      </c>
      <c r="AJ48" s="7">
        <v>2.7899999999999999E-3</v>
      </c>
      <c r="AK48" s="7">
        <v>1.5100000000000001E-3</v>
      </c>
      <c r="AL48" s="7">
        <v>1.1280000000000001E-3</v>
      </c>
      <c r="AM48" s="7">
        <v>2.8600000000000001E-3</v>
      </c>
      <c r="AN48" s="7">
        <v>2.14E-3</v>
      </c>
      <c r="AO48" s="7">
        <v>4.0400000000000002E-3</v>
      </c>
      <c r="AP48" s="24">
        <v>2.14E-3</v>
      </c>
      <c r="AQ48" s="24">
        <f t="shared" si="16"/>
        <v>1.825E-3</v>
      </c>
      <c r="AR48" s="24">
        <v>1.5100000000000001E-3</v>
      </c>
      <c r="AS48" s="24">
        <v>1.1280000000000001E-3</v>
      </c>
      <c r="AT48" s="24">
        <v>6.1700000000000004E-4</v>
      </c>
      <c r="AU48" s="24">
        <v>1.3500000000000001E-3</v>
      </c>
      <c r="AV48" s="24">
        <v>1.0399999999999999E-3</v>
      </c>
      <c r="AX48" s="1">
        <f t="shared" si="18"/>
        <v>39</v>
      </c>
    </row>
    <row r="49" spans="1:50" x14ac:dyDescent="0.25">
      <c r="A49" s="19">
        <v>54</v>
      </c>
      <c r="B49">
        <v>7.2700000000000004E-3</v>
      </c>
      <c r="C49" s="20">
        <f t="shared" si="9"/>
        <v>3.6350000000000005E-4</v>
      </c>
      <c r="D49" s="26">
        <v>2E-3</v>
      </c>
      <c r="E49" s="20">
        <f t="shared" si="3"/>
        <v>0</v>
      </c>
      <c r="F49" s="22">
        <f t="shared" si="11"/>
        <v>7213795.1364452764</v>
      </c>
      <c r="G49" s="22">
        <f t="shared" si="12"/>
        <v>52382.324133240902</v>
      </c>
      <c r="H49" s="22">
        <f t="shared" si="13"/>
        <v>2610.07009949141</v>
      </c>
      <c r="I49" s="22">
        <f t="shared" si="14"/>
        <v>14372.5332994663</v>
      </c>
      <c r="J49" s="22">
        <f t="shared" si="15"/>
        <v>0</v>
      </c>
      <c r="K49" s="4">
        <f t="shared" si="4"/>
        <v>3368785.3435712978</v>
      </c>
      <c r="L49" s="4">
        <f t="shared" si="5"/>
        <v>0</v>
      </c>
      <c r="M49" s="4">
        <f t="shared" si="6"/>
        <v>23704.876637362428</v>
      </c>
      <c r="N49" s="22">
        <f t="shared" si="7"/>
        <v>1181.1501445780573</v>
      </c>
      <c r="O49" s="4">
        <f t="shared" si="8"/>
        <v>6504.0857668633025</v>
      </c>
      <c r="P49" s="22">
        <f>+SUM(M49:$M$60)</f>
        <v>158726.18332151446</v>
      </c>
      <c r="Q49" s="22">
        <f>+SUM(N49:$N$60)</f>
        <v>7903.6222789142284</v>
      </c>
      <c r="R49" s="22">
        <f>+SUM(O49:$O$60)</f>
        <v>6504.0857668633025</v>
      </c>
      <c r="S49" s="22">
        <f>+SUM(P49:$P$60)</f>
        <v>571425.09756194882</v>
      </c>
      <c r="T49" s="22">
        <f>+SUM(Q49:$Q$60)</f>
        <v>28448.286950032118</v>
      </c>
      <c r="U49" s="22">
        <f>+SUM(R49:$R$60)</f>
        <v>6504.0857668633025</v>
      </c>
      <c r="V49" s="23">
        <f t="shared" si="10"/>
        <v>0.94504346213575119</v>
      </c>
      <c r="W49" s="23"/>
      <c r="X49" s="14">
        <f t="shared" si="17"/>
        <v>40</v>
      </c>
      <c r="Y49" s="7">
        <v>6.1799999999999997E-3</v>
      </c>
      <c r="Z49" s="7">
        <v>3.5300000000000002E-3</v>
      </c>
      <c r="AA49" s="7">
        <v>3.0200000000000001E-3</v>
      </c>
      <c r="AB49" s="7">
        <v>1.6299999999999999E-3</v>
      </c>
      <c r="AC49" s="7">
        <v>1.238E-3</v>
      </c>
      <c r="AD49" s="7">
        <v>3.2200000000000002E-3</v>
      </c>
      <c r="AE49" s="7">
        <v>2.2699999999999999E-3</v>
      </c>
      <c r="AF49" s="7">
        <v>4.3600000000000002E-3</v>
      </c>
      <c r="AG49" s="7">
        <v>2.2699999999999999E-3</v>
      </c>
      <c r="AH49" s="7">
        <v>6.1799999999999997E-3</v>
      </c>
      <c r="AI49" s="7">
        <v>3.5300000000000002E-3</v>
      </c>
      <c r="AJ49" s="7">
        <v>3.0200000000000001E-3</v>
      </c>
      <c r="AK49" s="7">
        <v>1.6299999999999999E-3</v>
      </c>
      <c r="AL49" s="7">
        <v>1.238E-3</v>
      </c>
      <c r="AM49" s="7">
        <v>3.2200000000000002E-3</v>
      </c>
      <c r="AN49" s="7">
        <v>2.2699999999999999E-3</v>
      </c>
      <c r="AO49" s="7">
        <v>4.3600000000000002E-3</v>
      </c>
      <c r="AP49" s="24">
        <v>2.2699999999999999E-3</v>
      </c>
      <c r="AQ49" s="24">
        <f t="shared" si="16"/>
        <v>1.9550000000000001E-3</v>
      </c>
      <c r="AR49" s="24">
        <v>1.64E-3</v>
      </c>
      <c r="AS49" s="24">
        <v>1.238E-3</v>
      </c>
      <c r="AT49" s="24">
        <v>6.6500000000000001E-4</v>
      </c>
      <c r="AU49" s="24">
        <v>1.5299999999999999E-3</v>
      </c>
      <c r="AV49" s="24">
        <v>1.14E-3</v>
      </c>
      <c r="AX49" s="1">
        <f t="shared" si="18"/>
        <v>40</v>
      </c>
    </row>
    <row r="50" spans="1:50" x14ac:dyDescent="0.25">
      <c r="A50" s="19">
        <v>55</v>
      </c>
      <c r="B50" s="29">
        <v>7.8899999999999994E-3</v>
      </c>
      <c r="C50" s="20">
        <f t="shared" si="9"/>
        <v>3.9449999999999999E-4</v>
      </c>
      <c r="D50" s="30"/>
      <c r="E50" s="20">
        <f t="shared" si="3"/>
        <v>0</v>
      </c>
      <c r="F50" s="22">
        <f t="shared" si="11"/>
        <v>7144430.2089130776</v>
      </c>
      <c r="G50" s="22">
        <f t="shared" si="12"/>
        <v>56358.435453728998</v>
      </c>
      <c r="H50" s="22">
        <f t="shared" si="13"/>
        <v>2807.3588228210001</v>
      </c>
      <c r="I50" s="22">
        <f t="shared" si="14"/>
        <v>0</v>
      </c>
      <c r="J50" s="22">
        <f t="shared" si="15"/>
        <v>0</v>
      </c>
      <c r="K50" s="4">
        <f t="shared" si="4"/>
        <v>3289676.8216174771</v>
      </c>
      <c r="L50" s="4">
        <f t="shared" si="5"/>
        <v>0</v>
      </c>
      <c r="M50" s="4">
        <f t="shared" si="6"/>
        <v>25147.103355842686</v>
      </c>
      <c r="N50" s="22">
        <f t="shared" si="7"/>
        <v>1252.6419852867907</v>
      </c>
      <c r="O50" s="4">
        <f t="shared" si="8"/>
        <v>0</v>
      </c>
      <c r="P50" s="22">
        <f>+SUM(M50:$M$60)</f>
        <v>135021.30668415205</v>
      </c>
      <c r="Q50" s="22">
        <f>+SUM(N50:$N$60)</f>
        <v>6722.4721343361707</v>
      </c>
      <c r="R50" s="22">
        <f>+SUM(O50:$O$60)</f>
        <v>0</v>
      </c>
      <c r="S50" s="22">
        <f>+SUM(P50:$P$60)</f>
        <v>412698.91424043442</v>
      </c>
      <c r="T50" s="22">
        <f>+SUM(Q50:$Q$60)</f>
        <v>20544.664671117887</v>
      </c>
      <c r="U50" s="22">
        <f>+SUM(R50:$R$60)</f>
        <v>0</v>
      </c>
      <c r="V50" s="23">
        <f t="shared" si="10"/>
        <v>0.95421884342564656</v>
      </c>
      <c r="W50" s="23"/>
      <c r="X50" s="14">
        <f t="shared" si="17"/>
        <v>41</v>
      </c>
      <c r="Y50" s="7">
        <v>6.5900000000000004E-3</v>
      </c>
      <c r="Z50" s="7">
        <v>3.8400000000000001E-3</v>
      </c>
      <c r="AA50" s="7">
        <v>3.29E-3</v>
      </c>
      <c r="AB50" s="7">
        <v>1.7899999999999999E-3</v>
      </c>
      <c r="AC50" s="7">
        <v>1.3699999999999999E-3</v>
      </c>
      <c r="AD50" s="7">
        <v>3.5899999999999999E-3</v>
      </c>
      <c r="AE50" s="7">
        <v>2.4199999999999998E-3</v>
      </c>
      <c r="AF50" s="7">
        <v>4.7000000000000002E-3</v>
      </c>
      <c r="AG50" s="7">
        <v>2.4199999999999998E-3</v>
      </c>
      <c r="AH50" s="7">
        <v>6.5900000000000004E-3</v>
      </c>
      <c r="AI50" s="7">
        <v>3.8400000000000001E-3</v>
      </c>
      <c r="AJ50" s="7">
        <v>3.29E-3</v>
      </c>
      <c r="AK50" s="7">
        <v>1.7899999999999999E-3</v>
      </c>
      <c r="AL50" s="7">
        <v>1.3699999999999999E-3</v>
      </c>
      <c r="AM50" s="7">
        <v>3.5899999999999999E-3</v>
      </c>
      <c r="AN50" s="7">
        <v>2.4199999999999998E-3</v>
      </c>
      <c r="AO50" s="7">
        <v>4.7000000000000002E-3</v>
      </c>
      <c r="AP50" s="24">
        <v>2.4199999999999998E-3</v>
      </c>
      <c r="AQ50" s="24">
        <f t="shared" si="16"/>
        <v>2.1099999999999999E-3</v>
      </c>
      <c r="AR50" s="24">
        <v>1.8E-3</v>
      </c>
      <c r="AS50" s="24">
        <v>1.3699999999999999E-3</v>
      </c>
      <c r="AT50" s="24">
        <v>7.1599999999999995E-4</v>
      </c>
      <c r="AU50" s="24">
        <v>1.75E-3</v>
      </c>
      <c r="AV50" s="24">
        <v>1.2600000000000001E-3</v>
      </c>
      <c r="AX50" s="1">
        <f t="shared" si="18"/>
        <v>41</v>
      </c>
    </row>
    <row r="51" spans="1:50" x14ac:dyDescent="0.25">
      <c r="A51" s="19">
        <v>56</v>
      </c>
      <c r="B51" s="29">
        <v>8.4700000000000001E-3</v>
      </c>
      <c r="C51" s="20">
        <f t="shared" si="9"/>
        <v>4.2350000000000005E-4</v>
      </c>
      <c r="D51" s="30"/>
      <c r="E51" s="20">
        <f t="shared" si="3"/>
        <v>0</v>
      </c>
      <c r="F51" s="22">
        <f t="shared" si="11"/>
        <v>7085264.4146365281</v>
      </c>
      <c r="G51" s="22">
        <f t="shared" si="12"/>
        <v>59999.482010825297</v>
      </c>
      <c r="H51" s="22">
        <f t="shared" si="13"/>
        <v>2987.90189845247</v>
      </c>
      <c r="I51" s="22">
        <f t="shared" si="14"/>
        <v>0</v>
      </c>
      <c r="J51" s="22">
        <f t="shared" si="15"/>
        <v>0</v>
      </c>
      <c r="K51" s="4">
        <f t="shared" si="4"/>
        <v>3216753.6434485549</v>
      </c>
      <c r="L51" s="4">
        <f t="shared" si="5"/>
        <v>0</v>
      </c>
      <c r="M51" s="4">
        <f t="shared" si="6"/>
        <v>26396.882665431545</v>
      </c>
      <c r="N51" s="22">
        <f t="shared" si="7"/>
        <v>1314.5329457184282</v>
      </c>
      <c r="O51" s="4">
        <f t="shared" si="8"/>
        <v>0</v>
      </c>
      <c r="P51" s="22">
        <f>+SUM(M51:$M$60)</f>
        <v>109874.20332830936</v>
      </c>
      <c r="Q51" s="22">
        <f>+SUM(N51:$N$60)</f>
        <v>5469.8301490493805</v>
      </c>
      <c r="R51" s="22">
        <f>+SUM(O51:$O$60)</f>
        <v>0</v>
      </c>
      <c r="S51" s="22">
        <f>+SUM(P51:$P$60)</f>
        <v>277677.60755628237</v>
      </c>
      <c r="T51" s="22">
        <f>+SUM(Q51:$Q$60)</f>
        <v>13822.192536781715</v>
      </c>
      <c r="U51" s="22">
        <f>+SUM(R51:$R$60)</f>
        <v>0</v>
      </c>
      <c r="V51" s="23">
        <f t="shared" si="10"/>
        <v>0.96218708744323067</v>
      </c>
      <c r="W51" s="3"/>
      <c r="X51" s="14">
        <f t="shared" si="17"/>
        <v>42</v>
      </c>
      <c r="Y51" s="7">
        <v>7.0299999999999998E-3</v>
      </c>
      <c r="Z51" s="7">
        <v>4.1700000000000001E-3</v>
      </c>
      <c r="AA51" s="7">
        <v>3.5599999999999998E-3</v>
      </c>
      <c r="AB51" s="7">
        <v>2E-3</v>
      </c>
      <c r="AC51" s="7">
        <v>1.5269999999999999E-3</v>
      </c>
      <c r="AD51" s="7">
        <v>3.9500000000000004E-3</v>
      </c>
      <c r="AE51" s="7">
        <v>2.5899999999999999E-3</v>
      </c>
      <c r="AF51" s="7">
        <v>5.0699999999999999E-3</v>
      </c>
      <c r="AG51" s="7">
        <v>2.5899999999999999E-3</v>
      </c>
      <c r="AH51" s="7">
        <v>7.0299999999999998E-3</v>
      </c>
      <c r="AI51" s="7">
        <v>4.1700000000000001E-3</v>
      </c>
      <c r="AJ51" s="7">
        <v>3.5599999999999998E-3</v>
      </c>
      <c r="AK51" s="7">
        <v>2E-3</v>
      </c>
      <c r="AL51" s="7">
        <v>1.5269999999999999E-3</v>
      </c>
      <c r="AM51" s="7">
        <v>3.9500000000000004E-3</v>
      </c>
      <c r="AN51" s="7">
        <v>2.5899999999999999E-3</v>
      </c>
      <c r="AO51" s="7">
        <v>5.0699999999999999E-3</v>
      </c>
      <c r="AP51" s="24">
        <v>2.5899999999999999E-3</v>
      </c>
      <c r="AQ51" s="24">
        <f t="shared" si="16"/>
        <v>2.2750000000000001E-3</v>
      </c>
      <c r="AR51" s="24">
        <v>1.9599999999999999E-3</v>
      </c>
      <c r="AS51" s="24">
        <v>1.5269999999999999E-3</v>
      </c>
      <c r="AT51" s="24">
        <v>7.7499999999999997E-4</v>
      </c>
      <c r="AU51" s="24">
        <v>1.9599999999999999E-3</v>
      </c>
      <c r="AV51" s="24">
        <v>1.41E-3</v>
      </c>
      <c r="AX51" s="1">
        <f t="shared" si="18"/>
        <v>42</v>
      </c>
    </row>
    <row r="52" spans="1:50" x14ac:dyDescent="0.25">
      <c r="A52" s="19">
        <v>57</v>
      </c>
      <c r="B52" s="29">
        <v>8.9800000000000001E-3</v>
      </c>
      <c r="C52" s="20">
        <f t="shared" si="9"/>
        <v>4.4900000000000002E-4</v>
      </c>
      <c r="D52" s="30"/>
      <c r="E52" s="20">
        <f t="shared" si="3"/>
        <v>0</v>
      </c>
      <c r="F52" s="22">
        <f t="shared" si="11"/>
        <v>7022277.0307272505</v>
      </c>
      <c r="G52" s="22">
        <f t="shared" si="12"/>
        <v>63045.890755214001</v>
      </c>
      <c r="H52" s="22">
        <f t="shared" si="13"/>
        <v>3138.8454060798199</v>
      </c>
      <c r="I52" s="22">
        <f t="shared" si="14"/>
        <v>0</v>
      </c>
      <c r="J52" s="22">
        <f t="shared" si="15"/>
        <v>0</v>
      </c>
      <c r="K52" s="4">
        <f t="shared" si="4"/>
        <v>3143516.9050618652</v>
      </c>
      <c r="L52" s="4">
        <f t="shared" si="5"/>
        <v>0</v>
      </c>
      <c r="M52" s="4">
        <f t="shared" si="6"/>
        <v>27348.784461850504</v>
      </c>
      <c r="N52" s="22">
        <f t="shared" si="7"/>
        <v>1361.6051013260876</v>
      </c>
      <c r="O52" s="4">
        <f t="shared" si="8"/>
        <v>0</v>
      </c>
      <c r="P52" s="22">
        <f>+SUM(M52:$M$60)</f>
        <v>83477.320662877813</v>
      </c>
      <c r="Q52" s="22">
        <f>+SUM(N52:$N$60)</f>
        <v>4155.2972033309525</v>
      </c>
      <c r="R52" s="22">
        <f>+SUM(O52:$O$60)</f>
        <v>0</v>
      </c>
      <c r="S52" s="22">
        <f>+SUM(P52:$P$60)</f>
        <v>167803.40422797299</v>
      </c>
      <c r="T52" s="22">
        <f>+SUM(Q52:$Q$60)</f>
        <v>8352.3623877323353</v>
      </c>
      <c r="U52" s="22">
        <f>+SUM(R52:$R$60)</f>
        <v>0</v>
      </c>
      <c r="V52" s="23">
        <f t="shared" si="10"/>
        <v>0.97081757114590228</v>
      </c>
      <c r="W52" s="3"/>
      <c r="X52" s="14">
        <f t="shared" si="17"/>
        <v>43</v>
      </c>
      <c r="Y52" s="7">
        <v>7.5100000000000002E-3</v>
      </c>
      <c r="Z52" s="7">
        <v>4.5300000000000002E-3</v>
      </c>
      <c r="AA52" s="7">
        <v>3.8700000000000002E-3</v>
      </c>
      <c r="AB52" s="7">
        <v>2.2599999999999999E-3</v>
      </c>
      <c r="AC52" s="7">
        <v>1.7149999999999999E-3</v>
      </c>
      <c r="AD52" s="7">
        <v>4.3099999999999996E-3</v>
      </c>
      <c r="AE52" s="7">
        <v>2.8E-3</v>
      </c>
      <c r="AF52" s="7">
        <v>5.47E-3</v>
      </c>
      <c r="AG52" s="7">
        <v>2.8E-3</v>
      </c>
      <c r="AH52" s="7">
        <v>7.5100000000000002E-3</v>
      </c>
      <c r="AI52" s="7">
        <v>4.5300000000000002E-3</v>
      </c>
      <c r="AJ52" s="7">
        <v>3.8700000000000002E-3</v>
      </c>
      <c r="AK52" s="7">
        <v>2.2599999999999999E-3</v>
      </c>
      <c r="AL52" s="7">
        <v>1.7149999999999999E-3</v>
      </c>
      <c r="AM52" s="7">
        <v>4.3099999999999996E-3</v>
      </c>
      <c r="AN52" s="7">
        <v>2.8E-3</v>
      </c>
      <c r="AO52" s="7">
        <v>5.47E-3</v>
      </c>
      <c r="AP52" s="24">
        <v>2.8E-3</v>
      </c>
      <c r="AQ52" s="24">
        <f t="shared" si="16"/>
        <v>2.4650000000000002E-3</v>
      </c>
      <c r="AR52" s="24">
        <v>2.1299999999999999E-3</v>
      </c>
      <c r="AS52" s="24">
        <v>1.7149999999999999E-3</v>
      </c>
      <c r="AT52" s="24">
        <v>8.4199999999999998E-4</v>
      </c>
      <c r="AU52" s="24">
        <v>2.1900000000000001E-3</v>
      </c>
      <c r="AV52" s="24">
        <v>1.58E-3</v>
      </c>
      <c r="AX52" s="1">
        <f t="shared" si="18"/>
        <v>43</v>
      </c>
    </row>
    <row r="53" spans="1:50" x14ac:dyDescent="0.25">
      <c r="A53" s="19">
        <v>58</v>
      </c>
      <c r="B53" s="29">
        <v>9.3900000000000008E-3</v>
      </c>
      <c r="C53" s="20">
        <f t="shared" si="9"/>
        <v>4.6950000000000008E-4</v>
      </c>
      <c r="D53" s="31"/>
      <c r="E53" s="20">
        <f t="shared" si="3"/>
        <v>0</v>
      </c>
      <c r="F53" s="22">
        <f t="shared" si="11"/>
        <v>6956092.294565957</v>
      </c>
      <c r="G53" s="22">
        <f t="shared" si="12"/>
        <v>65302.373314339202</v>
      </c>
      <c r="H53" s="22">
        <f t="shared" si="13"/>
        <v>3250.5520006635702</v>
      </c>
      <c r="I53" s="22">
        <f t="shared" si="14"/>
        <v>0</v>
      </c>
      <c r="J53" s="22">
        <f t="shared" si="15"/>
        <v>0</v>
      </c>
      <c r="K53" s="4">
        <f t="shared" si="4"/>
        <v>3070289.1641244171</v>
      </c>
      <c r="L53" s="4">
        <f t="shared" si="5"/>
        <v>0</v>
      </c>
      <c r="M53" s="4">
        <f t="shared" si="6"/>
        <v>27930.98883695943</v>
      </c>
      <c r="N53" s="22">
        <f t="shared" si="7"/>
        <v>1390.3190196083465</v>
      </c>
      <c r="O53" s="4">
        <f t="shared" si="8"/>
        <v>0</v>
      </c>
      <c r="P53" s="22">
        <f>+SUM(M53:$M$60)</f>
        <v>56128.536201027309</v>
      </c>
      <c r="Q53" s="22">
        <f>+SUM(N53:$N$60)</f>
        <v>2793.6921020048649</v>
      </c>
      <c r="R53" s="22">
        <f>+SUM(O53:$O$60)</f>
        <v>0</v>
      </c>
      <c r="S53" s="22">
        <f>+SUM(P53:$P$60)</f>
        <v>84326.083565095192</v>
      </c>
      <c r="T53" s="22">
        <f>+SUM(Q53:$Q$60)</f>
        <v>4197.0651844013828</v>
      </c>
      <c r="U53" s="22">
        <f>+SUM(R53:$R$60)</f>
        <v>0</v>
      </c>
      <c r="V53" s="23">
        <f t="shared" si="10"/>
        <v>0.98005455393539653</v>
      </c>
      <c r="W53" s="3"/>
      <c r="X53" s="14">
        <f t="shared" si="17"/>
        <v>44</v>
      </c>
      <c r="Y53" s="7">
        <v>8.0400000000000003E-3</v>
      </c>
      <c r="Z53" s="7">
        <v>4.9199999999999999E-3</v>
      </c>
      <c r="AA53" s="7">
        <v>4.1900000000000001E-3</v>
      </c>
      <c r="AB53" s="7">
        <v>2.5699999999999998E-3</v>
      </c>
      <c r="AC53" s="7">
        <v>1.9319999999999999E-3</v>
      </c>
      <c r="AD53" s="7">
        <v>4.6699999999999997E-3</v>
      </c>
      <c r="AE53" s="7">
        <v>3.0500000000000002E-3</v>
      </c>
      <c r="AF53" s="7">
        <v>5.8999999999999999E-3</v>
      </c>
      <c r="AG53" s="7">
        <v>3.0500000000000002E-3</v>
      </c>
      <c r="AH53" s="7">
        <v>8.0400000000000003E-3</v>
      </c>
      <c r="AI53" s="7">
        <v>4.9199999999999999E-3</v>
      </c>
      <c r="AJ53" s="7">
        <v>4.1900000000000001E-3</v>
      </c>
      <c r="AK53" s="7">
        <v>2.5699999999999998E-3</v>
      </c>
      <c r="AL53" s="7">
        <v>1.9319999999999999E-3</v>
      </c>
      <c r="AM53" s="7">
        <v>4.6699999999999997E-3</v>
      </c>
      <c r="AN53" s="7">
        <v>3.0500000000000002E-3</v>
      </c>
      <c r="AO53" s="7">
        <v>5.8999999999999999E-3</v>
      </c>
      <c r="AP53" s="24">
        <v>3.0500000000000002E-3</v>
      </c>
      <c r="AQ53" s="24">
        <f t="shared" si="16"/>
        <v>2.6700000000000001E-3</v>
      </c>
      <c r="AR53" s="24">
        <v>2.2899999999999999E-3</v>
      </c>
      <c r="AS53" s="24">
        <v>1.9319999999999999E-3</v>
      </c>
      <c r="AT53" s="24">
        <v>9.19E-4</v>
      </c>
      <c r="AU53" s="24">
        <v>2.4599999999999999E-3</v>
      </c>
      <c r="AV53" s="24">
        <v>1.75E-3</v>
      </c>
      <c r="AX53" s="1">
        <f t="shared" si="18"/>
        <v>44</v>
      </c>
    </row>
    <row r="54" spans="1:50" x14ac:dyDescent="0.25">
      <c r="A54" s="19">
        <v>59</v>
      </c>
      <c r="B54" s="29">
        <v>9.7099999999999999E-3</v>
      </c>
      <c r="C54" s="20">
        <f t="shared" si="9"/>
        <v>4.8550000000000004E-4</v>
      </c>
      <c r="D54" s="31"/>
      <c r="E54" s="20">
        <f t="shared" si="3"/>
        <v>0</v>
      </c>
      <c r="F54" s="22">
        <f t="shared" si="11"/>
        <v>6887539.3692509541</v>
      </c>
      <c r="G54" s="22">
        <f t="shared" si="12"/>
        <v>66861.772639160699</v>
      </c>
      <c r="H54" s="22">
        <f t="shared" si="13"/>
        <v>3327.6657275052298</v>
      </c>
      <c r="I54" s="22">
        <f t="shared" si="14"/>
        <v>0</v>
      </c>
      <c r="J54" s="22">
        <f t="shared" si="15"/>
        <v>0</v>
      </c>
      <c r="K54" s="4">
        <f t="shared" si="4"/>
        <v>2997465.1397268395</v>
      </c>
      <c r="L54" s="4">
        <f t="shared" si="5"/>
        <v>0</v>
      </c>
      <c r="M54" s="4">
        <f t="shared" si="6"/>
        <v>28197.547364067879</v>
      </c>
      <c r="N54" s="22">
        <f t="shared" si="7"/>
        <v>1403.3730823965182</v>
      </c>
      <c r="O54" s="4">
        <f t="shared" si="8"/>
        <v>0</v>
      </c>
      <c r="P54" s="22">
        <f>+SUM(M54:$M$60)</f>
        <v>28197.547364067879</v>
      </c>
      <c r="Q54" s="22">
        <f>+SUM(N54:$N$60)</f>
        <v>1403.3730823965182</v>
      </c>
      <c r="R54" s="22">
        <f>+SUM(O54:$O$60)</f>
        <v>0</v>
      </c>
      <c r="S54" s="22">
        <f>+SUM(P54:$P$60)</f>
        <v>28197.547364067879</v>
      </c>
      <c r="T54" s="22">
        <f>+SUM(Q54:$Q$60)</f>
        <v>1403.3730823965182</v>
      </c>
      <c r="U54" s="22">
        <f>+SUM(R54:$R$60)</f>
        <v>0</v>
      </c>
      <c r="V54" s="23">
        <f t="shared" si="10"/>
        <v>0.9898092142049999</v>
      </c>
      <c r="W54" s="3"/>
      <c r="X54" s="14">
        <f t="shared" si="17"/>
        <v>45</v>
      </c>
      <c r="Y54" s="7">
        <v>8.6099999999999996E-3</v>
      </c>
      <c r="Z54" s="7">
        <v>5.3499999999999997E-3</v>
      </c>
      <c r="AA54" s="7">
        <v>4.5500000000000002E-3</v>
      </c>
      <c r="AB54" s="7">
        <v>2.9199999999999999E-3</v>
      </c>
      <c r="AC54" s="7">
        <v>2.183E-3</v>
      </c>
      <c r="AD54" s="7">
        <v>5.0699999999999999E-3</v>
      </c>
      <c r="AE54" s="7">
        <v>3.3800000000000002E-3</v>
      </c>
      <c r="AF54" s="7">
        <v>6.3499999999999997E-3</v>
      </c>
      <c r="AG54" s="7">
        <v>3.3800000000000002E-3</v>
      </c>
      <c r="AH54" s="7">
        <v>8.6099999999999996E-3</v>
      </c>
      <c r="AI54" s="7">
        <v>5.3499999999999997E-3</v>
      </c>
      <c r="AJ54" s="7">
        <v>4.5500000000000002E-3</v>
      </c>
      <c r="AK54" s="7">
        <v>2.9199999999999999E-3</v>
      </c>
      <c r="AL54" s="7">
        <v>2.183E-3</v>
      </c>
      <c r="AM54" s="7">
        <v>5.0699999999999999E-3</v>
      </c>
      <c r="AN54" s="7">
        <v>3.3800000000000002E-3</v>
      </c>
      <c r="AO54" s="7">
        <v>6.3499999999999997E-3</v>
      </c>
      <c r="AP54" s="24">
        <v>3.3800000000000002E-3</v>
      </c>
      <c r="AQ54" s="24">
        <f t="shared" si="16"/>
        <v>2.9150000000000001E-3</v>
      </c>
      <c r="AR54" s="24">
        <v>2.4499999999999999E-3</v>
      </c>
      <c r="AS54" s="24">
        <v>2.183E-3</v>
      </c>
      <c r="AT54" s="24">
        <v>1.01E-3</v>
      </c>
      <c r="AU54" s="24">
        <v>2.7899999999999999E-3</v>
      </c>
      <c r="AV54" s="24">
        <v>1.9300000000000001E-3</v>
      </c>
      <c r="AX54" s="1">
        <f t="shared" si="18"/>
        <v>45</v>
      </c>
    </row>
    <row r="55" spans="1:50" x14ac:dyDescent="0.25">
      <c r="A55" s="19">
        <v>60</v>
      </c>
      <c r="B55" s="32">
        <f t="shared" ref="B55:B60" si="19">IF(A55&gt;=$C$1,0,VLOOKUP(A55,$X$9:$AV$120,$C$4+1))</f>
        <v>0</v>
      </c>
      <c r="C55" s="20">
        <f t="shared" si="9"/>
        <v>0</v>
      </c>
      <c r="D55" s="31"/>
      <c r="E55" s="20">
        <f t="shared" si="3"/>
        <v>1</v>
      </c>
      <c r="F55" s="22">
        <f t="shared" si="11"/>
        <v>6817349.9308842877</v>
      </c>
      <c r="G55" s="22">
        <f t="shared" si="12"/>
        <v>0</v>
      </c>
      <c r="H55" s="22">
        <f t="shared" si="13"/>
        <v>0</v>
      </c>
      <c r="I55" s="22">
        <f t="shared" si="14"/>
        <v>0</v>
      </c>
      <c r="J55" s="22">
        <f t="shared" si="15"/>
        <v>6817349.9308842896</v>
      </c>
      <c r="K55" s="4">
        <f t="shared" si="4"/>
        <v>2925376.2813133607</v>
      </c>
      <c r="L55" s="4">
        <f t="shared" si="5"/>
        <v>2925376.2813133616</v>
      </c>
      <c r="M55" s="4">
        <f t="shared" si="6"/>
        <v>0</v>
      </c>
      <c r="N55" s="22">
        <f t="shared" si="7"/>
        <v>0</v>
      </c>
      <c r="O55" s="4">
        <f t="shared" si="8"/>
        <v>0</v>
      </c>
      <c r="P55" s="22">
        <f>+SUM(M55:$M$60)</f>
        <v>0</v>
      </c>
      <c r="Q55" s="22">
        <f>+SUM(N55:$N$60)</f>
        <v>0</v>
      </c>
      <c r="R55" s="22">
        <f>+SUM(O55:$O$60)</f>
        <v>0</v>
      </c>
      <c r="S55" s="22">
        <f>+SUM(P55:$P$60)</f>
        <v>0</v>
      </c>
      <c r="T55" s="22">
        <f>+SUM(Q55:$Q$60)</f>
        <v>0</v>
      </c>
      <c r="U55" s="22">
        <f>+SUM(R55:$R$60)</f>
        <v>0</v>
      </c>
      <c r="V55" s="23">
        <f t="shared" si="10"/>
        <v>1</v>
      </c>
      <c r="W55" s="3"/>
      <c r="X55" s="14">
        <f t="shared" si="17"/>
        <v>46</v>
      </c>
      <c r="Y55" s="7">
        <v>9.2300000000000004E-3</v>
      </c>
      <c r="Z55" s="7">
        <v>5.8300000000000001E-3</v>
      </c>
      <c r="AA55" s="7">
        <v>4.9199999999999999E-3</v>
      </c>
      <c r="AB55" s="7">
        <v>3.32E-3</v>
      </c>
      <c r="AC55" s="7">
        <v>2.4710000000000001E-3</v>
      </c>
      <c r="AD55" s="7">
        <v>5.5300000000000002E-3</v>
      </c>
      <c r="AE55" s="7">
        <v>3.79E-3</v>
      </c>
      <c r="AF55" s="7">
        <v>6.8599999999999998E-3</v>
      </c>
      <c r="AG55" s="7">
        <v>3.79E-3</v>
      </c>
      <c r="AH55" s="7">
        <v>9.2300000000000004E-3</v>
      </c>
      <c r="AI55" s="7">
        <v>5.8300000000000001E-3</v>
      </c>
      <c r="AJ55" s="7">
        <v>4.9199999999999999E-3</v>
      </c>
      <c r="AK55" s="7">
        <v>3.32E-3</v>
      </c>
      <c r="AL55" s="7">
        <v>2.4710000000000001E-3</v>
      </c>
      <c r="AM55" s="7">
        <v>5.5300000000000002E-3</v>
      </c>
      <c r="AN55" s="7">
        <v>3.79E-3</v>
      </c>
      <c r="AO55" s="7">
        <v>6.8599999999999998E-3</v>
      </c>
      <c r="AP55" s="24">
        <v>3.79E-3</v>
      </c>
      <c r="AQ55" s="24">
        <f t="shared" si="16"/>
        <v>3.2100000000000002E-3</v>
      </c>
      <c r="AR55" s="24">
        <v>2.63E-3</v>
      </c>
      <c r="AS55" s="24">
        <v>2.4710000000000001E-3</v>
      </c>
      <c r="AT55" s="24">
        <v>1.1169999999999999E-3</v>
      </c>
      <c r="AU55" s="24">
        <v>3.1800000000000001E-3</v>
      </c>
      <c r="AV55" s="24">
        <v>2.14E-3</v>
      </c>
      <c r="AX55" s="1">
        <f t="shared" si="18"/>
        <v>46</v>
      </c>
    </row>
    <row r="56" spans="1:50" x14ac:dyDescent="0.25">
      <c r="A56" s="19">
        <f>A55+1</f>
        <v>61</v>
      </c>
      <c r="B56" s="32">
        <f t="shared" si="19"/>
        <v>0</v>
      </c>
      <c r="C56" s="20">
        <f t="shared" si="9"/>
        <v>0</v>
      </c>
      <c r="D56" s="31"/>
      <c r="E56" s="20">
        <f t="shared" si="3"/>
        <v>0</v>
      </c>
      <c r="F56" s="22">
        <f>+F55-G55-H55-I55-J55</f>
        <v>0</v>
      </c>
      <c r="G56" s="22">
        <f>ROUND(IF($A56&gt;=$C$1,0,+$F56*(1-0.5*C56)*(1-0.5*D56)*(1-0.5*E56)*B56),12)</f>
        <v>0</v>
      </c>
      <c r="H56" s="22">
        <f>ROUND(IF($A56&gt;=$C$1,0,+$F56*(1-0.5*B56)*(1-0.5*D56)*(1-0.5*E56)*C56),12)</f>
        <v>0</v>
      </c>
      <c r="I56" s="22">
        <f>ROUND(IF($A56&gt;=$C$1,0,+$F56*(1-0.5*B56)*(1-0.5*C56)*(1-0.5*E56)*D56),12)</f>
        <v>0</v>
      </c>
      <c r="J56" s="22">
        <f>ROUND(IF($A56&gt;$C$1,0,+$F56*(1-0.5*B56)*(1-0.5*C56)*(1-0.5*D56)*E56),12)</f>
        <v>0</v>
      </c>
      <c r="K56" s="4">
        <f t="shared" si="4"/>
        <v>0</v>
      </c>
      <c r="L56" s="4">
        <f t="shared" si="5"/>
        <v>0</v>
      </c>
      <c r="M56" s="4">
        <f t="shared" si="6"/>
        <v>0</v>
      </c>
      <c r="N56" s="22">
        <f t="shared" si="7"/>
        <v>0</v>
      </c>
      <c r="O56" s="4">
        <f t="shared" si="8"/>
        <v>0</v>
      </c>
      <c r="P56" s="22">
        <f>+SUM(M56:$M$60)</f>
        <v>0</v>
      </c>
      <c r="Q56" s="22">
        <f>+SUM(N56:$N$60)</f>
        <v>0</v>
      </c>
      <c r="R56" s="22">
        <f>+SUM(O56:$O$60)</f>
        <v>0</v>
      </c>
      <c r="S56" s="22">
        <f>+SUM(P56:$P$60)</f>
        <v>0</v>
      </c>
      <c r="T56" s="22">
        <f>+SUM(Q56:$Q$60)</f>
        <v>0</v>
      </c>
      <c r="U56" s="22">
        <f>+SUM(R56:$R$60)</f>
        <v>0</v>
      </c>
      <c r="V56" s="23">
        <f t="shared" si="10"/>
        <v>0</v>
      </c>
      <c r="W56" s="3"/>
      <c r="X56" s="14">
        <f t="shared" si="17"/>
        <v>47</v>
      </c>
      <c r="Y56" s="7">
        <v>9.9100000000000004E-3</v>
      </c>
      <c r="Z56" s="7">
        <v>6.3600000000000002E-3</v>
      </c>
      <c r="AA56" s="7">
        <v>5.3200000000000001E-3</v>
      </c>
      <c r="AB56" s="7">
        <v>3.7499999999999999E-3</v>
      </c>
      <c r="AC56" s="7">
        <v>2.7899999999999999E-3</v>
      </c>
      <c r="AD56" s="7">
        <v>6.0600000000000003E-3</v>
      </c>
      <c r="AE56" s="7">
        <v>4.2900000000000004E-3</v>
      </c>
      <c r="AF56" s="7">
        <v>7.4000000000000003E-3</v>
      </c>
      <c r="AG56" s="7">
        <v>4.2900000000000004E-3</v>
      </c>
      <c r="AH56" s="7">
        <v>9.9100000000000004E-3</v>
      </c>
      <c r="AI56" s="7">
        <v>6.3600000000000002E-3</v>
      </c>
      <c r="AJ56" s="7">
        <v>5.3200000000000001E-3</v>
      </c>
      <c r="AK56" s="7">
        <v>3.7499999999999999E-3</v>
      </c>
      <c r="AL56" s="7">
        <v>2.7899999999999999E-3</v>
      </c>
      <c r="AM56" s="7">
        <v>6.0600000000000003E-3</v>
      </c>
      <c r="AN56" s="7">
        <v>4.2900000000000004E-3</v>
      </c>
      <c r="AO56" s="7">
        <v>7.4000000000000003E-3</v>
      </c>
      <c r="AP56" s="24">
        <v>4.2900000000000004E-3</v>
      </c>
      <c r="AQ56" s="24">
        <f>(AP56+AR56)/2</f>
        <v>3.5700000000000003E-3</v>
      </c>
      <c r="AR56" s="24">
        <v>2.8500000000000001E-3</v>
      </c>
      <c r="AS56" s="24">
        <v>2.7899999999999999E-3</v>
      </c>
      <c r="AT56" s="24">
        <v>1.237E-3</v>
      </c>
      <c r="AU56" s="24">
        <v>3.63E-3</v>
      </c>
      <c r="AV56" s="24">
        <v>2.3900000000000002E-3</v>
      </c>
      <c r="AX56" s="1">
        <f t="shared" si="18"/>
        <v>47</v>
      </c>
    </row>
    <row r="57" spans="1:50" x14ac:dyDescent="0.25">
      <c r="A57" s="19">
        <f>A56+1</f>
        <v>62</v>
      </c>
      <c r="B57" s="32">
        <f t="shared" si="19"/>
        <v>0</v>
      </c>
      <c r="C57" s="20">
        <f t="shared" si="9"/>
        <v>0</v>
      </c>
      <c r="D57" s="31"/>
      <c r="E57" s="20">
        <f t="shared" si="3"/>
        <v>0</v>
      </c>
      <c r="F57" s="22">
        <f>+F56-G56-H56-I56-J56</f>
        <v>0</v>
      </c>
      <c r="G57" s="22">
        <f>ROUND(IF($A57&gt;=$C$1,0,+$F57*(1-0.5*C57)*(1-0.5*D57)*(1-0.5*E57)*B57),12)</f>
        <v>0</v>
      </c>
      <c r="H57" s="22">
        <f>ROUND(IF($A57&gt;=$C$1,0,+$F57*(1-0.5*B57)*(1-0.5*D57)*(1-0.5*E57)*C57),12)</f>
        <v>0</v>
      </c>
      <c r="I57" s="22">
        <f>ROUND(IF($A57&gt;=$C$1,0,+$F57*(1-0.5*B57)*(1-0.5*C57)*(1-0.5*E57)*D57),12)</f>
        <v>0</v>
      </c>
      <c r="J57" s="22">
        <f>ROUND(IF($A57&gt;$C$1,0,+$F57*(1-0.5*B57)*(1-0.5*C57)*(1-0.5*D57)*E57),12)</f>
        <v>0</v>
      </c>
      <c r="K57" s="4">
        <f t="shared" si="4"/>
        <v>0</v>
      </c>
      <c r="L57" s="4">
        <f t="shared" si="5"/>
        <v>0</v>
      </c>
      <c r="M57" s="4">
        <f t="shared" si="6"/>
        <v>0</v>
      </c>
      <c r="N57" s="22">
        <f t="shared" si="7"/>
        <v>0</v>
      </c>
      <c r="O57" s="4">
        <f t="shared" si="8"/>
        <v>0</v>
      </c>
      <c r="P57" s="22">
        <f>+SUM(M57:$M$60)</f>
        <v>0</v>
      </c>
      <c r="Q57" s="22">
        <f>+SUM(N57:$N$60)</f>
        <v>0</v>
      </c>
      <c r="R57" s="22">
        <f>+SUM(O57:$O$60)</f>
        <v>0</v>
      </c>
      <c r="S57" s="22">
        <f>+SUM(P57:$P$60)</f>
        <v>0</v>
      </c>
      <c r="T57" s="22">
        <f>+SUM(Q57:$Q$60)</f>
        <v>0</v>
      </c>
      <c r="U57" s="22">
        <f>+SUM(R57:$R$60)</f>
        <v>0</v>
      </c>
      <c r="V57" s="23">
        <f t="shared" si="10"/>
        <v>0</v>
      </c>
      <c r="W57" s="3"/>
      <c r="X57" s="14">
        <f t="shared" si="17"/>
        <v>48</v>
      </c>
      <c r="Y57" s="7">
        <v>1.064E-2</v>
      </c>
      <c r="Z57" s="7">
        <v>6.9499999999999996E-3</v>
      </c>
      <c r="AA57" s="7">
        <v>5.7400000000000003E-3</v>
      </c>
      <c r="AB57" s="7">
        <v>4.2300000000000003E-3</v>
      </c>
      <c r="AC57" s="7">
        <v>3.1380000000000002E-3</v>
      </c>
      <c r="AD57" s="7">
        <v>6.6800000000000002E-3</v>
      </c>
      <c r="AE57" s="7">
        <v>4.8500000000000001E-3</v>
      </c>
      <c r="AF57" s="7">
        <v>7.9799999999999992E-3</v>
      </c>
      <c r="AG57" s="7">
        <v>4.8500000000000001E-3</v>
      </c>
      <c r="AH57" s="7">
        <v>1.064E-2</v>
      </c>
      <c r="AI57" s="7">
        <v>6.9499999999999996E-3</v>
      </c>
      <c r="AJ57" s="7">
        <v>5.7400000000000003E-3</v>
      </c>
      <c r="AK57" s="7">
        <v>4.2300000000000003E-3</v>
      </c>
      <c r="AL57" s="7">
        <v>3.1380000000000002E-3</v>
      </c>
      <c r="AM57" s="7">
        <v>6.6800000000000002E-3</v>
      </c>
      <c r="AN57" s="7">
        <v>4.8500000000000001E-3</v>
      </c>
      <c r="AO57" s="7">
        <v>7.9799999999999992E-3</v>
      </c>
      <c r="AP57" s="24">
        <v>4.8500000000000001E-3</v>
      </c>
      <c r="AQ57" s="24">
        <f>(AP57+AR57)/2</f>
        <v>3.9900000000000005E-3</v>
      </c>
      <c r="AR57" s="24">
        <v>3.13E-3</v>
      </c>
      <c r="AS57" s="24">
        <v>3.1380000000000002E-3</v>
      </c>
      <c r="AT57" s="24">
        <v>1.366E-3</v>
      </c>
      <c r="AU57" s="24">
        <v>4.1399999999999996E-3</v>
      </c>
      <c r="AV57" s="24">
        <v>2.6800000000000001E-3</v>
      </c>
      <c r="AX57" s="1">
        <f t="shared" si="18"/>
        <v>48</v>
      </c>
    </row>
    <row r="58" spans="1:50" x14ac:dyDescent="0.25">
      <c r="A58" s="19">
        <f>A57+1</f>
        <v>63</v>
      </c>
      <c r="B58" s="32">
        <f t="shared" si="19"/>
        <v>0</v>
      </c>
      <c r="C58" s="20">
        <f t="shared" si="9"/>
        <v>0</v>
      </c>
      <c r="D58" s="31"/>
      <c r="E58" s="20">
        <f t="shared" si="3"/>
        <v>0</v>
      </c>
      <c r="F58" s="22">
        <f>+F57-G57-H57-I57-J57</f>
        <v>0</v>
      </c>
      <c r="G58" s="22">
        <f>ROUND(IF($A58&gt;=$C$1,0,+$F58*(1-0.5*C58)*(1-0.5*D58)*(1-0.5*E58)*B58),12)</f>
        <v>0</v>
      </c>
      <c r="H58" s="22">
        <f>ROUND(IF($A58&gt;=$C$1,0,+$F58*(1-0.5*B58)*(1-0.5*D58)*(1-0.5*E58)*C58),12)</f>
        <v>0</v>
      </c>
      <c r="I58" s="22">
        <f>ROUND(IF($A58&gt;=$C$1,0,+$F58*(1-0.5*B58)*(1-0.5*C58)*(1-0.5*E58)*D58),12)</f>
        <v>0</v>
      </c>
      <c r="J58" s="22">
        <f>ROUND(IF($A58&gt;$C$1,0,+$F58*(1-0.5*B58)*(1-0.5*C58)*(1-0.5*D58)*E58),12)</f>
        <v>0</v>
      </c>
      <c r="K58" s="4">
        <f t="shared" si="4"/>
        <v>0</v>
      </c>
      <c r="L58" s="4">
        <f t="shared" si="5"/>
        <v>0</v>
      </c>
      <c r="M58" s="4">
        <f t="shared" si="6"/>
        <v>0</v>
      </c>
      <c r="N58" s="22">
        <f t="shared" si="7"/>
        <v>0</v>
      </c>
      <c r="O58" s="4">
        <f t="shared" si="8"/>
        <v>0</v>
      </c>
      <c r="P58" s="22">
        <f>+SUM(M58:$M$60)</f>
        <v>0</v>
      </c>
      <c r="Q58" s="22">
        <f>+SUM(N58:$N$60)</f>
        <v>0</v>
      </c>
      <c r="R58" s="22">
        <f>+SUM(O58:$O$60)</f>
        <v>0</v>
      </c>
      <c r="S58" s="22">
        <f>+SUM(P58:$P$60)</f>
        <v>0</v>
      </c>
      <c r="T58" s="22">
        <f>+SUM(Q58:$Q$60)</f>
        <v>0</v>
      </c>
      <c r="U58" s="22">
        <f>+SUM(R58:$R$60)</f>
        <v>0</v>
      </c>
      <c r="V58" s="23">
        <f t="shared" si="10"/>
        <v>0</v>
      </c>
      <c r="W58" s="3"/>
      <c r="X58" s="14">
        <f t="shared" si="17"/>
        <v>49</v>
      </c>
      <c r="Y58" s="7">
        <v>1.145E-2</v>
      </c>
      <c r="Z58" s="7">
        <v>7.6E-3</v>
      </c>
      <c r="AA58" s="7">
        <v>6.2100000000000002E-3</v>
      </c>
      <c r="AB58" s="7">
        <v>4.7400000000000003E-3</v>
      </c>
      <c r="AC58" s="7">
        <v>3.5130000000000001E-3</v>
      </c>
      <c r="AD58" s="7">
        <v>7.4599999999999996E-3</v>
      </c>
      <c r="AE58" s="7">
        <v>5.4599999999999996E-3</v>
      </c>
      <c r="AF58" s="7">
        <v>8.5100000000000002E-3</v>
      </c>
      <c r="AG58" s="7">
        <v>5.4599999999999996E-3</v>
      </c>
      <c r="AH58" s="7">
        <v>1.145E-2</v>
      </c>
      <c r="AI58" s="7">
        <v>7.6E-3</v>
      </c>
      <c r="AJ58" s="7">
        <v>6.2100000000000002E-3</v>
      </c>
      <c r="AK58" s="7">
        <v>4.7400000000000003E-3</v>
      </c>
      <c r="AL58" s="7">
        <v>3.5130000000000001E-3</v>
      </c>
      <c r="AM58" s="7">
        <v>7.4599999999999996E-3</v>
      </c>
      <c r="AN58" s="7">
        <v>5.4599999999999996E-3</v>
      </c>
      <c r="AO58" s="7">
        <v>8.5100000000000002E-3</v>
      </c>
      <c r="AP58" s="24">
        <v>5.4599999999999996E-3</v>
      </c>
      <c r="AQ58" s="24">
        <f>(AP58+AR58)/2</f>
        <v>4.45E-3</v>
      </c>
      <c r="AR58" s="24">
        <v>3.4399999999999999E-3</v>
      </c>
      <c r="AS58" s="24">
        <v>3.5130000000000001E-3</v>
      </c>
      <c r="AT58" s="24">
        <v>1.505E-3</v>
      </c>
      <c r="AU58" s="24">
        <v>4.7099999999999998E-3</v>
      </c>
      <c r="AV58" s="24">
        <v>2.99E-3</v>
      </c>
      <c r="AX58" s="1">
        <f t="shared" si="18"/>
        <v>49</v>
      </c>
    </row>
    <row r="59" spans="1:50" x14ac:dyDescent="0.25">
      <c r="A59" s="19">
        <f>A58+1</f>
        <v>64</v>
      </c>
      <c r="B59" s="32">
        <f t="shared" si="19"/>
        <v>0</v>
      </c>
      <c r="C59" s="20">
        <f t="shared" si="9"/>
        <v>0</v>
      </c>
      <c r="D59" s="31"/>
      <c r="E59" s="20">
        <f t="shared" si="3"/>
        <v>0</v>
      </c>
      <c r="F59" s="22">
        <f>+F58-G58-H58-I58-J58</f>
        <v>0</v>
      </c>
      <c r="G59" s="22">
        <f>ROUND(IF($A59&gt;=$C$1,0,+$F59*(1-0.5*C59)*(1-0.5*D59)*(1-0.5*E59)*B59),12)</f>
        <v>0</v>
      </c>
      <c r="H59" s="22">
        <f>ROUND(IF($A59&gt;=$C$1,0,+$F59*(1-0.5*B59)*(1-0.5*D59)*(1-0.5*E59)*C59),12)</f>
        <v>0</v>
      </c>
      <c r="I59" s="22">
        <f>ROUND(IF($A59&gt;=$C$1,0,+$F59*(1-0.5*B59)*(1-0.5*C59)*(1-0.5*E59)*D59),12)</f>
        <v>0</v>
      </c>
      <c r="J59" s="22">
        <f>ROUND(IF($A59&gt;$C$1,0,+$F59*(1-0.5*B59)*(1-0.5*C59)*(1-0.5*D59)*E59),12)</f>
        <v>0</v>
      </c>
      <c r="K59" s="4">
        <f t="shared" si="4"/>
        <v>0</v>
      </c>
      <c r="L59" s="4">
        <f t="shared" si="5"/>
        <v>0</v>
      </c>
      <c r="M59" s="4">
        <f t="shared" si="6"/>
        <v>0</v>
      </c>
      <c r="N59" s="22">
        <f t="shared" si="7"/>
        <v>0</v>
      </c>
      <c r="O59" s="4">
        <f t="shared" si="8"/>
        <v>0</v>
      </c>
      <c r="P59" s="22">
        <f>+SUM(M59:$M$60)</f>
        <v>0</v>
      </c>
      <c r="Q59" s="22">
        <f>+SUM(N59:$N$60)</f>
        <v>0</v>
      </c>
      <c r="R59" s="22">
        <f>+SUM(O59:$O$60)</f>
        <v>0</v>
      </c>
      <c r="S59" s="22">
        <f>+SUM(P59:$P$60)</f>
        <v>0</v>
      </c>
      <c r="T59" s="22">
        <f>+SUM(Q59:$Q$60)</f>
        <v>0</v>
      </c>
      <c r="U59" s="22">
        <f>+SUM(R59:$R$60)</f>
        <v>0</v>
      </c>
      <c r="V59" s="23">
        <f t="shared" si="10"/>
        <v>0</v>
      </c>
      <c r="W59" s="3"/>
      <c r="X59" s="14">
        <f t="shared" si="17"/>
        <v>50</v>
      </c>
      <c r="Y59" s="7">
        <v>1.2319999999999999E-2</v>
      </c>
      <c r="Z59" s="7">
        <v>8.3199999999999993E-3</v>
      </c>
      <c r="AA59" s="7">
        <v>6.7099999999999998E-3</v>
      </c>
      <c r="AB59" s="7">
        <v>5.28E-3</v>
      </c>
      <c r="AC59" s="7">
        <v>3.9090000000000001E-3</v>
      </c>
      <c r="AD59" s="7">
        <v>8.4200000000000004E-3</v>
      </c>
      <c r="AE59" s="7">
        <v>6.0899999999999999E-3</v>
      </c>
      <c r="AF59" s="7">
        <v>9.2800000000000001E-3</v>
      </c>
      <c r="AG59" s="7">
        <v>6.0899999999999999E-3</v>
      </c>
      <c r="AH59" s="7">
        <v>1.2319999999999999E-2</v>
      </c>
      <c r="AI59" s="7">
        <v>8.3199999999999993E-3</v>
      </c>
      <c r="AJ59" s="7">
        <v>6.7099999999999998E-3</v>
      </c>
      <c r="AK59" s="7">
        <v>5.28E-3</v>
      </c>
      <c r="AL59" s="7">
        <v>3.9090000000000001E-3</v>
      </c>
      <c r="AM59" s="7">
        <v>8.4200000000000004E-3</v>
      </c>
      <c r="AN59" s="7">
        <v>6.0899999999999999E-3</v>
      </c>
      <c r="AO59" s="7">
        <v>9.2800000000000001E-3</v>
      </c>
      <c r="AP59" s="24">
        <v>6.0899999999999999E-3</v>
      </c>
      <c r="AQ59" s="24">
        <f>(AP59+AR59)/2</f>
        <v>4.9399999999999999E-3</v>
      </c>
      <c r="AR59" s="24">
        <v>3.79E-3</v>
      </c>
      <c r="AS59" s="24">
        <v>3.9090000000000001E-3</v>
      </c>
      <c r="AT59" s="24">
        <v>1.647E-3</v>
      </c>
      <c r="AU59" s="24">
        <v>5.3800000000000002E-3</v>
      </c>
      <c r="AV59" s="24">
        <v>3.3400000000000001E-3</v>
      </c>
      <c r="AX59" s="1">
        <f t="shared" si="18"/>
        <v>50</v>
      </c>
    </row>
    <row r="60" spans="1:50" x14ac:dyDescent="0.25">
      <c r="A60" s="19">
        <f>A59+1</f>
        <v>65</v>
      </c>
      <c r="B60" s="32">
        <f t="shared" si="19"/>
        <v>0</v>
      </c>
      <c r="C60" s="20">
        <f t="shared" si="9"/>
        <v>0</v>
      </c>
      <c r="D60" s="31"/>
      <c r="E60" s="20">
        <f>IF(A60=$C$1,1,0)</f>
        <v>0</v>
      </c>
      <c r="F60" s="22">
        <f>+F59-G59-H59-I59-J59</f>
        <v>0</v>
      </c>
      <c r="G60" s="22">
        <f>ROUND(IF($A60&gt;=$C$1,0,+$F60*(1-0.5*C60)*(1-0.5*D60)*(1-0.5*E60)*B60),12)</f>
        <v>0</v>
      </c>
      <c r="H60" s="22">
        <f>ROUND(IF($A60&gt;=$C$1,0,+$F60*(1-0.5*B60)*(1-0.5*D60)*(1-0.5*E60)*C60),12)</f>
        <v>0</v>
      </c>
      <c r="I60" s="22">
        <f>ROUND(IF($A60&gt;=$C$1,0,+$F60*(1-0.5*B60)*(1-0.5*C60)*(1-0.5*E60)*D60),12)</f>
        <v>0</v>
      </c>
      <c r="J60" s="22">
        <f>ROUND(IF($A60&gt;$C$1,0,+$F60*(1-0.5*B60)*(1-0.5*C60)*(1-0.5*D60)*E60),12)</f>
        <v>0</v>
      </c>
      <c r="K60" s="4">
        <f t="shared" si="4"/>
        <v>0</v>
      </c>
      <c r="L60" s="4">
        <f t="shared" si="5"/>
        <v>0</v>
      </c>
      <c r="M60" s="4">
        <f t="shared" si="6"/>
        <v>0</v>
      </c>
      <c r="N60" s="22">
        <f t="shared" si="7"/>
        <v>0</v>
      </c>
      <c r="O60" s="4">
        <f t="shared" si="8"/>
        <v>0</v>
      </c>
      <c r="P60" s="22">
        <f>+SUM(M60:$M$60)</f>
        <v>0</v>
      </c>
      <c r="Q60" s="22">
        <f>+SUM(N60:$N$60)</f>
        <v>0</v>
      </c>
      <c r="R60" s="22">
        <f>+SUM(O60:$O$60)</f>
        <v>0</v>
      </c>
      <c r="S60" s="22">
        <f>+SUM(P60:$P$60)</f>
        <v>0</v>
      </c>
      <c r="T60" s="22">
        <f>+SUM(Q60:$Q$60)</f>
        <v>0</v>
      </c>
      <c r="U60" s="22">
        <f>+SUM(R60:$R$60)</f>
        <v>0</v>
      </c>
      <c r="V60" s="23">
        <f t="shared" si="10"/>
        <v>0</v>
      </c>
      <c r="W60" s="3"/>
      <c r="X60" s="14">
        <f t="shared" si="17"/>
        <v>51</v>
      </c>
      <c r="Y60" s="7">
        <v>1.3270000000000001E-2</v>
      </c>
      <c r="Z60" s="7">
        <v>9.11E-3</v>
      </c>
      <c r="AA60" s="7">
        <v>7.3000000000000001E-3</v>
      </c>
      <c r="AB60" s="7">
        <v>5.8700000000000002E-3</v>
      </c>
      <c r="AC60" s="7">
        <v>4.3239999999999997E-3</v>
      </c>
      <c r="AD60" s="7">
        <v>9.5499999999999995E-3</v>
      </c>
      <c r="AE60" s="7">
        <v>6.7200000000000003E-3</v>
      </c>
      <c r="AF60" s="7">
        <v>1.0019999999999999E-2</v>
      </c>
      <c r="AG60" s="7">
        <v>6.7200000000000003E-3</v>
      </c>
      <c r="AH60" s="7">
        <v>1.3270000000000001E-2</v>
      </c>
      <c r="AI60" s="7">
        <v>9.11E-3</v>
      </c>
      <c r="AJ60" s="7">
        <v>7.3000000000000001E-3</v>
      </c>
      <c r="AK60" s="7">
        <v>5.8700000000000002E-3</v>
      </c>
      <c r="AL60" s="7">
        <v>4.3239999999999997E-3</v>
      </c>
      <c r="AM60" s="7">
        <v>9.5499999999999995E-3</v>
      </c>
      <c r="AN60" s="7">
        <v>6.7200000000000003E-3</v>
      </c>
      <c r="AO60" s="7">
        <v>1.0019999999999999E-2</v>
      </c>
      <c r="AP60" s="24">
        <v>6.7200000000000003E-3</v>
      </c>
      <c r="AQ60" s="24">
        <f>(AP60+AR60)/2</f>
        <v>5.47E-3</v>
      </c>
      <c r="AR60" s="24">
        <v>4.2199999999999998E-3</v>
      </c>
      <c r="AS60" s="24">
        <v>4.3239999999999997E-3</v>
      </c>
      <c r="AT60" s="24">
        <v>1.7930000000000001E-3</v>
      </c>
      <c r="AU60" s="24">
        <v>6.1500000000000001E-3</v>
      </c>
      <c r="AV60" s="24">
        <v>3.7399999999999998E-3</v>
      </c>
      <c r="AX60" s="1">
        <f t="shared" si="18"/>
        <v>51</v>
      </c>
    </row>
    <row r="61" spans="1:50" x14ac:dyDescent="0.25">
      <c r="C61" s="7"/>
      <c r="D61" s="7"/>
      <c r="E61" s="7"/>
      <c r="F61" s="7"/>
      <c r="G61" s="7"/>
      <c r="X61" s="14">
        <f t="shared" si="17"/>
        <v>52</v>
      </c>
      <c r="Y61" s="7">
        <v>1.43E-2</v>
      </c>
      <c r="Z61" s="7">
        <v>9.9600000000000001E-3</v>
      </c>
      <c r="AA61" s="7">
        <v>7.9600000000000001E-3</v>
      </c>
      <c r="AB61" s="7">
        <v>6.4799999999999996E-3</v>
      </c>
      <c r="AC61" s="7">
        <v>4.7549999999999997E-3</v>
      </c>
      <c r="AD61" s="7">
        <v>1.078E-2</v>
      </c>
      <c r="AE61" s="7">
        <v>7.3000000000000001E-3</v>
      </c>
      <c r="AF61" s="7">
        <v>1.081E-2</v>
      </c>
      <c r="AG61" s="7">
        <v>7.3000000000000001E-3</v>
      </c>
      <c r="AH61" s="7">
        <v>1.43E-2</v>
      </c>
      <c r="AI61" s="7">
        <v>9.9600000000000001E-3</v>
      </c>
      <c r="AJ61" s="7">
        <v>7.9600000000000001E-3</v>
      </c>
      <c r="AK61" s="7">
        <v>6.4799999999999996E-3</v>
      </c>
      <c r="AL61" s="7">
        <v>4.7549999999999997E-3</v>
      </c>
      <c r="AM61" s="7">
        <v>1.078E-2</v>
      </c>
      <c r="AN61" s="7">
        <v>7.3000000000000001E-3</v>
      </c>
      <c r="AO61" s="7">
        <v>1.081E-2</v>
      </c>
      <c r="AP61" s="24">
        <v>7.3000000000000001E-3</v>
      </c>
      <c r="AQ61" s="24">
        <f t="shared" si="16"/>
        <v>6.0099999999999997E-3</v>
      </c>
      <c r="AR61" s="24">
        <v>4.7200000000000002E-3</v>
      </c>
      <c r="AS61" s="24">
        <v>4.7549999999999997E-3</v>
      </c>
      <c r="AT61" s="24">
        <v>1.949E-3</v>
      </c>
      <c r="AU61" s="24">
        <v>6.9899999999999997E-3</v>
      </c>
      <c r="AV61" s="24">
        <v>4.2199999999999998E-3</v>
      </c>
      <c r="AX61" s="1">
        <f t="shared" si="18"/>
        <v>52</v>
      </c>
    </row>
    <row r="62" spans="1:50" x14ac:dyDescent="0.25">
      <c r="C62" s="7"/>
      <c r="D62" s="7"/>
      <c r="E62" s="7"/>
      <c r="F62" s="7"/>
      <c r="G62" s="7"/>
      <c r="X62" s="14">
        <f t="shared" si="17"/>
        <v>53</v>
      </c>
      <c r="Y62" s="7">
        <v>1.5429999999999999E-2</v>
      </c>
      <c r="Z62" s="7">
        <v>1.089E-2</v>
      </c>
      <c r="AA62" s="7">
        <v>8.7100000000000007E-3</v>
      </c>
      <c r="AB62" s="7">
        <v>7.1300000000000001E-3</v>
      </c>
      <c r="AC62" s="7">
        <v>5.1999999999999998E-3</v>
      </c>
      <c r="AD62" s="7">
        <v>1.1979999999999999E-2</v>
      </c>
      <c r="AE62" s="7">
        <v>7.8399999999999997E-3</v>
      </c>
      <c r="AF62" s="7">
        <v>1.1650000000000001E-2</v>
      </c>
      <c r="AG62" s="7">
        <v>7.8399999999999997E-3</v>
      </c>
      <c r="AH62" s="7">
        <v>1.5429999999999999E-2</v>
      </c>
      <c r="AI62" s="7">
        <v>1.089E-2</v>
      </c>
      <c r="AJ62" s="7">
        <v>8.7100000000000007E-3</v>
      </c>
      <c r="AK62" s="7">
        <v>7.1300000000000001E-3</v>
      </c>
      <c r="AL62" s="7">
        <v>5.1999999999999998E-3</v>
      </c>
      <c r="AM62" s="7">
        <v>1.1979999999999999E-2</v>
      </c>
      <c r="AN62" s="7">
        <v>7.8399999999999997E-3</v>
      </c>
      <c r="AO62" s="7">
        <v>1.1650000000000001E-2</v>
      </c>
      <c r="AP62" s="24">
        <v>7.8399999999999997E-3</v>
      </c>
      <c r="AQ62" s="24">
        <f t="shared" si="16"/>
        <v>6.5450000000000005E-3</v>
      </c>
      <c r="AR62" s="24">
        <v>5.2500000000000003E-3</v>
      </c>
      <c r="AS62" s="24">
        <v>5.1999999999999998E-3</v>
      </c>
      <c r="AT62" s="24">
        <v>2.1199999999999999E-3</v>
      </c>
      <c r="AU62" s="24">
        <v>7.8399999999999997E-3</v>
      </c>
      <c r="AV62" s="24">
        <v>4.79E-3</v>
      </c>
      <c r="AX62" s="1">
        <f t="shared" si="18"/>
        <v>53</v>
      </c>
    </row>
    <row r="63" spans="1:50" x14ac:dyDescent="0.25">
      <c r="C63" s="7"/>
      <c r="D63" s="7"/>
      <c r="E63" s="7"/>
      <c r="F63" s="7"/>
      <c r="G63" s="7"/>
      <c r="X63" s="14">
        <f t="shared" si="17"/>
        <v>54</v>
      </c>
      <c r="Y63" s="7">
        <v>1.6650000000000002E-2</v>
      </c>
      <c r="Z63" s="7">
        <v>1.1900000000000001E-2</v>
      </c>
      <c r="AA63" s="7">
        <v>9.5600000000000008E-3</v>
      </c>
      <c r="AB63" s="7">
        <v>7.8100000000000001E-3</v>
      </c>
      <c r="AC63" s="7">
        <v>5.6600000000000001E-3</v>
      </c>
      <c r="AD63" s="7">
        <v>1.328E-2</v>
      </c>
      <c r="AE63" s="7">
        <v>8.4100000000000008E-3</v>
      </c>
      <c r="AF63" s="7">
        <v>1.257E-2</v>
      </c>
      <c r="AG63" s="7">
        <v>8.4100000000000008E-3</v>
      </c>
      <c r="AH63" s="7">
        <v>1.6650000000000002E-2</v>
      </c>
      <c r="AI63" s="7">
        <v>1.1900000000000001E-2</v>
      </c>
      <c r="AJ63" s="7">
        <v>9.5600000000000008E-3</v>
      </c>
      <c r="AK63" s="7">
        <v>7.8100000000000001E-3</v>
      </c>
      <c r="AL63" s="7">
        <v>5.6600000000000001E-3</v>
      </c>
      <c r="AM63" s="7">
        <v>1.328E-2</v>
      </c>
      <c r="AN63" s="7">
        <v>8.4100000000000008E-3</v>
      </c>
      <c r="AO63" s="7">
        <v>1.257E-2</v>
      </c>
      <c r="AP63" s="24">
        <v>8.4100000000000008E-3</v>
      </c>
      <c r="AQ63" s="24">
        <f t="shared" si="16"/>
        <v>7.0900000000000008E-3</v>
      </c>
      <c r="AR63" s="24">
        <v>5.77E-3</v>
      </c>
      <c r="AS63" s="24">
        <v>5.6600000000000001E-3</v>
      </c>
      <c r="AT63" s="24">
        <v>2.3149999999999998E-3</v>
      </c>
      <c r="AU63" s="24">
        <v>8.7200000000000003E-3</v>
      </c>
      <c r="AV63" s="24">
        <v>5.4200000000000003E-3</v>
      </c>
      <c r="AX63" s="1">
        <f t="shared" si="18"/>
        <v>54</v>
      </c>
    </row>
    <row r="64" spans="1:50" x14ac:dyDescent="0.25">
      <c r="C64" s="7"/>
      <c r="D64" s="7"/>
      <c r="E64" s="7"/>
      <c r="F64" s="7"/>
      <c r="G64" s="7"/>
      <c r="X64" s="14">
        <f t="shared" si="17"/>
        <v>55</v>
      </c>
      <c r="Y64" s="7">
        <v>1.7979999999999999E-2</v>
      </c>
      <c r="Z64" s="7">
        <v>1.2999999999999999E-2</v>
      </c>
      <c r="AA64" s="7">
        <v>1.047E-2</v>
      </c>
      <c r="AB64" s="7">
        <v>8.5199999999999998E-3</v>
      </c>
      <c r="AC64" s="7">
        <v>6.1310000000000002E-3</v>
      </c>
      <c r="AD64" s="7">
        <v>1.468E-2</v>
      </c>
      <c r="AE64" s="7">
        <v>9.0799999999999995E-3</v>
      </c>
      <c r="AF64" s="7">
        <v>1.3559999999999999E-2</v>
      </c>
      <c r="AG64" s="7">
        <v>9.0799999999999995E-3</v>
      </c>
      <c r="AH64" s="7">
        <v>1.7979999999999999E-2</v>
      </c>
      <c r="AI64" s="7">
        <v>1.2999999999999999E-2</v>
      </c>
      <c r="AJ64" s="7">
        <v>1.047E-2</v>
      </c>
      <c r="AK64" s="7">
        <v>8.5199999999999998E-3</v>
      </c>
      <c r="AL64" s="7">
        <v>6.1310000000000002E-3</v>
      </c>
      <c r="AM64" s="7">
        <v>1.468E-2</v>
      </c>
      <c r="AN64" s="7">
        <v>9.0799999999999995E-3</v>
      </c>
      <c r="AO64" s="7">
        <v>1.3559999999999999E-2</v>
      </c>
      <c r="AP64" s="24">
        <v>9.0799999999999995E-3</v>
      </c>
      <c r="AQ64" s="24">
        <f t="shared" si="16"/>
        <v>7.6699999999999997E-3</v>
      </c>
      <c r="AR64" s="24">
        <v>6.2599999999999999E-3</v>
      </c>
      <c r="AS64" s="24">
        <v>6.1310000000000002E-3</v>
      </c>
      <c r="AT64" s="24">
        <v>2.5409999999999999E-3</v>
      </c>
      <c r="AU64" s="24">
        <v>9.6100000000000005E-3</v>
      </c>
      <c r="AV64" s="24">
        <v>6.0699999999999999E-3</v>
      </c>
      <c r="AX64" s="1">
        <f t="shared" si="18"/>
        <v>55</v>
      </c>
    </row>
    <row r="65" spans="3:50" x14ac:dyDescent="0.25">
      <c r="C65" s="7"/>
      <c r="D65" s="7"/>
      <c r="E65" s="7"/>
      <c r="F65" s="7"/>
      <c r="G65" s="7"/>
      <c r="X65" s="14">
        <f t="shared" si="17"/>
        <v>56</v>
      </c>
      <c r="Y65" s="7">
        <v>1.9429999999999999E-2</v>
      </c>
      <c r="Z65" s="7">
        <v>1.421E-2</v>
      </c>
      <c r="AA65" s="7">
        <v>1.146E-2</v>
      </c>
      <c r="AB65" s="7">
        <v>9.2599999999999991E-3</v>
      </c>
      <c r="AC65" s="7">
        <v>6.6179999999999998E-3</v>
      </c>
      <c r="AD65" s="7">
        <v>1.619E-2</v>
      </c>
      <c r="AE65" s="7">
        <v>9.9299999999999996E-3</v>
      </c>
      <c r="AF65" s="7">
        <v>1.481E-2</v>
      </c>
      <c r="AG65" s="7">
        <v>9.9299999999999996E-3</v>
      </c>
      <c r="AH65" s="7">
        <v>1.9429999999999999E-2</v>
      </c>
      <c r="AI65" s="7">
        <v>1.421E-2</v>
      </c>
      <c r="AJ65" s="7">
        <v>1.146E-2</v>
      </c>
      <c r="AK65" s="7">
        <v>9.2599999999999991E-3</v>
      </c>
      <c r="AL65" s="7">
        <v>6.6179999999999998E-3</v>
      </c>
      <c r="AM65" s="7">
        <v>1.619E-2</v>
      </c>
      <c r="AN65" s="7">
        <v>9.9299999999999996E-3</v>
      </c>
      <c r="AO65" s="7">
        <v>1.481E-2</v>
      </c>
      <c r="AP65" s="24">
        <v>9.9299999999999996E-3</v>
      </c>
      <c r="AQ65" s="24">
        <f t="shared" si="16"/>
        <v>8.3350000000000004E-3</v>
      </c>
      <c r="AR65" s="24">
        <v>6.7400000000000003E-3</v>
      </c>
      <c r="AS65" s="24">
        <v>6.6179999999999998E-3</v>
      </c>
      <c r="AT65" s="24">
        <v>2.8029999999999999E-3</v>
      </c>
      <c r="AU65" s="24">
        <v>1.051E-2</v>
      </c>
      <c r="AV65" s="24">
        <v>6.6899999999999998E-3</v>
      </c>
      <c r="AX65" s="1">
        <f t="shared" si="18"/>
        <v>56</v>
      </c>
    </row>
    <row r="66" spans="3:50" x14ac:dyDescent="0.25">
      <c r="C66" s="7"/>
      <c r="D66" s="7"/>
      <c r="E66" s="7"/>
      <c r="F66" s="7"/>
      <c r="G66" s="7"/>
      <c r="X66" s="14">
        <f t="shared" si="17"/>
        <v>57</v>
      </c>
      <c r="Y66" s="7">
        <v>2.1453E-2</v>
      </c>
      <c r="Z66" s="7">
        <v>1.5925999999999999E-2</v>
      </c>
      <c r="AA66" s="7">
        <v>1.2781000000000001E-2</v>
      </c>
      <c r="AB66" s="7">
        <v>1.0540000000000001E-2</v>
      </c>
      <c r="AC66" s="7">
        <v>7.4799999999999997E-3</v>
      </c>
      <c r="AD66" s="7">
        <v>1.8335000000000001E-2</v>
      </c>
      <c r="AE66" s="7">
        <v>1.1417E-2</v>
      </c>
      <c r="AF66" s="7">
        <v>1.6447E-2</v>
      </c>
      <c r="AG66" s="7">
        <v>1.1417E-2</v>
      </c>
      <c r="AH66" s="7">
        <v>2.1000000000000001E-2</v>
      </c>
      <c r="AI66" s="7">
        <v>1.554E-2</v>
      </c>
      <c r="AJ66" s="7">
        <v>1.2489999999999999E-2</v>
      </c>
      <c r="AK66" s="7">
        <v>1.004E-2</v>
      </c>
      <c r="AL66" s="7">
        <v>7.1390000000000004E-3</v>
      </c>
      <c r="AM66" s="7">
        <v>1.7819999999999999E-2</v>
      </c>
      <c r="AN66" s="7">
        <v>1.0999999999999999E-2</v>
      </c>
      <c r="AO66" s="7">
        <v>1.576E-2</v>
      </c>
      <c r="AP66" s="24">
        <v>1.0999999999999999E-2</v>
      </c>
      <c r="AQ66" s="24">
        <f t="shared" si="16"/>
        <v>9.1249999999999994E-3</v>
      </c>
      <c r="AR66" s="24">
        <v>7.2500000000000004E-3</v>
      </c>
      <c r="AS66" s="24">
        <v>7.1390000000000004E-3</v>
      </c>
      <c r="AT66" s="24">
        <v>3.1029999999999999E-3</v>
      </c>
      <c r="AU66" s="24">
        <v>1.142E-2</v>
      </c>
      <c r="AV66" s="24">
        <v>7.2500000000000004E-3</v>
      </c>
      <c r="AX66" s="1">
        <f t="shared" si="18"/>
        <v>57</v>
      </c>
    </row>
    <row r="67" spans="3:50" x14ac:dyDescent="0.25">
      <c r="C67" s="7"/>
      <c r="D67" s="7"/>
      <c r="E67" s="7"/>
      <c r="F67" s="7"/>
      <c r="G67" s="7"/>
      <c r="X67" s="14">
        <f t="shared" si="17"/>
        <v>58</v>
      </c>
      <c r="Y67" s="7">
        <v>2.3695000000000001E-2</v>
      </c>
      <c r="Z67" s="7">
        <v>1.7842E-2</v>
      </c>
      <c r="AA67" s="7">
        <v>1.4215E-2</v>
      </c>
      <c r="AB67" s="7">
        <v>1.2132E-2</v>
      </c>
      <c r="AC67" s="7">
        <v>8.5210000000000008E-3</v>
      </c>
      <c r="AD67" s="7">
        <v>2.0681999999999999E-2</v>
      </c>
      <c r="AE67" s="7">
        <v>1.3195999999999999E-2</v>
      </c>
      <c r="AF67" s="7">
        <v>1.8488000000000001E-2</v>
      </c>
      <c r="AG67" s="7">
        <v>1.3195999999999999E-2</v>
      </c>
      <c r="AH67" s="7">
        <v>2.2710000000000001E-2</v>
      </c>
      <c r="AI67" s="7">
        <v>1.7000000000000001E-2</v>
      </c>
      <c r="AJ67" s="7">
        <v>1.359E-2</v>
      </c>
      <c r="AK67" s="7">
        <v>1.089E-2</v>
      </c>
      <c r="AL67" s="7">
        <v>7.7190000000000002E-3</v>
      </c>
      <c r="AM67" s="7">
        <v>1.9570000000000001E-2</v>
      </c>
      <c r="AN67" s="7">
        <v>1.2290000000000001E-2</v>
      </c>
      <c r="AO67" s="7">
        <v>1.6990000000000002E-2</v>
      </c>
      <c r="AP67" s="24">
        <v>1.2290000000000001E-2</v>
      </c>
      <c r="AQ67" s="24">
        <f t="shared" si="16"/>
        <v>1.0075000000000001E-2</v>
      </c>
      <c r="AR67" s="24">
        <v>7.8600000000000007E-3</v>
      </c>
      <c r="AS67" s="24">
        <v>7.7190000000000002E-3</v>
      </c>
      <c r="AT67" s="24">
        <v>3.4429999999999999E-3</v>
      </c>
      <c r="AU67" s="24">
        <v>1.2319999999999999E-2</v>
      </c>
      <c r="AV67" s="24">
        <v>7.7600000000000004E-3</v>
      </c>
      <c r="AX67" s="1">
        <f t="shared" si="18"/>
        <v>58</v>
      </c>
    </row>
    <row r="68" spans="3:50" x14ac:dyDescent="0.25">
      <c r="C68" s="7"/>
      <c r="D68" s="7"/>
      <c r="E68" s="7"/>
      <c r="F68" s="7"/>
      <c r="G68" s="7"/>
      <c r="X68" s="14">
        <f t="shared" si="17"/>
        <v>59</v>
      </c>
      <c r="Y68" s="7">
        <v>2.6173999999999999E-2</v>
      </c>
      <c r="Z68" s="7">
        <v>1.9980000000000001E-2</v>
      </c>
      <c r="AA68" s="7">
        <v>1.5810000000000001E-2</v>
      </c>
      <c r="AB68" s="7">
        <v>1.4128999999999999E-2</v>
      </c>
      <c r="AC68" s="7">
        <v>9.8510000000000004E-3</v>
      </c>
      <c r="AD68" s="7">
        <v>2.3259999999999999E-2</v>
      </c>
      <c r="AE68" s="7">
        <v>1.6466000000000001E-2</v>
      </c>
      <c r="AF68" s="7">
        <v>2.0799000000000002E-2</v>
      </c>
      <c r="AG68" s="7">
        <v>1.6466000000000001E-2</v>
      </c>
      <c r="AH68" s="7">
        <v>2.4570000000000002E-2</v>
      </c>
      <c r="AI68" s="7">
        <v>1.8589999999999999E-2</v>
      </c>
      <c r="AJ68" s="7">
        <v>1.477E-2</v>
      </c>
      <c r="AK68" s="7">
        <v>1.192E-2</v>
      </c>
      <c r="AL68" s="7">
        <v>8.3840000000000008E-3</v>
      </c>
      <c r="AM68" s="7">
        <v>2.146E-2</v>
      </c>
      <c r="AN68" s="7">
        <v>1.3690000000000001E-2</v>
      </c>
      <c r="AO68" s="7">
        <v>1.8319999999999999E-2</v>
      </c>
      <c r="AP68" s="24">
        <v>1.3690000000000001E-2</v>
      </c>
      <c r="AQ68" s="24">
        <f t="shared" si="16"/>
        <v>1.1165000000000001E-2</v>
      </c>
      <c r="AR68" s="24">
        <v>8.6400000000000001E-3</v>
      </c>
      <c r="AS68" s="24">
        <v>8.3840000000000008E-3</v>
      </c>
      <c r="AT68" s="24">
        <v>3.8210000000000002E-3</v>
      </c>
      <c r="AU68" s="24">
        <v>1.3220000000000001E-2</v>
      </c>
      <c r="AV68" s="24">
        <v>8.26E-3</v>
      </c>
      <c r="AX68" s="1">
        <f t="shared" si="18"/>
        <v>59</v>
      </c>
    </row>
    <row r="69" spans="3:50" x14ac:dyDescent="0.25">
      <c r="C69" s="7"/>
      <c r="D69" s="7"/>
      <c r="E69" s="7"/>
      <c r="F69" s="7"/>
      <c r="G69" s="7"/>
      <c r="X69" s="14">
        <f t="shared" si="17"/>
        <v>60</v>
      </c>
      <c r="Y69" s="7">
        <v>2.8920999999999999E-2</v>
      </c>
      <c r="Z69" s="7">
        <v>2.2362E-2</v>
      </c>
      <c r="AA69" s="7">
        <v>1.7637E-2</v>
      </c>
      <c r="AB69" s="7">
        <v>1.6407000000000001E-2</v>
      </c>
      <c r="AC69" s="7">
        <v>1.1577E-2</v>
      </c>
      <c r="AD69" s="7">
        <v>2.6117999999999999E-2</v>
      </c>
      <c r="AE69" s="7">
        <v>1.7031999999999999E-2</v>
      </c>
      <c r="AF69" s="7">
        <v>2.3304999999999999E-2</v>
      </c>
      <c r="AG69" s="7">
        <v>1.7031999999999999E-2</v>
      </c>
      <c r="AH69" s="7">
        <v>2.6589999999999999E-2</v>
      </c>
      <c r="AI69" s="7">
        <v>2.034E-2</v>
      </c>
      <c r="AJ69" s="7">
        <v>1.6080000000000001E-2</v>
      </c>
      <c r="AK69" s="7">
        <v>1.312E-2</v>
      </c>
      <c r="AL69" s="7">
        <v>9.1579999999999995E-3</v>
      </c>
      <c r="AM69" s="7">
        <v>2.35E-2</v>
      </c>
      <c r="AN69" s="7">
        <v>1.5049999999999999E-2</v>
      </c>
      <c r="AO69" s="7">
        <v>1.975E-2</v>
      </c>
      <c r="AP69" s="24">
        <v>1.5049999999999999E-2</v>
      </c>
      <c r="AQ69" s="24">
        <f t="shared" si="16"/>
        <v>1.2344999999999998E-2</v>
      </c>
      <c r="AR69" s="24">
        <v>9.6399999999999993E-3</v>
      </c>
      <c r="AS69" s="24">
        <v>9.1579999999999995E-3</v>
      </c>
      <c r="AT69" s="24">
        <v>4.241E-3</v>
      </c>
      <c r="AU69" s="24">
        <v>1.417E-2</v>
      </c>
      <c r="AV69" s="24">
        <v>8.77E-3</v>
      </c>
      <c r="AX69" s="1">
        <f t="shared" si="18"/>
        <v>60</v>
      </c>
    </row>
    <row r="70" spans="3:50" x14ac:dyDescent="0.25">
      <c r="C70" s="7"/>
      <c r="D70" s="7"/>
      <c r="E70" s="7"/>
      <c r="F70" s="7"/>
      <c r="G70" s="7"/>
      <c r="X70" s="14">
        <f t="shared" si="17"/>
        <v>61</v>
      </c>
      <c r="Y70" s="7">
        <v>3.2015000000000002E-2</v>
      </c>
      <c r="Z70" s="7">
        <v>2.5041000000000001E-2</v>
      </c>
      <c r="AA70" s="7">
        <v>1.9795E-2</v>
      </c>
      <c r="AB70" s="7">
        <v>1.9085000000000001E-2</v>
      </c>
      <c r="AC70" s="7">
        <v>1.3781E-2</v>
      </c>
      <c r="AD70" s="7">
        <v>2.9264999999999999E-2</v>
      </c>
      <c r="AE70" s="7">
        <v>1.9302E-2</v>
      </c>
      <c r="AF70" s="7">
        <v>2.6440999999999999E-2</v>
      </c>
      <c r="AG70" s="7">
        <v>1.9302E-2</v>
      </c>
      <c r="AH70" s="7">
        <v>2.878E-2</v>
      </c>
      <c r="AI70" s="7">
        <v>2.2239999999999999E-2</v>
      </c>
      <c r="AJ70" s="7">
        <v>1.754E-2</v>
      </c>
      <c r="AK70" s="7">
        <v>1.444E-2</v>
      </c>
      <c r="AL70" s="7">
        <v>1.0064E-2</v>
      </c>
      <c r="AM70" s="7">
        <v>2.5700000000000001E-2</v>
      </c>
      <c r="AN70" s="7">
        <v>1.6549999999999999E-2</v>
      </c>
      <c r="AO70" s="7">
        <v>2.1299999999999999E-2</v>
      </c>
      <c r="AP70" s="24">
        <v>1.6549999999999999E-2</v>
      </c>
      <c r="AQ70" s="24">
        <f t="shared" si="16"/>
        <v>1.3675E-2</v>
      </c>
      <c r="AR70" s="24">
        <v>1.0800000000000001E-2</v>
      </c>
      <c r="AS70" s="24">
        <v>1.0064E-2</v>
      </c>
      <c r="AT70" s="24">
        <v>4.7029999999999997E-3</v>
      </c>
      <c r="AU70" s="24">
        <v>1.521E-2</v>
      </c>
      <c r="AV70" s="24">
        <v>9.3600000000000003E-3</v>
      </c>
      <c r="AX70" s="1">
        <f t="shared" si="18"/>
        <v>61</v>
      </c>
    </row>
    <row r="71" spans="3:50" x14ac:dyDescent="0.25">
      <c r="C71" s="7"/>
      <c r="D71" s="7"/>
      <c r="E71" s="7"/>
      <c r="F71" s="7"/>
      <c r="G71" s="7"/>
      <c r="X71" s="14">
        <f t="shared" si="17"/>
        <v>62</v>
      </c>
      <c r="Y71" s="7">
        <v>3.5418999999999999E-2</v>
      </c>
      <c r="Z71" s="7">
        <v>2.8022999999999999E-2</v>
      </c>
      <c r="AA71" s="7">
        <v>2.2284000000000002E-2</v>
      </c>
      <c r="AB71" s="7">
        <v>2.2519999999999998E-2</v>
      </c>
      <c r="AC71" s="7">
        <v>1.6643999999999999E-2</v>
      </c>
      <c r="AD71" s="7">
        <v>3.2712999999999999E-2</v>
      </c>
      <c r="AE71" s="7">
        <v>2.3904999999999999E-2</v>
      </c>
      <c r="AF71" s="7">
        <v>2.9537000000000001E-2</v>
      </c>
      <c r="AG71" s="7">
        <v>2.3904999999999999E-2</v>
      </c>
      <c r="AH71" s="7">
        <v>3.1179999999999999E-2</v>
      </c>
      <c r="AI71" s="7">
        <v>2.4309999999999998E-2</v>
      </c>
      <c r="AJ71" s="7">
        <v>1.9189999999999999E-2</v>
      </c>
      <c r="AK71" s="7">
        <v>1.5859999999999999E-2</v>
      </c>
      <c r="AL71" s="7">
        <v>1.1133000000000001E-2</v>
      </c>
      <c r="AM71" s="7">
        <v>2.8070000000000001E-2</v>
      </c>
      <c r="AN71" s="7">
        <v>1.8190000000000001E-2</v>
      </c>
      <c r="AO71" s="7">
        <v>2.2859999999999998E-2</v>
      </c>
      <c r="AP71" s="24">
        <v>1.8190000000000001E-2</v>
      </c>
      <c r="AQ71" s="24">
        <f t="shared" si="16"/>
        <v>1.5035E-2</v>
      </c>
      <c r="AR71" s="24">
        <v>1.188E-2</v>
      </c>
      <c r="AS71" s="24">
        <v>1.1133000000000001E-2</v>
      </c>
      <c r="AT71" s="24">
        <v>5.2100000000000002E-3</v>
      </c>
      <c r="AU71" s="24">
        <v>1.6389999999999998E-2</v>
      </c>
      <c r="AV71" s="24">
        <v>1.004E-2</v>
      </c>
      <c r="AX71" s="1">
        <f t="shared" si="18"/>
        <v>62</v>
      </c>
    </row>
    <row r="72" spans="3:50" x14ac:dyDescent="0.25">
      <c r="C72" s="7"/>
      <c r="D72" s="7"/>
      <c r="E72" s="7"/>
      <c r="F72" s="7"/>
      <c r="G72" s="7"/>
      <c r="X72" s="14">
        <f t="shared" si="17"/>
        <v>63</v>
      </c>
      <c r="Y72" s="7">
        <v>3.9190000000000003E-2</v>
      </c>
      <c r="Z72" s="7">
        <v>3.1350999999999997E-2</v>
      </c>
      <c r="AA72" s="7">
        <v>2.5085E-2</v>
      </c>
      <c r="AB72" s="7">
        <v>2.6658000000000001E-2</v>
      </c>
      <c r="AC72" s="7">
        <v>2.0088999999999999E-2</v>
      </c>
      <c r="AD72" s="7">
        <v>3.6506999999999998E-2</v>
      </c>
      <c r="AE72" s="7">
        <v>2.478E-2</v>
      </c>
      <c r="AF72" s="7">
        <v>3.3176999999999998E-2</v>
      </c>
      <c r="AG72" s="7">
        <v>2.478E-2</v>
      </c>
      <c r="AH72" s="7">
        <v>3.3759999999999998E-2</v>
      </c>
      <c r="AI72" s="7">
        <v>2.657E-2</v>
      </c>
      <c r="AJ72" s="7">
        <v>2.1059999999999999E-2</v>
      </c>
      <c r="AK72" s="7">
        <v>1.7409999999999998E-2</v>
      </c>
      <c r="AL72" s="7">
        <v>1.2390999999999999E-2</v>
      </c>
      <c r="AM72" s="7">
        <v>3.0609999999999998E-2</v>
      </c>
      <c r="AN72" s="7">
        <v>1.9990000000000001E-2</v>
      </c>
      <c r="AO72" s="7">
        <v>2.4750000000000001E-2</v>
      </c>
      <c r="AP72" s="24">
        <v>1.9990000000000001E-2</v>
      </c>
      <c r="AQ72" s="24">
        <f t="shared" si="16"/>
        <v>1.653E-2</v>
      </c>
      <c r="AR72" s="24">
        <v>1.307E-2</v>
      </c>
      <c r="AS72" s="24">
        <v>1.2390999999999999E-2</v>
      </c>
      <c r="AT72" s="24">
        <v>5.7689999999999998E-3</v>
      </c>
      <c r="AU72" s="24">
        <v>1.7729999999999999E-2</v>
      </c>
      <c r="AV72" s="24">
        <v>1.1039999999999999E-2</v>
      </c>
      <c r="AX72" s="1">
        <f t="shared" si="18"/>
        <v>63</v>
      </c>
    </row>
    <row r="73" spans="3:50" x14ac:dyDescent="0.25">
      <c r="C73" s="7"/>
      <c r="D73" s="7"/>
      <c r="E73" s="7"/>
      <c r="F73" s="7"/>
      <c r="G73" s="7"/>
      <c r="X73" s="14">
        <f t="shared" si="17"/>
        <v>64</v>
      </c>
      <c r="Y73" s="7">
        <v>4.3383999999999999E-2</v>
      </c>
      <c r="Z73" s="7">
        <v>3.5128E-2</v>
      </c>
      <c r="AA73" s="7">
        <v>2.8154999999999999E-2</v>
      </c>
      <c r="AB73" s="7">
        <v>3.1483999999999998E-2</v>
      </c>
      <c r="AC73" s="7">
        <v>2.4056000000000001E-2</v>
      </c>
      <c r="AD73" s="7">
        <v>4.0707E-2</v>
      </c>
      <c r="AE73" s="7">
        <v>2.8070999999999999E-2</v>
      </c>
      <c r="AF73" s="7">
        <v>3.7231E-2</v>
      </c>
      <c r="AG73" s="7">
        <v>2.8070999999999999E-2</v>
      </c>
      <c r="AH73" s="7">
        <v>3.6580000000000001E-2</v>
      </c>
      <c r="AI73" s="7">
        <v>2.904E-2</v>
      </c>
      <c r="AJ73" s="7">
        <v>2.3140000000000001E-2</v>
      </c>
      <c r="AK73" s="7">
        <v>1.9189999999999999E-2</v>
      </c>
      <c r="AL73" s="7">
        <v>1.3868E-2</v>
      </c>
      <c r="AM73" s="7">
        <v>3.3360000000000001E-2</v>
      </c>
      <c r="AN73" s="7">
        <v>2.197E-2</v>
      </c>
      <c r="AO73" s="7">
        <v>2.6880000000000001E-2</v>
      </c>
      <c r="AP73" s="24">
        <v>2.197E-2</v>
      </c>
      <c r="AQ73" s="24">
        <f t="shared" si="16"/>
        <v>1.8180000000000002E-2</v>
      </c>
      <c r="AR73" s="24">
        <v>1.439E-2</v>
      </c>
      <c r="AS73" s="24">
        <v>1.3868E-2</v>
      </c>
      <c r="AT73" s="24">
        <v>6.3860000000000002E-3</v>
      </c>
      <c r="AU73" s="24">
        <v>1.9259999999999999E-2</v>
      </c>
      <c r="AV73" s="24">
        <v>1.214E-2</v>
      </c>
      <c r="AX73" s="1">
        <f t="shared" si="18"/>
        <v>64</v>
      </c>
    </row>
    <row r="74" spans="3:50" x14ac:dyDescent="0.25">
      <c r="C74" s="7"/>
      <c r="D74" s="7"/>
      <c r="E74" s="7"/>
      <c r="F74" s="7"/>
      <c r="G74" s="7"/>
      <c r="X74" s="14">
        <f t="shared" si="17"/>
        <v>65</v>
      </c>
      <c r="Y74" s="7">
        <v>4.8051000000000003E-2</v>
      </c>
      <c r="Z74" s="7">
        <v>3.9432000000000002E-2</v>
      </c>
      <c r="AA74" s="7">
        <v>3.1490999999999998E-2</v>
      </c>
      <c r="AB74" s="7">
        <v>3.7256999999999998E-2</v>
      </c>
      <c r="AC74" s="7">
        <v>2.8361000000000001E-2</v>
      </c>
      <c r="AD74" s="7">
        <v>4.5308000000000001E-2</v>
      </c>
      <c r="AE74" s="7">
        <v>3.4647999999999998E-2</v>
      </c>
      <c r="AF74" s="7">
        <v>4.1855000000000003E-2</v>
      </c>
      <c r="AG74" s="7">
        <v>3.4647999999999998E-2</v>
      </c>
      <c r="AH74" s="7">
        <v>3.9640000000000002E-2</v>
      </c>
      <c r="AI74" s="7">
        <v>3.175E-2</v>
      </c>
      <c r="AJ74" s="7">
        <v>2.5420000000000002E-2</v>
      </c>
      <c r="AK74" s="7">
        <v>2.1260000000000001E-2</v>
      </c>
      <c r="AL74" s="7">
        <v>1.5592E-2</v>
      </c>
      <c r="AM74" s="7">
        <v>3.6319999999999998E-2</v>
      </c>
      <c r="AN74" s="7">
        <v>2.4150000000000001E-2</v>
      </c>
      <c r="AO74" s="7">
        <v>2.8750000000000001E-2</v>
      </c>
      <c r="AP74" s="24">
        <v>2.4150000000000001E-2</v>
      </c>
      <c r="AQ74" s="24">
        <f t="shared" ref="AQ74:AQ109" si="20">(AP74+AR74)/2</f>
        <v>1.9994999999999999E-2</v>
      </c>
      <c r="AR74" s="24">
        <v>1.584E-2</v>
      </c>
      <c r="AS74" s="24">
        <v>1.5592E-2</v>
      </c>
      <c r="AT74" s="24">
        <v>7.064E-3</v>
      </c>
      <c r="AU74" s="24">
        <v>2.1000000000000001E-2</v>
      </c>
      <c r="AV74" s="24">
        <v>1.3339999999999999E-2</v>
      </c>
      <c r="AX74" s="1">
        <f t="shared" si="18"/>
        <v>65</v>
      </c>
    </row>
    <row r="75" spans="3:50" x14ac:dyDescent="0.25">
      <c r="C75" s="7"/>
      <c r="D75" s="7"/>
      <c r="E75" s="7"/>
      <c r="F75" s="7"/>
      <c r="G75" s="7"/>
      <c r="X75" s="14">
        <f t="shared" ref="X75:X119" si="21">X74+1</f>
        <v>66</v>
      </c>
      <c r="Y75" s="7">
        <v>5.3204000000000001E-2</v>
      </c>
      <c r="Z75" s="7">
        <v>4.4222999999999998E-2</v>
      </c>
      <c r="AA75" s="7">
        <v>3.5118000000000003E-2</v>
      </c>
      <c r="AB75" s="7">
        <v>4.3381000000000003E-2</v>
      </c>
      <c r="AC75" s="7">
        <v>3.3015000000000003E-2</v>
      </c>
      <c r="AD75" s="7">
        <v>5.0337E-2</v>
      </c>
      <c r="AE75" s="7">
        <v>3.5992000000000003E-2</v>
      </c>
      <c r="AF75" s="7">
        <v>4.7015000000000001E-2</v>
      </c>
      <c r="AG75" s="7">
        <v>3.5992000000000003E-2</v>
      </c>
      <c r="AH75" s="7">
        <v>4.2959999999999998E-2</v>
      </c>
      <c r="AI75" s="7">
        <v>3.474E-2</v>
      </c>
      <c r="AJ75" s="7">
        <v>2.785E-2</v>
      </c>
      <c r="AK75" s="7">
        <v>2.3640000000000001E-2</v>
      </c>
      <c r="AL75" s="7">
        <v>1.7579000000000001E-2</v>
      </c>
      <c r="AM75" s="7">
        <v>3.95E-2</v>
      </c>
      <c r="AN75" s="7">
        <v>2.6530000000000001E-2</v>
      </c>
      <c r="AO75" s="7">
        <v>3.0980000000000001E-2</v>
      </c>
      <c r="AP75" s="24">
        <v>2.6530000000000001E-2</v>
      </c>
      <c r="AQ75" s="24">
        <f t="shared" si="20"/>
        <v>2.1985000000000001E-2</v>
      </c>
      <c r="AR75" s="24">
        <v>1.7440000000000001E-2</v>
      </c>
      <c r="AS75" s="24">
        <v>1.7579000000000001E-2</v>
      </c>
      <c r="AT75" s="24">
        <v>7.8169999999999993E-3</v>
      </c>
      <c r="AU75" s="24">
        <v>2.2880000000000001E-2</v>
      </c>
      <c r="AV75" s="24">
        <v>1.4659999999999999E-2</v>
      </c>
      <c r="AX75" s="1">
        <f t="shared" ref="AX75:AX120" si="22">1+AX74</f>
        <v>66</v>
      </c>
    </row>
    <row r="76" spans="3:50" x14ac:dyDescent="0.25">
      <c r="C76" s="7"/>
      <c r="D76" s="7"/>
      <c r="E76" s="7"/>
      <c r="F76" s="7"/>
      <c r="G76" s="7"/>
      <c r="X76" s="14">
        <f t="shared" si="21"/>
        <v>67</v>
      </c>
      <c r="Y76" s="7">
        <v>5.8894000000000002E-2</v>
      </c>
      <c r="Z76" s="7">
        <v>4.9421E-2</v>
      </c>
      <c r="AA76" s="7">
        <v>3.9215E-2</v>
      </c>
      <c r="AB76" s="7">
        <v>4.9244999999999997E-2</v>
      </c>
      <c r="AC76" s="7">
        <v>3.8425000000000001E-2</v>
      </c>
      <c r="AD76" s="7">
        <v>5.5907999999999999E-2</v>
      </c>
      <c r="AE76" s="7">
        <v>4.0747999999999999E-2</v>
      </c>
      <c r="AF76" s="7">
        <v>5.2755000000000003E-2</v>
      </c>
      <c r="AG76" s="7">
        <v>4.0747999999999999E-2</v>
      </c>
      <c r="AH76" s="7">
        <v>4.6559999999999997E-2</v>
      </c>
      <c r="AI76" s="7">
        <v>3.8039999999999997E-2</v>
      </c>
      <c r="AJ76" s="7">
        <v>3.0439999999999998E-2</v>
      </c>
      <c r="AK76" s="7">
        <v>2.632E-2</v>
      </c>
      <c r="AL76" s="7">
        <v>1.9803999999999999E-2</v>
      </c>
      <c r="AM76" s="7">
        <v>4.292E-2</v>
      </c>
      <c r="AN76" s="7">
        <v>2.9149999999999999E-2</v>
      </c>
      <c r="AO76" s="7">
        <v>3.3390000000000003E-2</v>
      </c>
      <c r="AP76" s="24">
        <v>2.9149999999999999E-2</v>
      </c>
      <c r="AQ76" s="24">
        <f t="shared" si="20"/>
        <v>2.4174999999999999E-2</v>
      </c>
      <c r="AR76" s="24">
        <v>1.9199999999999998E-2</v>
      </c>
      <c r="AS76" s="24">
        <v>1.9803999999999999E-2</v>
      </c>
      <c r="AT76" s="24">
        <v>8.6809999999999995E-3</v>
      </c>
      <c r="AU76" s="24">
        <v>2.486E-2</v>
      </c>
      <c r="AV76" s="24">
        <v>1.6119999999999999E-2</v>
      </c>
      <c r="AX76" s="1">
        <f t="shared" si="22"/>
        <v>67</v>
      </c>
    </row>
    <row r="77" spans="3:50" x14ac:dyDescent="0.25">
      <c r="C77" s="7"/>
      <c r="D77" s="7"/>
      <c r="E77" s="7"/>
      <c r="F77" s="7"/>
      <c r="G77" s="7"/>
      <c r="X77" s="14">
        <f t="shared" si="21"/>
        <v>68</v>
      </c>
      <c r="Y77" s="7">
        <v>6.5221000000000001E-2</v>
      </c>
      <c r="Z77" s="7">
        <v>5.4944E-2</v>
      </c>
      <c r="AA77" s="7">
        <v>4.4068000000000003E-2</v>
      </c>
      <c r="AB77" s="7">
        <v>5.5571000000000002E-2</v>
      </c>
      <c r="AC77" s="7">
        <v>4.4879000000000002E-2</v>
      </c>
      <c r="AD77" s="7">
        <v>6.2019999999999999E-2</v>
      </c>
      <c r="AE77" s="7">
        <v>5.0096000000000002E-2</v>
      </c>
      <c r="AF77" s="7">
        <v>5.9197E-2</v>
      </c>
      <c r="AG77" s="7">
        <v>5.0096000000000002E-2</v>
      </c>
      <c r="AH77" s="7">
        <v>5.0459999999999998E-2</v>
      </c>
      <c r="AI77" s="7">
        <v>4.1680000000000002E-2</v>
      </c>
      <c r="AJ77" s="7">
        <v>3.3189999999999997E-2</v>
      </c>
      <c r="AK77" s="7">
        <v>2.9190000000000001E-2</v>
      </c>
      <c r="AL77" s="7">
        <v>2.2228999999999999E-2</v>
      </c>
      <c r="AM77" s="7">
        <v>4.6609999999999999E-2</v>
      </c>
      <c r="AN77" s="7">
        <v>3.2030000000000003E-2</v>
      </c>
      <c r="AO77" s="7">
        <v>3.5880000000000002E-2</v>
      </c>
      <c r="AP77" s="24">
        <v>3.2030000000000003E-2</v>
      </c>
      <c r="AQ77" s="24">
        <f t="shared" si="20"/>
        <v>2.6585000000000001E-2</v>
      </c>
      <c r="AR77" s="24">
        <v>2.1139999999999999E-2</v>
      </c>
      <c r="AS77" s="24">
        <v>2.2228999999999999E-2</v>
      </c>
      <c r="AT77" s="24">
        <v>9.7020000000000006E-3</v>
      </c>
      <c r="AU77" s="24">
        <v>2.7019999999999999E-2</v>
      </c>
      <c r="AV77" s="24">
        <v>1.771E-2</v>
      </c>
      <c r="AX77" s="1">
        <f t="shared" si="22"/>
        <v>68</v>
      </c>
    </row>
    <row r="78" spans="3:50" x14ac:dyDescent="0.25">
      <c r="C78" s="7"/>
      <c r="D78" s="7"/>
      <c r="E78" s="7"/>
      <c r="F78" s="7"/>
      <c r="G78" s="7"/>
      <c r="X78" s="14">
        <f t="shared" si="21"/>
        <v>69</v>
      </c>
      <c r="Y78" s="7">
        <v>7.2235999999999995E-2</v>
      </c>
      <c r="Z78" s="7">
        <v>6.0684000000000002E-2</v>
      </c>
      <c r="AA78" s="7">
        <v>4.9850999999999999E-2</v>
      </c>
      <c r="AB78" s="7">
        <v>6.3854999999999995E-2</v>
      </c>
      <c r="AC78" s="7">
        <v>5.2863E-2</v>
      </c>
      <c r="AD78" s="7">
        <v>6.8687999999999999E-2</v>
      </c>
      <c r="AE78" s="7">
        <v>5.2143000000000002E-2</v>
      </c>
      <c r="AF78" s="7">
        <v>6.6390000000000005E-2</v>
      </c>
      <c r="AG78" s="7">
        <v>5.2143000000000002E-2</v>
      </c>
      <c r="AH78" s="7">
        <v>5.4699999999999999E-2</v>
      </c>
      <c r="AI78" s="7">
        <v>4.5609999999999998E-2</v>
      </c>
      <c r="AJ78" s="7">
        <v>3.6170000000000001E-2</v>
      </c>
      <c r="AK78" s="7">
        <v>3.2439999999999997E-2</v>
      </c>
      <c r="AL78" s="7">
        <v>2.4816999999999999E-2</v>
      </c>
      <c r="AM78" s="7">
        <v>5.0569999999999997E-2</v>
      </c>
      <c r="AN78" s="7">
        <v>3.5180000000000003E-2</v>
      </c>
      <c r="AO78" s="7">
        <v>3.875E-2</v>
      </c>
      <c r="AP78" s="24">
        <v>3.5180000000000003E-2</v>
      </c>
      <c r="AQ78" s="24">
        <f t="shared" si="20"/>
        <v>2.9229999999999999E-2</v>
      </c>
      <c r="AR78" s="24">
        <v>2.3279999999999999E-2</v>
      </c>
      <c r="AS78" s="24">
        <v>2.4816999999999999E-2</v>
      </c>
      <c r="AT78" s="24">
        <v>1.0921999999999999E-2</v>
      </c>
      <c r="AU78" s="24">
        <v>2.921E-2</v>
      </c>
      <c r="AV78" s="24">
        <v>1.9470000000000001E-2</v>
      </c>
      <c r="AX78" s="1">
        <f t="shared" si="22"/>
        <v>69</v>
      </c>
    </row>
    <row r="79" spans="3:50" x14ac:dyDescent="0.25">
      <c r="C79" s="7"/>
      <c r="D79" s="7"/>
      <c r="E79" s="7"/>
      <c r="F79" s="7"/>
      <c r="G79" s="7"/>
      <c r="X79" s="14">
        <f t="shared" si="21"/>
        <v>70</v>
      </c>
      <c r="Y79" s="7">
        <v>7.9953999999999997E-2</v>
      </c>
      <c r="Z79" s="7">
        <v>6.6691E-2</v>
      </c>
      <c r="AA79" s="7">
        <v>5.6557999999999997E-2</v>
      </c>
      <c r="AB79" s="7">
        <v>7.4268000000000001E-2</v>
      </c>
      <c r="AC79" s="7">
        <v>6.2195E-2</v>
      </c>
      <c r="AD79" s="7">
        <v>7.6016E-2</v>
      </c>
      <c r="AE79" s="7">
        <v>5.8975E-2</v>
      </c>
      <c r="AF79" s="7">
        <v>7.4411000000000005E-2</v>
      </c>
      <c r="AG79" s="7">
        <v>5.8975E-2</v>
      </c>
      <c r="AH79" s="7">
        <v>5.9299999999999999E-2</v>
      </c>
      <c r="AI79" s="7">
        <v>4.9790000000000001E-2</v>
      </c>
      <c r="AJ79" s="7">
        <v>3.9510000000000003E-2</v>
      </c>
      <c r="AK79" s="7">
        <v>3.6110000000000003E-2</v>
      </c>
      <c r="AL79" s="7">
        <v>2.7529999999999999E-2</v>
      </c>
      <c r="AM79" s="7">
        <v>5.4829999999999997E-2</v>
      </c>
      <c r="AN79" s="7">
        <v>3.8629999999999998E-2</v>
      </c>
      <c r="AO79" s="7">
        <v>4.1759999999999999E-2</v>
      </c>
      <c r="AP79" s="24">
        <v>3.8629999999999998E-2</v>
      </c>
      <c r="AQ79" s="24">
        <f t="shared" si="20"/>
        <v>3.2134999999999997E-2</v>
      </c>
      <c r="AR79" s="24">
        <v>2.564E-2</v>
      </c>
      <c r="AS79" s="24">
        <v>2.7529999999999999E-2</v>
      </c>
      <c r="AT79" s="24">
        <v>1.2385E-2</v>
      </c>
      <c r="AU79" s="24">
        <v>3.1820000000000001E-2</v>
      </c>
      <c r="AV79" s="24">
        <v>2.121E-2</v>
      </c>
      <c r="AX79" s="1">
        <f t="shared" si="22"/>
        <v>70</v>
      </c>
    </row>
    <row r="80" spans="3:50" x14ac:dyDescent="0.25">
      <c r="C80" s="7"/>
      <c r="D80" s="7"/>
      <c r="E80" s="7"/>
      <c r="F80" s="7"/>
      <c r="G80" s="7"/>
      <c r="X80" s="14">
        <f t="shared" si="21"/>
        <v>71</v>
      </c>
      <c r="Y80" s="7">
        <v>8.8439000000000004E-2</v>
      </c>
      <c r="Z80" s="7">
        <v>7.3216000000000003E-2</v>
      </c>
      <c r="AA80" s="7">
        <v>6.4014000000000001E-2</v>
      </c>
      <c r="AB80" s="7">
        <v>8.6064000000000002E-2</v>
      </c>
      <c r="AC80" s="7">
        <v>7.2844000000000006E-2</v>
      </c>
      <c r="AD80" s="7">
        <v>8.4079000000000001E-2</v>
      </c>
      <c r="AE80" s="7">
        <v>7.2167999999999996E-2</v>
      </c>
      <c r="AF80" s="7">
        <v>8.3386000000000002E-2</v>
      </c>
      <c r="AG80" s="7">
        <v>7.2167999999999996E-2</v>
      </c>
      <c r="AH80" s="7">
        <v>6.4269999999999994E-2</v>
      </c>
      <c r="AI80" s="7">
        <v>5.4149999999999997E-2</v>
      </c>
      <c r="AJ80" s="7">
        <v>4.3299999999999998E-2</v>
      </c>
      <c r="AK80" s="7">
        <v>4.0009999999999997E-2</v>
      </c>
      <c r="AL80" s="7">
        <v>3.0353999999999999E-2</v>
      </c>
      <c r="AM80" s="7">
        <v>5.9409999999999998E-2</v>
      </c>
      <c r="AN80" s="7">
        <v>4.2419999999999999E-2</v>
      </c>
      <c r="AO80" s="7">
        <v>4.4979999999999999E-2</v>
      </c>
      <c r="AP80" s="24">
        <v>4.2419999999999999E-2</v>
      </c>
      <c r="AQ80" s="24">
        <f t="shared" si="20"/>
        <v>3.5325000000000002E-2</v>
      </c>
      <c r="AR80" s="24">
        <v>2.8230000000000002E-2</v>
      </c>
      <c r="AS80" s="24">
        <v>3.0353999999999999E-2</v>
      </c>
      <c r="AT80" s="24">
        <v>1.4128E-2</v>
      </c>
      <c r="AU80" s="24">
        <v>3.4729999999999997E-2</v>
      </c>
      <c r="AV80" s="24">
        <v>2.3189999999999999E-2</v>
      </c>
      <c r="AX80" s="1">
        <f t="shared" si="22"/>
        <v>71</v>
      </c>
    </row>
    <row r="81" spans="3:50" x14ac:dyDescent="0.25">
      <c r="C81" s="7"/>
      <c r="D81" s="7"/>
      <c r="E81" s="7"/>
      <c r="F81" s="7"/>
      <c r="G81" s="7"/>
      <c r="X81" s="14">
        <f t="shared" si="21"/>
        <v>72</v>
      </c>
      <c r="Y81" s="7">
        <v>9.7894999999999996E-2</v>
      </c>
      <c r="Z81" s="7">
        <v>8.0713999999999994E-2</v>
      </c>
      <c r="AA81" s="7">
        <v>7.2081000000000006E-2</v>
      </c>
      <c r="AB81" s="7">
        <v>9.8843E-2</v>
      </c>
      <c r="AC81" s="7">
        <v>8.4710999999999995E-2</v>
      </c>
      <c r="AD81" s="7">
        <v>9.2860999999999999E-2</v>
      </c>
      <c r="AE81" s="7">
        <v>7.5255000000000002E-2</v>
      </c>
      <c r="AF81" s="7">
        <v>9.3325000000000005E-2</v>
      </c>
      <c r="AG81" s="7">
        <v>7.5255000000000002E-2</v>
      </c>
      <c r="AH81" s="7">
        <v>6.966E-2</v>
      </c>
      <c r="AI81" s="7">
        <v>5.8650000000000001E-2</v>
      </c>
      <c r="AJ81" s="7">
        <v>4.7649999999999998E-2</v>
      </c>
      <c r="AK81" s="7">
        <v>4.3830000000000001E-2</v>
      </c>
      <c r="AL81" s="7">
        <v>3.3369999999999997E-2</v>
      </c>
      <c r="AM81" s="7">
        <v>6.4339999999999994E-2</v>
      </c>
      <c r="AN81" s="7">
        <v>4.657E-2</v>
      </c>
      <c r="AO81" s="7">
        <v>4.8439999999999997E-2</v>
      </c>
      <c r="AP81" s="24">
        <v>4.657E-2</v>
      </c>
      <c r="AQ81" s="24">
        <f t="shared" si="20"/>
        <v>3.8830000000000003E-2</v>
      </c>
      <c r="AR81" s="24">
        <v>3.109E-2</v>
      </c>
      <c r="AS81" s="24">
        <v>3.3369999999999997E-2</v>
      </c>
      <c r="AT81" s="24">
        <v>1.6160000000000001E-2</v>
      </c>
      <c r="AU81" s="24">
        <v>3.8609999999999998E-2</v>
      </c>
      <c r="AV81" s="24">
        <v>2.5389999999999999E-2</v>
      </c>
      <c r="AX81" s="1">
        <f t="shared" si="22"/>
        <v>72</v>
      </c>
    </row>
    <row r="82" spans="3:50" x14ac:dyDescent="0.25">
      <c r="C82" s="7"/>
      <c r="X82" s="14">
        <f t="shared" si="21"/>
        <v>73</v>
      </c>
      <c r="Y82" s="7">
        <v>0.10829</v>
      </c>
      <c r="Z82" s="7">
        <v>8.9380000000000001E-2</v>
      </c>
      <c r="AA82" s="7">
        <v>8.0509999999999998E-2</v>
      </c>
      <c r="AB82" s="7">
        <v>0.1123</v>
      </c>
      <c r="AC82" s="7">
        <v>9.7525000000000001E-2</v>
      </c>
      <c r="AD82" s="7">
        <v>0.10242</v>
      </c>
      <c r="AE82" s="7">
        <v>8.4989999999999996E-2</v>
      </c>
      <c r="AF82" s="7">
        <v>0.104475</v>
      </c>
      <c r="AG82" s="7">
        <v>8.4989999999999996E-2</v>
      </c>
      <c r="AH82" s="7">
        <v>7.5499999999999998E-2</v>
      </c>
      <c r="AI82" s="7">
        <v>6.3259999999999997E-2</v>
      </c>
      <c r="AJ82" s="7">
        <v>5.2639999999999999E-2</v>
      </c>
      <c r="AK82" s="7">
        <v>4.7489999999999997E-2</v>
      </c>
      <c r="AL82" s="7">
        <v>3.6679999999999997E-2</v>
      </c>
      <c r="AM82" s="7">
        <v>6.9620000000000001E-2</v>
      </c>
      <c r="AN82" s="7">
        <v>5.1119999999999999E-2</v>
      </c>
      <c r="AO82" s="7">
        <v>5.2166999999999998E-2</v>
      </c>
      <c r="AP82" s="24">
        <v>5.1119999999999999E-2</v>
      </c>
      <c r="AQ82" s="24">
        <f t="shared" si="20"/>
        <v>4.2674999999999998E-2</v>
      </c>
      <c r="AR82" s="24">
        <v>3.4229999999999997E-2</v>
      </c>
      <c r="AS82" s="24">
        <v>3.6679999999999997E-2</v>
      </c>
      <c r="AT82" s="24">
        <v>1.8481000000000001E-2</v>
      </c>
      <c r="AU82" s="24">
        <v>4.2639999999999997E-2</v>
      </c>
      <c r="AV82" s="24">
        <v>2.7779999999999999E-2</v>
      </c>
      <c r="AX82" s="1">
        <f t="shared" si="22"/>
        <v>73</v>
      </c>
    </row>
    <row r="83" spans="3:50" x14ac:dyDescent="0.25">
      <c r="C83" s="7"/>
      <c r="X83" s="14">
        <f t="shared" si="21"/>
        <v>74</v>
      </c>
      <c r="Y83" s="7">
        <v>0.11967899999999999</v>
      </c>
      <c r="Z83" s="7">
        <v>9.9277000000000004E-2</v>
      </c>
      <c r="AA83" s="7">
        <v>8.9368000000000003E-2</v>
      </c>
      <c r="AB83" s="7">
        <v>0.12640199999999999</v>
      </c>
      <c r="AC83" s="7">
        <v>0.111217</v>
      </c>
      <c r="AD83" s="7">
        <v>0.11297599999999999</v>
      </c>
      <c r="AE83" s="7">
        <v>0.10342999999999999</v>
      </c>
      <c r="AF83" s="7">
        <v>0.11676499999999999</v>
      </c>
      <c r="AG83" s="7">
        <v>0.10342999999999999</v>
      </c>
      <c r="AH83" s="7">
        <v>8.1809999999999994E-2</v>
      </c>
      <c r="AI83" s="7">
        <v>6.812E-2</v>
      </c>
      <c r="AJ83" s="7">
        <v>5.8189999999999999E-2</v>
      </c>
      <c r="AK83" s="7">
        <v>5.1220000000000002E-2</v>
      </c>
      <c r="AL83" s="7">
        <v>4.0388E-2</v>
      </c>
      <c r="AM83" s="7">
        <v>7.5300000000000006E-2</v>
      </c>
      <c r="AN83" s="7">
        <v>5.6090000000000001E-2</v>
      </c>
      <c r="AO83" s="7">
        <v>5.6167000000000002E-2</v>
      </c>
      <c r="AP83" s="24">
        <v>5.6090000000000001E-2</v>
      </c>
      <c r="AQ83" s="24">
        <f t="shared" si="20"/>
        <v>4.6884999999999996E-2</v>
      </c>
      <c r="AR83" s="24">
        <v>3.7679999999999998E-2</v>
      </c>
      <c r="AS83" s="24">
        <v>4.0388E-2</v>
      </c>
      <c r="AT83" s="24">
        <v>2.1092E-2</v>
      </c>
      <c r="AU83" s="24">
        <v>4.6870000000000002E-2</v>
      </c>
      <c r="AV83" s="24">
        <v>3.0419999999999999E-2</v>
      </c>
      <c r="AX83" s="1">
        <f t="shared" si="22"/>
        <v>74</v>
      </c>
    </row>
    <row r="84" spans="3:50" x14ac:dyDescent="0.25">
      <c r="C84" s="7"/>
      <c r="X84" s="14">
        <f t="shared" si="21"/>
        <v>75</v>
      </c>
      <c r="Y84" s="7">
        <v>0.13216600000000001</v>
      </c>
      <c r="Z84" s="7">
        <v>0.11025600000000001</v>
      </c>
      <c r="AA84" s="7">
        <v>9.9094000000000002E-2</v>
      </c>
      <c r="AB84" s="7">
        <v>0.14096900000000001</v>
      </c>
      <c r="AC84" s="7">
        <v>0.12588199999999999</v>
      </c>
      <c r="AD84" s="7">
        <v>0.124446</v>
      </c>
      <c r="AE84" s="7">
        <v>0.108025</v>
      </c>
      <c r="AF84" s="7">
        <v>0.130498</v>
      </c>
      <c r="AG84" s="7">
        <v>0.108025</v>
      </c>
      <c r="AH84" s="7">
        <v>8.8639999999999997E-2</v>
      </c>
      <c r="AI84" s="7">
        <v>7.3370000000000005E-2</v>
      </c>
      <c r="AJ84" s="7">
        <v>6.4189999999999997E-2</v>
      </c>
      <c r="AK84" s="7">
        <v>5.5289999999999999E-2</v>
      </c>
      <c r="AL84" s="7">
        <v>4.4596999999999998E-2</v>
      </c>
      <c r="AM84" s="7">
        <v>8.1390000000000004E-2</v>
      </c>
      <c r="AN84" s="7">
        <v>6.1539999999999997E-2</v>
      </c>
      <c r="AO84" s="7">
        <v>6.046E-2</v>
      </c>
      <c r="AP84" s="24">
        <v>6.1539999999999997E-2</v>
      </c>
      <c r="AQ84" s="24">
        <f t="shared" si="20"/>
        <v>5.1514999999999998E-2</v>
      </c>
      <c r="AR84" s="24">
        <v>4.1489999999999999E-2</v>
      </c>
      <c r="AS84" s="24">
        <v>4.4596999999999998E-2</v>
      </c>
      <c r="AT84" s="24">
        <v>2.3991999999999999E-2</v>
      </c>
      <c r="AU84" s="24">
        <v>5.1549999999999999E-2</v>
      </c>
      <c r="AV84" s="24">
        <v>3.3300000000000003E-2</v>
      </c>
      <c r="AX84" s="1">
        <f t="shared" si="22"/>
        <v>75</v>
      </c>
    </row>
    <row r="85" spans="3:50" x14ac:dyDescent="0.25">
      <c r="C85" s="7"/>
      <c r="X85" s="14">
        <f t="shared" si="21"/>
        <v>76</v>
      </c>
      <c r="Y85" s="7">
        <v>0.14599999999999999</v>
      </c>
      <c r="Z85" s="7">
        <v>0.122238</v>
      </c>
      <c r="AA85" s="7">
        <v>0.11035399999999999</v>
      </c>
      <c r="AB85" s="7">
        <v>0.15618899999999999</v>
      </c>
      <c r="AC85" s="7">
        <v>0.14167199999999999</v>
      </c>
      <c r="AD85" s="7">
        <v>0.13688600000000001</v>
      </c>
      <c r="AE85" s="7">
        <v>0.121714</v>
      </c>
      <c r="AF85" s="7">
        <v>0.14562900000000001</v>
      </c>
      <c r="AG85" s="7">
        <v>0.121714</v>
      </c>
      <c r="AH85" s="7">
        <v>9.6019999999999994E-2</v>
      </c>
      <c r="AI85" s="7">
        <v>7.918E-2</v>
      </c>
      <c r="AJ85" s="7">
        <v>7.0529999999999995E-2</v>
      </c>
      <c r="AK85" s="7">
        <v>6.0069999999999998E-2</v>
      </c>
      <c r="AL85" s="7">
        <v>4.9388000000000001E-2</v>
      </c>
      <c r="AM85" s="7">
        <v>8.7919999999999998E-2</v>
      </c>
      <c r="AN85" s="7">
        <v>6.7489999999999994E-2</v>
      </c>
      <c r="AO85" s="7">
        <v>6.5079999999999999E-2</v>
      </c>
      <c r="AP85" s="24">
        <v>6.7489999999999994E-2</v>
      </c>
      <c r="AQ85" s="24">
        <f t="shared" si="20"/>
        <v>5.6575E-2</v>
      </c>
      <c r="AR85" s="24">
        <v>4.5659999999999999E-2</v>
      </c>
      <c r="AS85" s="24">
        <v>4.9388000000000001E-2</v>
      </c>
      <c r="AT85" s="24">
        <v>2.7185000000000001E-2</v>
      </c>
      <c r="AU85" s="24">
        <v>5.6640000000000003E-2</v>
      </c>
      <c r="AV85" s="24">
        <v>3.6459999999999999E-2</v>
      </c>
      <c r="AX85" s="1">
        <f t="shared" si="22"/>
        <v>76</v>
      </c>
    </row>
    <row r="86" spans="3:50" x14ac:dyDescent="0.25">
      <c r="C86" s="7"/>
      <c r="X86" s="14">
        <f t="shared" si="21"/>
        <v>77</v>
      </c>
      <c r="Y86" s="7">
        <v>0.16109499999999999</v>
      </c>
      <c r="Z86" s="7">
        <v>0.134876</v>
      </c>
      <c r="AA86" s="7">
        <v>0.123403</v>
      </c>
      <c r="AB86" s="7">
        <v>0.17250099999999999</v>
      </c>
      <c r="AC86" s="7">
        <v>0.15889900000000001</v>
      </c>
      <c r="AD86" s="7">
        <v>0.150481</v>
      </c>
      <c r="AE86" s="7">
        <v>0.14710500000000001</v>
      </c>
      <c r="AF86" s="7">
        <v>0.162379</v>
      </c>
      <c r="AG86" s="7">
        <v>0.14710500000000001</v>
      </c>
      <c r="AH86" s="7">
        <v>0.10399</v>
      </c>
      <c r="AI86" s="7">
        <v>8.5699999999999998E-2</v>
      </c>
      <c r="AJ86" s="7">
        <v>7.7119999999999994E-2</v>
      </c>
      <c r="AK86" s="7">
        <v>6.5920000000000006E-2</v>
      </c>
      <c r="AL86" s="7">
        <v>5.4758000000000001E-2</v>
      </c>
      <c r="AM86" s="7">
        <v>9.4920000000000004E-2</v>
      </c>
      <c r="AN86" s="7">
        <v>7.3999999999999996E-2</v>
      </c>
      <c r="AO86" s="7">
        <v>7.0029999999999995E-2</v>
      </c>
      <c r="AP86" s="24">
        <v>7.3999999999999996E-2</v>
      </c>
      <c r="AQ86" s="24">
        <f t="shared" si="20"/>
        <v>6.2125E-2</v>
      </c>
      <c r="AR86" s="24">
        <v>5.0250000000000003E-2</v>
      </c>
      <c r="AS86" s="24">
        <v>5.4758000000000001E-2</v>
      </c>
      <c r="AT86" s="24">
        <v>3.0672000000000001E-2</v>
      </c>
      <c r="AU86" s="24">
        <v>6.2539999999999998E-2</v>
      </c>
      <c r="AV86" s="24">
        <v>3.9910000000000001E-2</v>
      </c>
      <c r="AX86" s="1">
        <f t="shared" si="22"/>
        <v>77</v>
      </c>
    </row>
    <row r="87" spans="3:50" x14ac:dyDescent="0.25">
      <c r="C87" s="7"/>
      <c r="X87" s="14">
        <f t="shared" si="21"/>
        <v>78</v>
      </c>
      <c r="Y87" s="7">
        <v>0.17753099999999999</v>
      </c>
      <c r="Z87" s="7">
        <v>0.14813399999999999</v>
      </c>
      <c r="AA87" s="7">
        <v>0.13813400000000001</v>
      </c>
      <c r="AB87" s="7">
        <v>0.18984100000000001</v>
      </c>
      <c r="AC87" s="7">
        <v>0.17751400000000001</v>
      </c>
      <c r="AD87" s="7">
        <v>0.16527500000000001</v>
      </c>
      <c r="AE87" s="7">
        <v>0.15382599999999999</v>
      </c>
      <c r="AF87" s="7">
        <v>0.180837</v>
      </c>
      <c r="AG87" s="7">
        <v>0.15382599999999999</v>
      </c>
      <c r="AH87" s="7">
        <v>0.11259</v>
      </c>
      <c r="AI87" s="7">
        <v>9.3060000000000004E-2</v>
      </c>
      <c r="AJ87" s="7">
        <v>8.3900000000000002E-2</v>
      </c>
      <c r="AK87" s="7">
        <v>7.2599999999999998E-2</v>
      </c>
      <c r="AL87" s="7">
        <v>6.0678000000000003E-2</v>
      </c>
      <c r="AM87" s="7">
        <v>0.10242</v>
      </c>
      <c r="AN87" s="7">
        <v>8.1110000000000002E-2</v>
      </c>
      <c r="AO87" s="7">
        <v>7.535E-2</v>
      </c>
      <c r="AP87" s="24">
        <v>8.1110000000000002E-2</v>
      </c>
      <c r="AQ87" s="24">
        <f t="shared" si="20"/>
        <v>6.8205000000000002E-2</v>
      </c>
      <c r="AR87" s="24">
        <v>5.5300000000000002E-2</v>
      </c>
      <c r="AS87" s="24">
        <v>6.0678000000000003E-2</v>
      </c>
      <c r="AT87" s="24">
        <v>3.4458999999999997E-2</v>
      </c>
      <c r="AU87" s="24">
        <v>6.9419999999999996E-2</v>
      </c>
      <c r="AV87" s="24">
        <v>4.3720000000000002E-2</v>
      </c>
      <c r="AX87" s="1">
        <f t="shared" si="22"/>
        <v>78</v>
      </c>
    </row>
    <row r="88" spans="3:50" x14ac:dyDescent="0.25">
      <c r="C88" s="7"/>
      <c r="X88" s="14">
        <f t="shared" si="21"/>
        <v>79</v>
      </c>
      <c r="Y88" s="7">
        <v>0.19547500000000001</v>
      </c>
      <c r="Z88" s="7">
        <v>0.16217100000000001</v>
      </c>
      <c r="AA88" s="7">
        <v>0.154109</v>
      </c>
      <c r="AB88" s="7">
        <v>0.20766799999999999</v>
      </c>
      <c r="AC88" s="7">
        <v>0.197103</v>
      </c>
      <c r="AD88" s="7">
        <v>0.181251</v>
      </c>
      <c r="AE88" s="7">
        <v>0.17274</v>
      </c>
      <c r="AF88" s="7">
        <v>0.201097</v>
      </c>
      <c r="AG88" s="7">
        <v>0.17274</v>
      </c>
      <c r="AH88" s="7">
        <v>0.12186</v>
      </c>
      <c r="AI88" s="7">
        <v>0.10119</v>
      </c>
      <c r="AJ88" s="7">
        <v>9.1050000000000006E-2</v>
      </c>
      <c r="AK88" s="7">
        <v>7.9689999999999997E-2</v>
      </c>
      <c r="AL88" s="7">
        <v>6.7125000000000004E-2</v>
      </c>
      <c r="AM88" s="7">
        <v>0.11045000000000001</v>
      </c>
      <c r="AN88" s="7">
        <v>8.8870000000000005E-2</v>
      </c>
      <c r="AO88" s="7">
        <v>8.1049999999999997E-2</v>
      </c>
      <c r="AP88" s="24">
        <v>8.8870000000000005E-2</v>
      </c>
      <c r="AQ88" s="24">
        <f t="shared" si="20"/>
        <v>7.485E-2</v>
      </c>
      <c r="AR88" s="24">
        <v>6.0830000000000002E-2</v>
      </c>
      <c r="AS88" s="24">
        <v>6.7125000000000004E-2</v>
      </c>
      <c r="AT88" s="24">
        <v>3.8549E-2</v>
      </c>
      <c r="AU88" s="24">
        <v>7.7340000000000006E-2</v>
      </c>
      <c r="AV88" s="24">
        <v>4.7890000000000002E-2</v>
      </c>
      <c r="AX88" s="1">
        <f t="shared" si="22"/>
        <v>79</v>
      </c>
    </row>
    <row r="89" spans="3:50" x14ac:dyDescent="0.25">
      <c r="C89" s="7"/>
      <c r="X89" s="14">
        <f t="shared" si="21"/>
        <v>80</v>
      </c>
      <c r="Y89" s="7">
        <v>0.21510899999999999</v>
      </c>
      <c r="Z89" s="7">
        <v>0.17716499999999999</v>
      </c>
      <c r="AA89" s="7">
        <v>0.17084099999999999</v>
      </c>
      <c r="AB89" s="7">
        <v>0.22825100000000001</v>
      </c>
      <c r="AC89" s="7">
        <v>0.219808</v>
      </c>
      <c r="AD89" s="7">
        <v>0.198519</v>
      </c>
      <c r="AE89" s="7">
        <v>0.206951</v>
      </c>
      <c r="AF89" s="7">
        <v>0.223388</v>
      </c>
      <c r="AG89" s="7">
        <v>0.206951</v>
      </c>
      <c r="AH89" s="7">
        <v>0.13184999999999999</v>
      </c>
      <c r="AI89" s="7">
        <v>0.10997999999999999</v>
      </c>
      <c r="AJ89" s="7">
        <v>9.8839999999999997E-2</v>
      </c>
      <c r="AK89" s="7">
        <v>8.7429999999999994E-2</v>
      </c>
      <c r="AL89" s="7">
        <v>7.4069999999999997E-2</v>
      </c>
      <c r="AM89" s="7">
        <v>0.11904000000000001</v>
      </c>
      <c r="AN89" s="7">
        <v>9.733E-2</v>
      </c>
      <c r="AO89" s="7">
        <v>8.7160000000000001E-2</v>
      </c>
      <c r="AP89" s="24">
        <v>9.733E-2</v>
      </c>
      <c r="AQ89" s="24">
        <f t="shared" si="20"/>
        <v>8.2114999999999994E-2</v>
      </c>
      <c r="AR89" s="24">
        <v>6.6900000000000001E-2</v>
      </c>
      <c r="AS89" s="24">
        <v>7.4069999999999997E-2</v>
      </c>
      <c r="AT89" s="24">
        <v>4.2944999999999997E-2</v>
      </c>
      <c r="AU89" s="24">
        <v>8.5970000000000005E-2</v>
      </c>
      <c r="AV89" s="24">
        <v>5.2470000000000003E-2</v>
      </c>
      <c r="AX89" s="1">
        <f t="shared" si="22"/>
        <v>80</v>
      </c>
    </row>
    <row r="90" spans="3:50" x14ac:dyDescent="0.25">
      <c r="C90" s="7"/>
      <c r="X90" s="14">
        <f t="shared" si="21"/>
        <v>81</v>
      </c>
      <c r="Y90" s="7">
        <v>0.23635900000000001</v>
      </c>
      <c r="Z90" s="7">
        <v>0.19323399999999999</v>
      </c>
      <c r="AA90" s="7">
        <v>0.188024</v>
      </c>
      <c r="AB90" s="7">
        <v>0.251776</v>
      </c>
      <c r="AC90" s="7">
        <v>0.24421499999999999</v>
      </c>
      <c r="AD90" s="7">
        <v>0.21729000000000001</v>
      </c>
      <c r="AE90" s="7">
        <v>0.21655099999999999</v>
      </c>
      <c r="AF90" s="7">
        <v>0.24759400000000001</v>
      </c>
      <c r="AG90" s="7">
        <v>0.21655099999999999</v>
      </c>
      <c r="AH90" s="7">
        <v>0.1426</v>
      </c>
      <c r="AI90" s="7">
        <v>0.11935</v>
      </c>
      <c r="AJ90" s="7">
        <v>0.10748000000000001</v>
      </c>
      <c r="AK90" s="7">
        <v>9.5449999999999993E-2</v>
      </c>
      <c r="AL90" s="7">
        <v>8.1484000000000001E-2</v>
      </c>
      <c r="AM90" s="7">
        <v>0.12823000000000001</v>
      </c>
      <c r="AN90" s="7">
        <v>0.10655000000000001</v>
      </c>
      <c r="AO90" s="7">
        <v>9.3710000000000002E-2</v>
      </c>
      <c r="AP90" s="24">
        <v>0.10655000000000001</v>
      </c>
      <c r="AQ90" s="24">
        <f t="shared" si="20"/>
        <v>9.0054999999999996E-2</v>
      </c>
      <c r="AR90" s="24">
        <v>7.356E-2</v>
      </c>
      <c r="AS90" s="24">
        <v>8.1484000000000001E-2</v>
      </c>
      <c r="AT90" s="24">
        <v>4.7655000000000003E-2</v>
      </c>
      <c r="AU90" s="24">
        <v>9.5769999999999994E-2</v>
      </c>
      <c r="AV90" s="24">
        <v>5.8770000000000003E-2</v>
      </c>
      <c r="AX90" s="1">
        <f t="shared" si="22"/>
        <v>81</v>
      </c>
    </row>
    <row r="91" spans="3:50" x14ac:dyDescent="0.25">
      <c r="C91" s="7"/>
      <c r="X91" s="14">
        <f t="shared" si="21"/>
        <v>82</v>
      </c>
      <c r="Y91" s="7">
        <v>0.25927099999999997</v>
      </c>
      <c r="Z91" s="7">
        <v>0.210788</v>
      </c>
      <c r="AA91" s="7">
        <v>0.20564099999999999</v>
      </c>
      <c r="AB91" s="7">
        <v>0.27767999999999998</v>
      </c>
      <c r="AC91" s="7">
        <v>0.26890999999999998</v>
      </c>
      <c r="AD91" s="7">
        <v>0.23744599999999999</v>
      </c>
      <c r="AE91" s="7">
        <v>0.24201900000000001</v>
      </c>
      <c r="AF91" s="7">
        <v>0.27471099999999998</v>
      </c>
      <c r="AG91" s="7">
        <v>0.24201900000000001</v>
      </c>
      <c r="AH91" s="7">
        <v>0.15415999999999999</v>
      </c>
      <c r="AI91" s="7">
        <v>0.12917000000000001</v>
      </c>
      <c r="AJ91" s="7">
        <v>0.11724999999999999</v>
      </c>
      <c r="AK91" s="7">
        <v>0.10369</v>
      </c>
      <c r="AL91" s="7">
        <v>8.9319999999999997E-2</v>
      </c>
      <c r="AM91" s="7">
        <v>0.13804</v>
      </c>
      <c r="AN91" s="7">
        <v>0.11658</v>
      </c>
      <c r="AO91" s="7">
        <v>0.10072</v>
      </c>
      <c r="AP91" s="24">
        <v>0.11658</v>
      </c>
      <c r="AQ91" s="24">
        <f t="shared" si="20"/>
        <v>9.8714999999999997E-2</v>
      </c>
      <c r="AR91" s="24">
        <v>8.0850000000000005E-2</v>
      </c>
      <c r="AS91" s="24">
        <v>8.9319999999999997E-2</v>
      </c>
      <c r="AT91" s="24">
        <v>5.2691000000000002E-2</v>
      </c>
      <c r="AU91" s="24">
        <v>0.10593</v>
      </c>
      <c r="AV91" s="24">
        <v>6.5790000000000001E-2</v>
      </c>
      <c r="AX91" s="1">
        <f t="shared" si="22"/>
        <v>82</v>
      </c>
    </row>
    <row r="92" spans="3:50" x14ac:dyDescent="0.25">
      <c r="C92" s="7"/>
      <c r="X92" s="14">
        <f t="shared" si="21"/>
        <v>83</v>
      </c>
      <c r="Y92" s="7">
        <v>0.28404000000000001</v>
      </c>
      <c r="Z92" s="7">
        <v>0.23073299999999999</v>
      </c>
      <c r="AA92" s="7">
        <v>0.22400700000000001</v>
      </c>
      <c r="AB92" s="7">
        <v>0.30688900000000002</v>
      </c>
      <c r="AC92" s="7">
        <v>0.29699500000000001</v>
      </c>
      <c r="AD92" s="7">
        <v>0.25902500000000001</v>
      </c>
      <c r="AE92" s="7">
        <v>0.28669899999999998</v>
      </c>
      <c r="AF92" s="7">
        <v>0.30807899999999999</v>
      </c>
      <c r="AG92" s="7">
        <v>0.28669899999999998</v>
      </c>
      <c r="AH92" s="7">
        <v>0.16657</v>
      </c>
      <c r="AI92" s="7">
        <v>0.13938</v>
      </c>
      <c r="AJ92" s="7">
        <v>0.12826000000000001</v>
      </c>
      <c r="AK92" s="7">
        <v>0.1123</v>
      </c>
      <c r="AL92" s="7">
        <v>9.7525000000000001E-2</v>
      </c>
      <c r="AM92" s="7">
        <v>0.14851</v>
      </c>
      <c r="AN92" s="7">
        <v>0.12748999999999999</v>
      </c>
      <c r="AO92" s="7">
        <v>0.10823000000000001</v>
      </c>
      <c r="AP92" s="24">
        <v>0.12748999999999999</v>
      </c>
      <c r="AQ92" s="24">
        <f t="shared" si="20"/>
        <v>0.10816000000000001</v>
      </c>
      <c r="AR92" s="24">
        <v>8.8830000000000006E-2</v>
      </c>
      <c r="AS92" s="24">
        <v>9.7525000000000001E-2</v>
      </c>
      <c r="AT92" s="24">
        <v>5.8070999999999998E-2</v>
      </c>
      <c r="AU92" s="24">
        <v>0.11683</v>
      </c>
      <c r="AV92" s="24">
        <v>7.2840000000000002E-2</v>
      </c>
      <c r="AX92" s="1">
        <f t="shared" si="22"/>
        <v>83</v>
      </c>
    </row>
    <row r="93" spans="3:50" x14ac:dyDescent="0.25">
      <c r="C93" s="7"/>
      <c r="X93" s="14">
        <f t="shared" si="21"/>
        <v>84</v>
      </c>
      <c r="Y93" s="7">
        <v>0.31075199999999997</v>
      </c>
      <c r="Z93" s="7">
        <v>0.25407099999999999</v>
      </c>
      <c r="AA93" s="7">
        <v>0.24376200000000001</v>
      </c>
      <c r="AB93" s="7">
        <v>0.34047500000000003</v>
      </c>
      <c r="AC93" s="7">
        <v>0.32949099999999998</v>
      </c>
      <c r="AD93" s="7">
        <v>0.28229100000000001</v>
      </c>
      <c r="AE93" s="7">
        <v>0.29995100000000002</v>
      </c>
      <c r="AF93" s="7">
        <v>0.351433</v>
      </c>
      <c r="AG93" s="7">
        <v>0.29995100000000002</v>
      </c>
      <c r="AH93" s="7">
        <v>0.17988000000000001</v>
      </c>
      <c r="AI93" s="7">
        <v>0.15001</v>
      </c>
      <c r="AJ93" s="7">
        <v>0.14025000000000001</v>
      </c>
      <c r="AK93" s="7">
        <v>0.12112000000000001</v>
      </c>
      <c r="AL93" s="7">
        <v>0.106047</v>
      </c>
      <c r="AM93" s="7">
        <v>0.15967999999999999</v>
      </c>
      <c r="AN93" s="7">
        <v>0.13933999999999999</v>
      </c>
      <c r="AO93" s="7">
        <v>0.11626</v>
      </c>
      <c r="AP93" s="24">
        <v>0.13933999999999999</v>
      </c>
      <c r="AQ93" s="24">
        <f t="shared" si="20"/>
        <v>0.118455</v>
      </c>
      <c r="AR93" s="24">
        <v>9.7570000000000004E-2</v>
      </c>
      <c r="AS93" s="24">
        <v>0.106047</v>
      </c>
      <c r="AT93" s="24">
        <v>6.3807000000000003E-2</v>
      </c>
      <c r="AU93" s="24">
        <v>0.12887999999999999</v>
      </c>
      <c r="AV93" s="24">
        <v>8.0610000000000001E-2</v>
      </c>
      <c r="AX93" s="1">
        <f t="shared" si="22"/>
        <v>84</v>
      </c>
    </row>
    <row r="94" spans="3:50" x14ac:dyDescent="0.25">
      <c r="C94" s="7"/>
      <c r="X94" s="14">
        <f t="shared" si="21"/>
        <v>85</v>
      </c>
      <c r="Y94" s="7">
        <v>0.33921200000000001</v>
      </c>
      <c r="Z94" s="7">
        <v>0.28173900000000002</v>
      </c>
      <c r="AA94" s="7">
        <v>0.266073</v>
      </c>
      <c r="AB94" s="7">
        <v>0.37892500000000001</v>
      </c>
      <c r="AC94" s="7">
        <v>0.36670199999999997</v>
      </c>
      <c r="AD94" s="7">
        <v>0.307116</v>
      </c>
      <c r="AE94" s="7">
        <v>0.33293600000000001</v>
      </c>
      <c r="AF94" s="7">
        <v>0.40609099999999998</v>
      </c>
      <c r="AG94" s="7">
        <v>0.33293600000000001</v>
      </c>
      <c r="AH94" s="7">
        <v>0.19413</v>
      </c>
      <c r="AI94" s="7">
        <v>0.16114000000000001</v>
      </c>
      <c r="AJ94" s="7">
        <v>0.15295</v>
      </c>
      <c r="AK94" s="7">
        <v>0.13009999999999999</v>
      </c>
      <c r="AL94" s="7">
        <v>0.11483599999999999</v>
      </c>
      <c r="AM94" s="7">
        <v>0.17157</v>
      </c>
      <c r="AN94" s="7">
        <v>0.15218999999999999</v>
      </c>
      <c r="AO94" s="7">
        <v>0.12484000000000001</v>
      </c>
      <c r="AP94" s="24">
        <v>0.15218999999999999</v>
      </c>
      <c r="AQ94" s="24">
        <f t="shared" si="20"/>
        <v>0.12964999999999999</v>
      </c>
      <c r="AR94" s="24">
        <v>0.10711</v>
      </c>
      <c r="AS94" s="24">
        <v>0.11483599999999999</v>
      </c>
      <c r="AT94" s="24">
        <v>6.9917999999999994E-2</v>
      </c>
      <c r="AU94" s="24">
        <v>0.14241000000000001</v>
      </c>
      <c r="AV94" s="24">
        <v>8.9249999999999996E-2</v>
      </c>
      <c r="AX94" s="1">
        <f t="shared" si="22"/>
        <v>85</v>
      </c>
    </row>
    <row r="95" spans="3:50" x14ac:dyDescent="0.25">
      <c r="C95" s="7"/>
      <c r="X95" s="14">
        <f t="shared" si="21"/>
        <v>86</v>
      </c>
      <c r="Y95" s="7">
        <v>0.36956800000000001</v>
      </c>
      <c r="Z95" s="7">
        <v>0.31505100000000003</v>
      </c>
      <c r="AA95" s="7">
        <v>0.29450100000000001</v>
      </c>
      <c r="AB95" s="7">
        <v>0.42904500000000001</v>
      </c>
      <c r="AC95" s="7">
        <v>0.41520099999999999</v>
      </c>
      <c r="AD95" s="7">
        <v>0.333457</v>
      </c>
      <c r="AE95" s="7">
        <v>0.388683</v>
      </c>
      <c r="AF95" s="7">
        <v>0.47590100000000002</v>
      </c>
      <c r="AG95" s="7">
        <v>0.388683</v>
      </c>
      <c r="AH95" s="7">
        <v>0.20937</v>
      </c>
      <c r="AI95" s="7">
        <v>0.17282</v>
      </c>
      <c r="AJ95" s="7">
        <v>0.16608999999999999</v>
      </c>
      <c r="AK95" s="7">
        <v>0.13930999999999999</v>
      </c>
      <c r="AL95" s="7">
        <v>0.12417</v>
      </c>
      <c r="AM95" s="7">
        <v>0.18423</v>
      </c>
      <c r="AN95" s="7">
        <v>0.1661</v>
      </c>
      <c r="AO95" s="7">
        <v>0.13400000000000001</v>
      </c>
      <c r="AP95" s="24">
        <v>0.1661</v>
      </c>
      <c r="AQ95" s="24">
        <f t="shared" si="20"/>
        <v>0.14180999999999999</v>
      </c>
      <c r="AR95" s="24">
        <v>0.11752</v>
      </c>
      <c r="AS95" s="24">
        <v>0.12417</v>
      </c>
      <c r="AT95" s="24">
        <v>7.6569999999999999E-2</v>
      </c>
      <c r="AU95" s="24">
        <v>0.15737999999999999</v>
      </c>
      <c r="AV95" s="24">
        <v>9.7129999999999994E-2</v>
      </c>
      <c r="AX95" s="1">
        <f t="shared" si="22"/>
        <v>86</v>
      </c>
    </row>
    <row r="96" spans="3:50" x14ac:dyDescent="0.25">
      <c r="C96" s="7"/>
      <c r="X96" s="14">
        <f t="shared" si="21"/>
        <v>87</v>
      </c>
      <c r="Y96" s="7">
        <v>0.40670600000000001</v>
      </c>
      <c r="Z96" s="7">
        <v>0.36139399999999999</v>
      </c>
      <c r="AA96" s="7">
        <v>0.34119899999999997</v>
      </c>
      <c r="AB96" s="7">
        <v>0.49792399999999998</v>
      </c>
      <c r="AC96" s="7">
        <v>0.48186400000000001</v>
      </c>
      <c r="AD96" s="7">
        <v>0.36141800000000002</v>
      </c>
      <c r="AE96" s="7">
        <v>0.40611799999999998</v>
      </c>
      <c r="AF96" s="7">
        <v>0.56431100000000001</v>
      </c>
      <c r="AG96" s="7">
        <v>0.40611799999999998</v>
      </c>
      <c r="AH96" s="7">
        <v>0.22563</v>
      </c>
      <c r="AI96" s="7">
        <v>0.18512999999999999</v>
      </c>
      <c r="AJ96" s="7">
        <v>0.17954999999999999</v>
      </c>
      <c r="AK96" s="7">
        <v>0.14871000000000001</v>
      </c>
      <c r="AL96" s="7">
        <v>0.13386999999999999</v>
      </c>
      <c r="AM96" s="7">
        <v>0.19767999999999999</v>
      </c>
      <c r="AN96" s="7">
        <v>0.18115000000000001</v>
      </c>
      <c r="AO96" s="7">
        <v>0.14379</v>
      </c>
      <c r="AP96" s="24">
        <v>0.18115000000000001</v>
      </c>
      <c r="AQ96" s="24">
        <f t="shared" si="20"/>
        <v>0.15501500000000001</v>
      </c>
      <c r="AR96" s="24">
        <v>0.12887999999999999</v>
      </c>
      <c r="AS96" s="24">
        <v>0.13386999999999999</v>
      </c>
      <c r="AT96" s="24">
        <v>8.387E-2</v>
      </c>
      <c r="AU96" s="24">
        <v>0.17368</v>
      </c>
      <c r="AV96" s="24">
        <v>0.10893</v>
      </c>
      <c r="AX96" s="1">
        <f t="shared" si="22"/>
        <v>87</v>
      </c>
    </row>
    <row r="97" spans="3:50" x14ac:dyDescent="0.25">
      <c r="C97" s="7"/>
      <c r="X97" s="14">
        <f t="shared" si="21"/>
        <v>88</v>
      </c>
      <c r="Y97" s="7">
        <v>0.49475200000000003</v>
      </c>
      <c r="Z97" s="7">
        <v>0.44190600000000002</v>
      </c>
      <c r="AA97" s="7">
        <v>0.429562</v>
      </c>
      <c r="AB97" s="7">
        <v>0.59431100000000003</v>
      </c>
      <c r="AC97" s="7">
        <v>0.57512300000000005</v>
      </c>
      <c r="AD97" s="7">
        <v>0.39102599999999998</v>
      </c>
      <c r="AE97" s="7">
        <v>0.44651999999999997</v>
      </c>
      <c r="AF97" s="7">
        <v>0.67245200000000005</v>
      </c>
      <c r="AG97" s="7">
        <v>0.44651999999999997</v>
      </c>
      <c r="AH97" s="7">
        <v>0.24299999999999999</v>
      </c>
      <c r="AI97" s="7">
        <v>0.19825000000000001</v>
      </c>
      <c r="AJ97" s="7">
        <v>0.19327</v>
      </c>
      <c r="AK97" s="7">
        <v>0.15848999999999999</v>
      </c>
      <c r="AL97" s="7">
        <v>0.14407300000000001</v>
      </c>
      <c r="AM97" s="7">
        <v>0.21195</v>
      </c>
      <c r="AN97" s="7">
        <v>0.19739000000000001</v>
      </c>
      <c r="AO97" s="7">
        <v>0.15421000000000001</v>
      </c>
      <c r="AP97" s="24">
        <v>0.19739000000000001</v>
      </c>
      <c r="AQ97" s="24">
        <f t="shared" si="20"/>
        <v>0.16931499999999999</v>
      </c>
      <c r="AR97" s="24">
        <v>0.14124</v>
      </c>
      <c r="AS97" s="24">
        <v>0.14407300000000001</v>
      </c>
      <c r="AT97" s="24">
        <v>9.1935000000000003E-2</v>
      </c>
      <c r="AU97" s="24">
        <v>0.19109999999999999</v>
      </c>
      <c r="AV97" s="24">
        <v>0.12131</v>
      </c>
      <c r="AX97" s="1">
        <f t="shared" si="22"/>
        <v>88</v>
      </c>
    </row>
    <row r="98" spans="3:50" x14ac:dyDescent="0.25">
      <c r="C98" s="7"/>
      <c r="X98" s="14">
        <f t="shared" si="21"/>
        <v>89</v>
      </c>
      <c r="Y98" s="7">
        <v>0.67797300000000005</v>
      </c>
      <c r="Z98" s="7">
        <v>0.62057399999999996</v>
      </c>
      <c r="AA98" s="7">
        <v>0.61092100000000005</v>
      </c>
      <c r="AB98" s="7">
        <v>0.72780599999999995</v>
      </c>
      <c r="AC98" s="7">
        <v>0.70436399999999999</v>
      </c>
      <c r="AD98" s="7">
        <v>0.42205900000000002</v>
      </c>
      <c r="AE98" s="7">
        <v>0.82751699999999995</v>
      </c>
      <c r="AF98" s="7">
        <v>0.81470399999999998</v>
      </c>
      <c r="AG98" s="7">
        <v>0.82751699999999995</v>
      </c>
      <c r="AH98" s="7">
        <v>0.26144000000000001</v>
      </c>
      <c r="AI98" s="7">
        <v>0.21246000000000001</v>
      </c>
      <c r="AJ98" s="7">
        <v>0.20729</v>
      </c>
      <c r="AK98" s="7">
        <v>0.16871</v>
      </c>
      <c r="AL98" s="7">
        <v>0.154859</v>
      </c>
      <c r="AM98" s="7">
        <v>0.22708</v>
      </c>
      <c r="AN98" s="7">
        <v>0.21489</v>
      </c>
      <c r="AO98" s="7">
        <v>0.16531999999999999</v>
      </c>
      <c r="AP98" s="24">
        <v>0.21489</v>
      </c>
      <c r="AQ98" s="24">
        <f t="shared" si="20"/>
        <v>0.18479000000000001</v>
      </c>
      <c r="AR98" s="24">
        <v>0.15468999999999999</v>
      </c>
      <c r="AS98" s="24">
        <v>0.154859</v>
      </c>
      <c r="AT98" s="24">
        <v>0.101354</v>
      </c>
      <c r="AU98" s="24">
        <v>0.20945</v>
      </c>
      <c r="AV98" s="24">
        <v>0.13450000000000001</v>
      </c>
      <c r="AX98" s="1">
        <f t="shared" si="22"/>
        <v>89</v>
      </c>
    </row>
    <row r="99" spans="3:50" x14ac:dyDescent="0.25">
      <c r="C99" s="7"/>
      <c r="X99" s="14">
        <f t="shared" si="21"/>
        <v>90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7">
        <v>0.28099000000000002</v>
      </c>
      <c r="AI99" s="7">
        <v>0.22814000000000001</v>
      </c>
      <c r="AJ99" s="7">
        <v>0.22176999999999999</v>
      </c>
      <c r="AK99" s="7">
        <v>0.17945</v>
      </c>
      <c r="AL99" s="7">
        <v>0.16630700000000001</v>
      </c>
      <c r="AM99" s="7">
        <v>0.24310000000000001</v>
      </c>
      <c r="AN99" s="7">
        <v>0.23371</v>
      </c>
      <c r="AO99" s="7">
        <v>0.17713999999999999</v>
      </c>
      <c r="AP99" s="24">
        <v>0.23371</v>
      </c>
      <c r="AQ99" s="24">
        <f t="shared" si="20"/>
        <v>0.20150000000000001</v>
      </c>
      <c r="AR99" s="24">
        <v>0.16929</v>
      </c>
      <c r="AS99" s="24">
        <v>0.16630700000000001</v>
      </c>
      <c r="AT99" s="24">
        <v>0.11175</v>
      </c>
      <c r="AU99" s="24">
        <v>0.22853000000000001</v>
      </c>
      <c r="AV99" s="24">
        <v>0.14645</v>
      </c>
      <c r="AX99" s="1">
        <f t="shared" si="22"/>
        <v>90</v>
      </c>
    </row>
    <row r="100" spans="3:50" x14ac:dyDescent="0.25">
      <c r="C100" s="7"/>
      <c r="X100" s="14">
        <f t="shared" si="21"/>
        <v>91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0.30173</v>
      </c>
      <c r="AI100" s="7">
        <v>0.24576999999999999</v>
      </c>
      <c r="AJ100" s="7">
        <v>0.23698</v>
      </c>
      <c r="AK100" s="7">
        <v>0.19048999999999999</v>
      </c>
      <c r="AL100" s="7">
        <v>0.17821400000000001</v>
      </c>
      <c r="AM100" s="7">
        <v>0.26001999999999997</v>
      </c>
      <c r="AN100" s="7">
        <v>0.25389</v>
      </c>
      <c r="AO100" s="7">
        <v>0.18970999999999999</v>
      </c>
      <c r="AP100" s="24">
        <v>0.25389</v>
      </c>
      <c r="AQ100" s="24">
        <f t="shared" si="20"/>
        <v>0.2195</v>
      </c>
      <c r="AR100" s="24">
        <v>0.18511</v>
      </c>
      <c r="AS100" s="24">
        <v>0.17821400000000001</v>
      </c>
      <c r="AT100" s="24">
        <v>0.123076</v>
      </c>
      <c r="AU100" s="24">
        <v>0.24637999999999999</v>
      </c>
      <c r="AV100" s="24">
        <v>0.15243000000000001</v>
      </c>
      <c r="AX100" s="1">
        <f t="shared" si="22"/>
        <v>91</v>
      </c>
    </row>
    <row r="101" spans="3:50" x14ac:dyDescent="0.25">
      <c r="C101" s="7"/>
      <c r="X101" s="14">
        <f t="shared" si="21"/>
        <v>92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0.32363999999999998</v>
      </c>
      <c r="AI101" s="7">
        <v>0.26593</v>
      </c>
      <c r="AJ101" s="7">
        <v>0.25345000000000001</v>
      </c>
      <c r="AK101" s="7">
        <v>0.20168</v>
      </c>
      <c r="AL101" s="7">
        <v>0.19045999999999999</v>
      </c>
      <c r="AM101" s="7">
        <v>0.27787000000000001</v>
      </c>
      <c r="AN101" s="7">
        <v>0.27548</v>
      </c>
      <c r="AO101" s="7">
        <v>0.20305999999999999</v>
      </c>
      <c r="AP101" s="24">
        <v>0.27548</v>
      </c>
      <c r="AQ101" s="24">
        <f t="shared" si="20"/>
        <v>0.23885499999999998</v>
      </c>
      <c r="AR101" s="24">
        <v>0.20222999999999999</v>
      </c>
      <c r="AS101" s="24">
        <v>0.19045999999999999</v>
      </c>
      <c r="AT101" s="24">
        <v>0.13563</v>
      </c>
      <c r="AU101" s="24">
        <v>0.26495999999999997</v>
      </c>
      <c r="AV101" s="24">
        <v>0.16453999999999999</v>
      </c>
      <c r="AX101" s="1">
        <f t="shared" si="22"/>
        <v>92</v>
      </c>
    </row>
    <row r="102" spans="3:50" x14ac:dyDescent="0.25">
      <c r="C102" s="7"/>
      <c r="X102" s="14">
        <f t="shared" si="21"/>
        <v>93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0.34666000000000002</v>
      </c>
      <c r="AI102" s="7">
        <v>0.2893</v>
      </c>
      <c r="AJ102" s="7">
        <v>0.27211000000000002</v>
      </c>
      <c r="AK102" s="7">
        <v>0.21299000000000001</v>
      </c>
      <c r="AL102" s="7">
        <v>0.20300699999999999</v>
      </c>
      <c r="AM102" s="7">
        <v>0.29665999999999998</v>
      </c>
      <c r="AN102" s="7">
        <v>0.29851</v>
      </c>
      <c r="AO102" s="7">
        <v>0.21722</v>
      </c>
      <c r="AP102" s="24">
        <v>0.29851</v>
      </c>
      <c r="AQ102" s="24">
        <f t="shared" si="20"/>
        <v>0.25960499999999997</v>
      </c>
      <c r="AR102" s="24">
        <v>0.22070000000000001</v>
      </c>
      <c r="AS102" s="24">
        <v>0.20300699999999999</v>
      </c>
      <c r="AT102" s="24">
        <v>0.14957699999999999</v>
      </c>
      <c r="AU102" s="24">
        <v>0.28449999999999998</v>
      </c>
      <c r="AV102" s="24">
        <v>0.18235000000000001</v>
      </c>
      <c r="AX102" s="1">
        <f t="shared" si="22"/>
        <v>93</v>
      </c>
    </row>
    <row r="103" spans="3:50" x14ac:dyDescent="0.25">
      <c r="C103" s="7"/>
      <c r="X103" s="14">
        <f t="shared" si="21"/>
        <v>94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0.371</v>
      </c>
      <c r="AI103" s="7">
        <v>0.31666</v>
      </c>
      <c r="AJ103" s="7">
        <v>0.2959</v>
      </c>
      <c r="AK103" s="7">
        <v>0.22653000000000001</v>
      </c>
      <c r="AL103" s="7">
        <v>0.21790399999999999</v>
      </c>
      <c r="AM103" s="7">
        <v>0.31641000000000002</v>
      </c>
      <c r="AN103" s="7">
        <v>0.32301000000000002</v>
      </c>
      <c r="AO103" s="7">
        <v>0.23219999999999999</v>
      </c>
      <c r="AP103" s="24">
        <v>0.32301000000000002</v>
      </c>
      <c r="AQ103" s="24">
        <f t="shared" si="20"/>
        <v>0.28180500000000003</v>
      </c>
      <c r="AR103" s="24">
        <v>0.24060000000000001</v>
      </c>
      <c r="AS103" s="24">
        <v>0.21790399999999999</v>
      </c>
      <c r="AT103" s="24">
        <v>0.165103</v>
      </c>
      <c r="AU103" s="24">
        <v>0.30510999999999999</v>
      </c>
      <c r="AV103" s="24">
        <v>0.20488000000000001</v>
      </c>
      <c r="AX103" s="1">
        <f t="shared" si="22"/>
        <v>94</v>
      </c>
    </row>
    <row r="104" spans="3:50" x14ac:dyDescent="0.25">
      <c r="C104" s="7"/>
      <c r="X104" s="14">
        <f t="shared" si="21"/>
        <v>95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0.39621000000000001</v>
      </c>
      <c r="AI104" s="7">
        <v>0.35124</v>
      </c>
      <c r="AJ104" s="7">
        <v>0.32995999999999998</v>
      </c>
      <c r="AK104" s="7">
        <v>0.24116000000000001</v>
      </c>
      <c r="AL104" s="7">
        <v>0.23408599999999999</v>
      </c>
      <c r="AM104" s="7">
        <v>0.33711000000000002</v>
      </c>
      <c r="AN104" s="7">
        <v>0.34897</v>
      </c>
      <c r="AO104" s="7">
        <v>0.24806</v>
      </c>
      <c r="AP104" s="24">
        <v>0.34897</v>
      </c>
      <c r="AQ104" s="24">
        <f t="shared" si="20"/>
        <v>0.30547000000000002</v>
      </c>
      <c r="AR104" s="24">
        <v>0.26196999999999998</v>
      </c>
      <c r="AS104" s="24">
        <v>0.23408599999999999</v>
      </c>
      <c r="AT104" s="24">
        <v>0.182419</v>
      </c>
      <c r="AU104" s="24">
        <v>0.32682</v>
      </c>
      <c r="AV104" s="24">
        <v>0.23305000000000001</v>
      </c>
      <c r="AX104" s="1">
        <f t="shared" si="22"/>
        <v>95</v>
      </c>
    </row>
    <row r="105" spans="3:50" x14ac:dyDescent="0.25">
      <c r="C105" s="7"/>
      <c r="X105" s="14">
        <f t="shared" si="21"/>
        <v>96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0.44718999999999998</v>
      </c>
      <c r="AI105" s="7">
        <v>0.40056000000000003</v>
      </c>
      <c r="AJ105" s="7">
        <v>0.38455</v>
      </c>
      <c r="AK105" s="7">
        <v>0.25619999999999998</v>
      </c>
      <c r="AL105" s="7">
        <v>0.24843599999999999</v>
      </c>
      <c r="AM105" s="7">
        <v>0.35876000000000002</v>
      </c>
      <c r="AN105" s="7">
        <v>0.37639</v>
      </c>
      <c r="AO105" s="7">
        <v>0.26479999999999998</v>
      </c>
      <c r="AP105" s="24">
        <v>0.37639</v>
      </c>
      <c r="AQ105" s="24">
        <f t="shared" si="20"/>
        <v>0.33062999999999998</v>
      </c>
      <c r="AR105" s="24">
        <v>0.28487000000000001</v>
      </c>
      <c r="AS105" s="24">
        <v>0.24843599999999999</v>
      </c>
      <c r="AT105" s="24">
        <v>0.20175699999999999</v>
      </c>
      <c r="AU105" s="24">
        <v>0.34661999999999998</v>
      </c>
      <c r="AV105" s="24">
        <v>0.25962000000000002</v>
      </c>
      <c r="AX105" s="1">
        <f t="shared" si="22"/>
        <v>96</v>
      </c>
    </row>
    <row r="106" spans="3:50" x14ac:dyDescent="0.25">
      <c r="X106" s="14">
        <f t="shared" si="21"/>
        <v>97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0.54825999999999997</v>
      </c>
      <c r="AI106" s="7">
        <v>0.48842000000000002</v>
      </c>
      <c r="AJ106" s="7">
        <v>0.48020000000000002</v>
      </c>
      <c r="AK106" s="7">
        <v>0.27248</v>
      </c>
      <c r="AL106" s="7">
        <v>0.26395400000000002</v>
      </c>
      <c r="AM106" s="7">
        <v>0.38135000000000002</v>
      </c>
      <c r="AN106" s="7">
        <v>0.40522999999999998</v>
      </c>
      <c r="AO106" s="7">
        <v>0.28351999999999999</v>
      </c>
      <c r="AP106" s="24">
        <v>0.40522999999999998</v>
      </c>
      <c r="AQ106" s="24">
        <f t="shared" si="20"/>
        <v>0.35727500000000001</v>
      </c>
      <c r="AR106" s="24">
        <v>0.30931999999999998</v>
      </c>
      <c r="AS106" s="24">
        <v>0.26395400000000002</v>
      </c>
      <c r="AT106" s="24">
        <v>0.22204399999999999</v>
      </c>
      <c r="AU106" s="24">
        <v>0.36770000000000003</v>
      </c>
      <c r="AV106" s="24">
        <v>0.28720000000000001</v>
      </c>
      <c r="AX106" s="1">
        <f t="shared" si="22"/>
        <v>97</v>
      </c>
    </row>
    <row r="107" spans="3:50" x14ac:dyDescent="0.25">
      <c r="X107" s="14">
        <f t="shared" si="21"/>
        <v>98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0.72467000000000004</v>
      </c>
      <c r="AI107" s="7">
        <v>0.66815000000000002</v>
      </c>
      <c r="AJ107" s="7">
        <v>0.65798000000000001</v>
      </c>
      <c r="AK107" s="7">
        <v>0.29015999999999997</v>
      </c>
      <c r="AL107" s="7">
        <v>0.28080300000000002</v>
      </c>
      <c r="AM107" s="7">
        <v>0.40484999999999999</v>
      </c>
      <c r="AN107" s="7">
        <v>0.43541999999999997</v>
      </c>
      <c r="AO107" s="7">
        <v>0.30578</v>
      </c>
      <c r="AP107" s="24">
        <v>0.43541999999999997</v>
      </c>
      <c r="AQ107" s="24">
        <f t="shared" si="20"/>
        <v>0.38538</v>
      </c>
      <c r="AR107" s="24">
        <v>0.33534000000000003</v>
      </c>
      <c r="AS107" s="24">
        <v>0.28080300000000002</v>
      </c>
      <c r="AT107" s="24">
        <v>0.243899</v>
      </c>
      <c r="AU107" s="24">
        <v>0.39016000000000001</v>
      </c>
      <c r="AV107" s="24">
        <v>0.29172999999999999</v>
      </c>
      <c r="AX107" s="1">
        <f t="shared" si="22"/>
        <v>98</v>
      </c>
    </row>
    <row r="108" spans="3:50" x14ac:dyDescent="0.25">
      <c r="X108" s="14">
        <f t="shared" si="21"/>
        <v>99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1</v>
      </c>
      <c r="AI108" s="7">
        <v>1</v>
      </c>
      <c r="AJ108" s="7">
        <v>1</v>
      </c>
      <c r="AK108" s="7">
        <v>0.30912000000000001</v>
      </c>
      <c r="AL108" s="7">
        <v>0.29915399999999998</v>
      </c>
      <c r="AM108" s="7">
        <v>0.42923</v>
      </c>
      <c r="AN108" s="7">
        <v>0.46687000000000001</v>
      </c>
      <c r="AO108" s="7">
        <v>0.33184000000000002</v>
      </c>
      <c r="AP108" s="24">
        <v>0.46687000000000001</v>
      </c>
      <c r="AQ108" s="24">
        <f t="shared" si="20"/>
        <v>0.41489500000000001</v>
      </c>
      <c r="AR108" s="24">
        <v>0.36292000000000002</v>
      </c>
      <c r="AS108" s="24">
        <v>0.29915399999999998</v>
      </c>
      <c r="AT108" s="24">
        <v>0.26818500000000001</v>
      </c>
      <c r="AU108" s="24">
        <v>0.41413</v>
      </c>
      <c r="AV108" s="24">
        <v>0.30758999999999997</v>
      </c>
      <c r="AX108" s="1">
        <f t="shared" si="22"/>
        <v>99</v>
      </c>
    </row>
    <row r="109" spans="3:50" x14ac:dyDescent="0.25">
      <c r="X109" s="14">
        <f t="shared" si="21"/>
        <v>100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0.32983000000000001</v>
      </c>
      <c r="AL109" s="7">
        <v>0.319185</v>
      </c>
      <c r="AM109" s="7">
        <v>1</v>
      </c>
      <c r="AN109" s="7">
        <v>0.49945000000000001</v>
      </c>
      <c r="AO109" s="7">
        <v>0.36212</v>
      </c>
      <c r="AP109" s="24">
        <v>0.49945000000000001</v>
      </c>
      <c r="AQ109" s="24">
        <f t="shared" si="20"/>
        <v>0.44574999999999998</v>
      </c>
      <c r="AR109" s="24">
        <v>0.39205000000000001</v>
      </c>
      <c r="AS109" s="24">
        <v>0.319185</v>
      </c>
      <c r="AT109" s="24">
        <v>0.29518699999999998</v>
      </c>
      <c r="AU109" s="24">
        <v>0.43974000000000002</v>
      </c>
      <c r="AV109" s="24">
        <v>0.33240999999999998</v>
      </c>
      <c r="AX109" s="1">
        <f t="shared" si="22"/>
        <v>100</v>
      </c>
    </row>
    <row r="110" spans="3:50" x14ac:dyDescent="0.25">
      <c r="X110" s="14">
        <f t="shared" si="21"/>
        <v>101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0.35244999999999999</v>
      </c>
      <c r="AL110" s="7">
        <v>0.341086</v>
      </c>
      <c r="AM110" s="7">
        <v>0</v>
      </c>
      <c r="AN110" s="7">
        <v>1</v>
      </c>
      <c r="AO110" s="7">
        <v>0.39757999999999999</v>
      </c>
      <c r="AP110" s="24">
        <v>1</v>
      </c>
      <c r="AQ110" s="24">
        <v>1</v>
      </c>
      <c r="AR110" s="24">
        <v>0.42265000000000003</v>
      </c>
      <c r="AS110" s="24">
        <v>0.341086</v>
      </c>
      <c r="AT110" s="24">
        <v>0.32522499999999999</v>
      </c>
      <c r="AU110" s="24">
        <v>0.45994000000000002</v>
      </c>
      <c r="AV110" s="24">
        <v>0.35918</v>
      </c>
      <c r="AX110" s="1">
        <f t="shared" si="22"/>
        <v>101</v>
      </c>
    </row>
    <row r="111" spans="3:50" x14ac:dyDescent="0.25">
      <c r="X111" s="14">
        <f t="shared" si="21"/>
        <v>102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0.37722</v>
      </c>
      <c r="AL111" s="7">
        <v>0.36505199999999999</v>
      </c>
      <c r="AM111" s="7">
        <v>0</v>
      </c>
      <c r="AN111" s="7">
        <v>0</v>
      </c>
      <c r="AO111" s="7">
        <v>0.43891999999999998</v>
      </c>
      <c r="AP111" s="24"/>
      <c r="AQ111" s="24"/>
      <c r="AR111" s="24">
        <v>0.45465</v>
      </c>
      <c r="AS111" s="24">
        <v>0.36505199999999999</v>
      </c>
      <c r="AT111" s="24">
        <v>0.35889700000000002</v>
      </c>
      <c r="AU111" s="24">
        <v>0.48143000000000002</v>
      </c>
      <c r="AV111" s="24">
        <v>0.38871</v>
      </c>
      <c r="AX111" s="1">
        <f t="shared" si="22"/>
        <v>102</v>
      </c>
    </row>
    <row r="112" spans="3:50" x14ac:dyDescent="0.25">
      <c r="X112" s="14">
        <f t="shared" si="21"/>
        <v>103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0.40621000000000002</v>
      </c>
      <c r="AL112" s="7">
        <v>0.39310200000000001</v>
      </c>
      <c r="AM112" s="7">
        <v>0</v>
      </c>
      <c r="AN112" s="7">
        <v>0</v>
      </c>
      <c r="AO112" s="7">
        <v>0.48727999999999999</v>
      </c>
      <c r="AP112" s="24"/>
      <c r="AQ112" s="24"/>
      <c r="AR112" s="24">
        <v>0.48791000000000001</v>
      </c>
      <c r="AS112" s="24">
        <v>0.39310200000000001</v>
      </c>
      <c r="AT112" s="24">
        <v>0.395843</v>
      </c>
      <c r="AU112" s="24">
        <v>0.50431000000000004</v>
      </c>
      <c r="AV112" s="24">
        <v>0.42124</v>
      </c>
      <c r="AX112" s="1">
        <f t="shared" si="22"/>
        <v>103</v>
      </c>
    </row>
    <row r="113" spans="24:50" x14ac:dyDescent="0.25">
      <c r="X113" s="14">
        <f t="shared" si="21"/>
        <v>104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0.4415</v>
      </c>
      <c r="AL113" s="7">
        <v>0.427255</v>
      </c>
      <c r="AM113" s="7">
        <v>0</v>
      </c>
      <c r="AN113" s="7">
        <v>0</v>
      </c>
      <c r="AO113" s="7">
        <v>0.54225000000000001</v>
      </c>
      <c r="AP113" s="24"/>
      <c r="AQ113" s="24"/>
      <c r="AR113" s="24">
        <v>1</v>
      </c>
      <c r="AS113" s="24">
        <v>0.427255</v>
      </c>
      <c r="AT113" s="24">
        <v>0.43836000000000003</v>
      </c>
      <c r="AU113" s="24">
        <v>0.52864</v>
      </c>
      <c r="AV113" s="24">
        <v>0.45705000000000001</v>
      </c>
      <c r="AX113" s="1">
        <f t="shared" si="22"/>
        <v>104</v>
      </c>
    </row>
    <row r="114" spans="24:50" x14ac:dyDescent="0.25">
      <c r="X114" s="14">
        <f t="shared" si="21"/>
        <v>105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0.48518</v>
      </c>
      <c r="AL114" s="7">
        <v>0.46953099999999998</v>
      </c>
      <c r="AM114" s="7">
        <v>0</v>
      </c>
      <c r="AN114" s="7">
        <v>0</v>
      </c>
      <c r="AO114" s="7">
        <v>0.61043999999999998</v>
      </c>
      <c r="AP114" s="24"/>
      <c r="AQ114" s="24"/>
      <c r="AR114" s="24"/>
      <c r="AS114" s="24">
        <v>0.46953099999999998</v>
      </c>
      <c r="AT114" s="24">
        <v>0.48781600000000003</v>
      </c>
      <c r="AU114" s="24">
        <v>0.55449999999999999</v>
      </c>
      <c r="AV114" s="24">
        <v>0.49580000000000002</v>
      </c>
      <c r="AX114" s="1">
        <f t="shared" si="22"/>
        <v>105</v>
      </c>
    </row>
    <row r="115" spans="24:50" x14ac:dyDescent="0.25">
      <c r="X115" s="14">
        <f t="shared" si="21"/>
        <v>106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0.53934000000000004</v>
      </c>
      <c r="AL115" s="7">
        <v>0.52194499999999999</v>
      </c>
      <c r="AM115" s="7">
        <v>0</v>
      </c>
      <c r="AN115" s="7">
        <v>0</v>
      </c>
      <c r="AO115" s="7">
        <v>0.68071999999999999</v>
      </c>
      <c r="AP115" s="24"/>
      <c r="AQ115" s="24"/>
      <c r="AR115" s="24"/>
      <c r="AS115" s="24">
        <v>0.52194499999999999</v>
      </c>
      <c r="AT115" s="24">
        <v>0.54588599999999998</v>
      </c>
      <c r="AU115" s="24">
        <v>0.58198000000000005</v>
      </c>
      <c r="AV115" s="24">
        <v>0.53552999999999995</v>
      </c>
      <c r="AX115" s="1">
        <f t="shared" si="22"/>
        <v>106</v>
      </c>
    </row>
    <row r="116" spans="24:50" x14ac:dyDescent="0.25">
      <c r="X116" s="14">
        <f t="shared" si="21"/>
        <v>107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0.60609000000000002</v>
      </c>
      <c r="AL116" s="7">
        <v>0.58651799999999998</v>
      </c>
      <c r="AM116" s="7">
        <v>0</v>
      </c>
      <c r="AN116" s="7">
        <v>0</v>
      </c>
      <c r="AO116" s="7">
        <v>0.8</v>
      </c>
      <c r="AP116" s="24"/>
      <c r="AQ116" s="24"/>
      <c r="AR116" s="24"/>
      <c r="AS116" s="24">
        <v>0.58651799999999998</v>
      </c>
      <c r="AT116" s="24">
        <v>0.61430899999999999</v>
      </c>
      <c r="AU116" s="24">
        <v>0.61119000000000001</v>
      </c>
      <c r="AV116" s="24">
        <v>0.57625999999999999</v>
      </c>
      <c r="AX116" s="1">
        <f t="shared" si="22"/>
        <v>107</v>
      </c>
    </row>
    <row r="117" spans="24:50" x14ac:dyDescent="0.25">
      <c r="X117" s="14">
        <f t="shared" si="21"/>
        <v>108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0.68747000000000003</v>
      </c>
      <c r="AL117" s="7">
        <v>0.66526799999999997</v>
      </c>
      <c r="AM117" s="7">
        <v>0</v>
      </c>
      <c r="AN117" s="7">
        <v>0</v>
      </c>
      <c r="AO117" s="7">
        <v>0.83333000000000002</v>
      </c>
      <c r="AP117" s="24"/>
      <c r="AQ117" s="24"/>
      <c r="AR117" s="24"/>
      <c r="AS117" s="24">
        <v>0.66526799999999997</v>
      </c>
      <c r="AT117" s="24">
        <v>0.69488499999999997</v>
      </c>
      <c r="AU117" s="24">
        <v>0.64222000000000001</v>
      </c>
      <c r="AV117" s="24">
        <v>0.61724999999999997</v>
      </c>
      <c r="AX117" s="1">
        <f t="shared" si="22"/>
        <v>108</v>
      </c>
    </row>
    <row r="118" spans="24:50" x14ac:dyDescent="0.25">
      <c r="X118" s="14">
        <f t="shared" si="21"/>
        <v>109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0.78542999999999996</v>
      </c>
      <c r="AL118" s="7">
        <v>0.76021499999999997</v>
      </c>
      <c r="AM118" s="7">
        <v>0</v>
      </c>
      <c r="AN118" s="7">
        <v>0</v>
      </c>
      <c r="AO118" s="7">
        <v>1</v>
      </c>
      <c r="AP118" s="24"/>
      <c r="AQ118" s="24"/>
      <c r="AR118" s="24"/>
      <c r="AS118" s="24">
        <v>0.76021510000000003</v>
      </c>
      <c r="AT118" s="24">
        <v>0.78947400000000001</v>
      </c>
      <c r="AU118" s="24">
        <v>0.67518</v>
      </c>
      <c r="AV118" s="24">
        <v>0.65995999999999999</v>
      </c>
      <c r="AX118" s="1">
        <f t="shared" si="22"/>
        <v>109</v>
      </c>
    </row>
    <row r="119" spans="24:50" x14ac:dyDescent="0.25">
      <c r="X119" s="14">
        <f t="shared" si="21"/>
        <v>110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1</v>
      </c>
      <c r="AL119" s="7">
        <v>1</v>
      </c>
      <c r="AM119" s="7">
        <v>0</v>
      </c>
      <c r="AN119" s="7">
        <v>0</v>
      </c>
      <c r="AO119" s="7">
        <v>0</v>
      </c>
      <c r="AP119" s="24"/>
      <c r="AQ119" s="24"/>
      <c r="AR119" s="24"/>
      <c r="AS119" s="24">
        <v>1</v>
      </c>
      <c r="AT119" s="24">
        <v>1</v>
      </c>
      <c r="AU119" s="24">
        <v>0.71016000000000001</v>
      </c>
      <c r="AV119" s="24">
        <v>0.70365999999999995</v>
      </c>
      <c r="AX119" s="1">
        <f t="shared" si="22"/>
        <v>110</v>
      </c>
    </row>
    <row r="120" spans="24:50" x14ac:dyDescent="0.25">
      <c r="AU120" s="24">
        <v>1</v>
      </c>
      <c r="AV120" s="24">
        <v>1</v>
      </c>
      <c r="AX120" s="1">
        <f t="shared" si="22"/>
        <v>111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Augusta</dc:creator>
  <cp:lastModifiedBy>Arya Augusta</cp:lastModifiedBy>
  <dcterms:created xsi:type="dcterms:W3CDTF">2026-06-12T11:02:44Z</dcterms:created>
  <dcterms:modified xsi:type="dcterms:W3CDTF">2026-07-14T07:31:33Z</dcterms:modified>
</cp:coreProperties>
</file>