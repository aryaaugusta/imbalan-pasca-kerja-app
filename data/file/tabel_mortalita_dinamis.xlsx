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040" windowHeight="9000"/>
  </bookViews>
  <sheets>
    <sheet name="Sheet1" sheetId="1" r:id="rId1"/>
  </sheets>
  <externalReferences>
    <externalReference r:id="rId2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User</author>
  </authors>
  <commentList>
    <comment ref="C4" authorId="0">
      <text>
        <r>
          <rPr>
            <sz val="8"/>
            <rFont val="Tahoma"/>
            <charset val="0"/>
          </rPr>
          <t>1 = CSO - 1941
2 = CSO - 1958
3 = CSO - 1980
4 = GAT - 1971
5 = GAT - 1983
6 = TMI - 1993
7 = TMI - 2000
8 = SAT - 1937
9 = DEFAULT
19 = TMI II Male
21 = TMI II Female
23 = TMI 2011 Male
24 = TMI 2011 Female</t>
        </r>
      </text>
    </comment>
  </commentList>
</comments>
</file>

<file path=xl/sharedStrings.xml><?xml version="1.0" encoding="utf-8"?>
<sst xmlns="http://schemas.openxmlformats.org/spreadsheetml/2006/main" count="57" uniqueCount="57">
  <si>
    <t>Usia Pensiun</t>
  </si>
  <si>
    <t>Tahun</t>
  </si>
  <si>
    <t>v = 1/(1+i)</t>
  </si>
  <si>
    <t>s = 1+ ken gaji</t>
  </si>
  <si>
    <r>
      <t>q</t>
    </r>
    <r>
      <rPr>
        <vertAlign val="subscript"/>
        <sz val="10"/>
        <rFont val="Arial Narrow"/>
        <family val="2"/>
        <charset val="0"/>
      </rPr>
      <t>x</t>
    </r>
    <r>
      <rPr>
        <vertAlign val="superscript"/>
        <sz val="10"/>
        <rFont val="Arial Narrow"/>
        <family val="2"/>
        <charset val="0"/>
      </rPr>
      <t>i</t>
    </r>
  </si>
  <si>
    <t>Tabel Mortalita</t>
  </si>
  <si>
    <t>Single Decrement Table</t>
  </si>
  <si>
    <t>x</t>
  </si>
  <si>
    <r>
      <t>qx</t>
    </r>
    <r>
      <rPr>
        <vertAlign val="superscript"/>
        <sz val="10"/>
        <rFont val="Arial Narrow"/>
        <family val="2"/>
        <charset val="0"/>
      </rPr>
      <t>d</t>
    </r>
  </si>
  <si>
    <r>
      <t>qx</t>
    </r>
    <r>
      <rPr>
        <vertAlign val="superscript"/>
        <sz val="10"/>
        <rFont val="Arial Narrow"/>
        <family val="2"/>
        <charset val="0"/>
      </rPr>
      <t>i</t>
    </r>
  </si>
  <si>
    <r>
      <t>qx</t>
    </r>
    <r>
      <rPr>
        <vertAlign val="superscript"/>
        <sz val="10"/>
        <rFont val="Arial Narrow"/>
        <family val="2"/>
        <charset val="0"/>
      </rPr>
      <t>w</t>
    </r>
  </si>
  <si>
    <t>qxr</t>
  </si>
  <si>
    <t>lx</t>
  </si>
  <si>
    <t>dx</t>
  </si>
  <si>
    <t>ix</t>
  </si>
  <si>
    <t>wx</t>
  </si>
  <si>
    <t>rx</t>
  </si>
  <si>
    <t>sDx</t>
  </si>
  <si>
    <t>sCxr</t>
  </si>
  <si>
    <t>sCxd</t>
  </si>
  <si>
    <t>sCxi</t>
  </si>
  <si>
    <t>sCxw</t>
  </si>
  <si>
    <t>sMxd</t>
  </si>
  <si>
    <t>sMxi</t>
  </si>
  <si>
    <t>sMxw</t>
  </si>
  <si>
    <t>sRxd</t>
  </si>
  <si>
    <t>sRxi</t>
  </si>
  <si>
    <t>sRxw</t>
  </si>
  <si>
    <r>
      <t>l</t>
    </r>
    <r>
      <rPr>
        <vertAlign val="subscript"/>
        <sz val="10"/>
        <rFont val="Arial Narrow"/>
        <family val="2"/>
        <charset val="0"/>
      </rPr>
      <t>55</t>
    </r>
    <r>
      <rPr>
        <sz val="10"/>
        <rFont val="Arial Narrow"/>
        <family val="2"/>
        <charset val="0"/>
      </rPr>
      <t>/l</t>
    </r>
    <r>
      <rPr>
        <vertAlign val="subscript"/>
        <sz val="10"/>
        <rFont val="Arial Narrow"/>
        <family val="2"/>
        <charset val="0"/>
      </rPr>
      <t>x</t>
    </r>
  </si>
  <si>
    <t>X</t>
  </si>
  <si>
    <t>CSO1941</t>
  </si>
  <si>
    <t>CSO1958</t>
  </si>
  <si>
    <t>CSO 80</t>
  </si>
  <si>
    <t>GAT1971</t>
  </si>
  <si>
    <t>GAT1983</t>
  </si>
  <si>
    <t>TMI1993</t>
  </si>
  <si>
    <t>TMI2000</t>
  </si>
  <si>
    <t>SAT1937</t>
  </si>
  <si>
    <t>DEFAULT</t>
  </si>
  <si>
    <t>CSO1941ORS</t>
  </si>
  <si>
    <t>CSO1958ORS</t>
  </si>
  <si>
    <t>CSO1980ORS</t>
  </si>
  <si>
    <t>GAT1971ORS</t>
  </si>
  <si>
    <t>GAT1983ORS</t>
  </si>
  <si>
    <t>TMI1993ORS</t>
  </si>
  <si>
    <t>TMI2000ORS</t>
  </si>
  <si>
    <t>SAT1937ORS</t>
  </si>
  <si>
    <t>TMI2MALE</t>
  </si>
  <si>
    <t>TMI2-1999</t>
  </si>
  <si>
    <t>TMI2FEMALE</t>
  </si>
  <si>
    <t>GAM83MALE</t>
  </si>
  <si>
    <t>GAM83FEMALE</t>
  </si>
  <si>
    <t>TMI III MALE</t>
  </si>
  <si>
    <t>TMI III FEMALE</t>
  </si>
  <si>
    <t>CSO1980</t>
  </si>
  <si>
    <t>TMI 2011MALE</t>
  </si>
  <si>
    <t>TMI 2011FEMALE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</si>
</sst>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6">
    <numFmt numFmtId="41" formatCode="_-* #,##0_-;\-* #,##0_-;_-* &quot;-&quot;_-;_-@_-"/>
    <numFmt numFmtId="176" formatCode="_-* #,##0.00_-;\-* #,##0.00_-;_-* &quot;-&quot;??_-;_-@_-"/>
    <numFmt numFmtId="177" formatCode="_-&quot;Rp&quot;* #,##0.00_-;\-&quot;Rp&quot;* #,##0.00_-;_-&quot;Rp&quot;* &quot;-&quot;??_-;_-@_-"/>
    <numFmt numFmtId="178" formatCode="_-&quot;Rp&quot;* #,##0_-;\-&quot;Rp&quot;* #,##0_-;_-&quot;Rp&quot;* &quot;-&quot;??_-;_-@_-"/>
    <numFmt numFmtId="179" formatCode="_(* #,##0.0000_);_(* \(#,##0.0000\);_(* &quot;-&quot;??_);_(@_)"/>
    <numFmt numFmtId="180" formatCode="0.000000"/>
    <numFmt numFmtId="181" formatCode="_(* #,##0_);_(* \(#,##0\);_(* &quot;-&quot;??_);_(@_)"/>
    <numFmt numFmtId="182" formatCode="0.00000"/>
    <numFmt numFmtId="183" formatCode="_(* #,##0.0000000_);_(* \(#,##0.0000000\);_(* &quot;-&quot;??_);_(@_)"/>
    <numFmt numFmtId="184" formatCode="_(* #,##0.00_);_(* \(#,##0.00\);_(* &quot;-&quot;_);_(@_)"/>
    <numFmt numFmtId="185" formatCode="_(* #,##0.00_);_(* \(#,##0.00\);_(* &quot;-&quot;??_);_(@_)"/>
    <numFmt numFmtId="186" formatCode="_(* #,##0.000000_);_(* \(#,##0.000000\);_(* &quot;-&quot;??_);_(@_)"/>
    <numFmt numFmtId="187" formatCode="0.0000000"/>
    <numFmt numFmtId="188" formatCode="0_)"/>
    <numFmt numFmtId="189" formatCode="_(* #,##0.00000_);_(* \(#,##0.00000\);_(* &quot;-&quot;??_);_(@_)"/>
    <numFmt numFmtId="190" formatCode="0.000%"/>
  </numFmts>
  <fonts count="32">
    <font>
      <sz val="11"/>
      <color theme="1"/>
      <name val="Calibri"/>
      <charset val="134"/>
      <scheme val="minor"/>
    </font>
    <font>
      <sz val="10"/>
      <name val="Arial"/>
      <charset val="0"/>
    </font>
    <font>
      <sz val="11"/>
      <name val="Arial Narrow"/>
      <family val="2"/>
      <charset val="0"/>
    </font>
    <font>
      <sz val="10"/>
      <name val="Arial Narrow"/>
      <family val="2"/>
      <charset val="0"/>
    </font>
    <font>
      <sz val="10"/>
      <color indexed="30"/>
      <name val="Arial Narrow"/>
      <family val="2"/>
      <charset val="0"/>
    </font>
    <font>
      <sz val="10"/>
      <color indexed="17"/>
      <name val="Arial Narrow"/>
      <family val="2"/>
      <charset val="0"/>
    </font>
    <font>
      <sz val="11"/>
      <color theme="1"/>
      <name val="Calibri"/>
      <family val="2"/>
      <charset val="0"/>
      <scheme val="minor"/>
    </font>
    <font>
      <sz val="10"/>
      <color theme="1"/>
      <name val="Arial"/>
      <family val="2"/>
      <charset val="0"/>
    </font>
    <font>
      <sz val="10"/>
      <name val="Arial"/>
      <family val="2"/>
      <charset val="0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vertAlign val="superscript"/>
      <sz val="10"/>
      <name val="Arial Narrow"/>
      <family val="2"/>
      <charset val="0"/>
    </font>
    <font>
      <vertAlign val="subscript"/>
      <sz val="10"/>
      <name val="Arial Narrow"/>
      <family val="2"/>
      <charset val="0"/>
    </font>
    <font>
      <sz val="8"/>
      <name val="Tahoma"/>
      <charset val="0"/>
    </font>
  </fonts>
  <fills count="35">
    <fill>
      <patternFill patternType="none"/>
    </fill>
    <fill>
      <patternFill patternType="gray125"/>
    </fill>
    <fill>
      <patternFill patternType="solid">
        <fgColor indexed="6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176" fontId="0" fillId="0" borderId="0" applyFont="0" applyFill="0" applyBorder="0" applyAlignment="0" applyProtection="0"/>
    <xf numFmtId="177" fontId="9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/>
    <xf numFmtId="41" fontId="0" fillId="0" borderId="0" applyFont="0" applyFill="0" applyBorder="0" applyAlignment="0" applyProtection="0"/>
    <xf numFmtId="178" fontId="9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9" fillId="4" borderId="1" applyNumberFormat="0" applyFont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2" applyNumberFormat="0" applyFill="0" applyAlignment="0" applyProtection="0">
      <alignment vertical="center"/>
    </xf>
    <xf numFmtId="0" fontId="16" fillId="0" borderId="2" applyNumberFormat="0" applyFill="0" applyAlignment="0" applyProtection="0">
      <alignment vertical="center"/>
    </xf>
    <xf numFmtId="0" fontId="17" fillId="0" borderId="3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5" borderId="4" applyNumberFormat="0" applyAlignment="0" applyProtection="0">
      <alignment vertical="center"/>
    </xf>
    <xf numFmtId="0" fontId="19" fillId="6" borderId="5" applyNumberFormat="0" applyAlignment="0" applyProtection="0">
      <alignment vertical="center"/>
    </xf>
    <xf numFmtId="0" fontId="20" fillId="6" borderId="4" applyNumberFormat="0" applyAlignment="0" applyProtection="0">
      <alignment vertical="center"/>
    </xf>
    <xf numFmtId="0" fontId="21" fillId="7" borderId="6" applyNumberFormat="0" applyAlignment="0" applyProtection="0">
      <alignment vertical="center"/>
    </xf>
    <xf numFmtId="0" fontId="22" fillId="0" borderId="7" applyNumberFormat="0" applyFill="0" applyAlignment="0" applyProtection="0">
      <alignment vertical="center"/>
    </xf>
    <xf numFmtId="0" fontId="23" fillId="0" borderId="8" applyNumberFormat="0" applyFill="0" applyAlignment="0" applyProtection="0">
      <alignment vertical="center"/>
    </xf>
    <xf numFmtId="0" fontId="24" fillId="8" borderId="0" applyNumberFormat="0" applyBorder="0" applyAlignment="0" applyProtection="0">
      <alignment vertical="center"/>
    </xf>
    <xf numFmtId="0" fontId="25" fillId="9" borderId="0" applyNumberFormat="0" applyBorder="0" applyAlignment="0" applyProtection="0">
      <alignment vertical="center"/>
    </xf>
    <xf numFmtId="0" fontId="26" fillId="10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8" fillId="12" borderId="0" applyNumberFormat="0" applyBorder="0" applyAlignment="0" applyProtection="0">
      <alignment vertical="center"/>
    </xf>
    <xf numFmtId="0" fontId="28" fillId="13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8" fillId="16" borderId="0" applyNumberFormat="0" applyBorder="0" applyAlignment="0" applyProtection="0">
      <alignment vertical="center"/>
    </xf>
    <xf numFmtId="0" fontId="28" fillId="17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8" fillId="20" borderId="0" applyNumberFormat="0" applyBorder="0" applyAlignment="0" applyProtection="0">
      <alignment vertical="center"/>
    </xf>
    <xf numFmtId="0" fontId="28" fillId="21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8" fillId="24" borderId="0" applyNumberFormat="0" applyBorder="0" applyAlignment="0" applyProtection="0">
      <alignment vertical="center"/>
    </xf>
    <xf numFmtId="0" fontId="28" fillId="25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8" fillId="28" borderId="0" applyNumberFormat="0" applyBorder="0" applyAlignment="0" applyProtection="0">
      <alignment vertical="center"/>
    </xf>
    <xf numFmtId="0" fontId="28" fillId="29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8" fillId="32" borderId="0" applyNumberFormat="0" applyBorder="0" applyAlignment="0" applyProtection="0">
      <alignment vertical="center"/>
    </xf>
    <xf numFmtId="0" fontId="28" fillId="33" borderId="0" applyNumberFormat="0" applyBorder="0" applyAlignment="0" applyProtection="0">
      <alignment vertical="center"/>
    </xf>
    <xf numFmtId="0" fontId="27" fillId="34" borderId="0" applyNumberFormat="0" applyBorder="0" applyAlignment="0" applyProtection="0">
      <alignment vertical="center"/>
    </xf>
    <xf numFmtId="0" fontId="0" fillId="0" borderId="0"/>
  </cellStyleXfs>
  <cellXfs count="31">
    <xf numFmtId="0" fontId="0" fillId="0" borderId="0" xfId="0"/>
    <xf numFmtId="0" fontId="1" fillId="0" borderId="0" xfId="0" applyFont="1" applyFill="1" applyBorder="1" applyAlignment="1"/>
    <xf numFmtId="0" fontId="2" fillId="0" borderId="0" xfId="0" applyFont="1" applyFill="1" applyBorder="1" applyAlignment="1"/>
    <xf numFmtId="0" fontId="3" fillId="0" borderId="0" xfId="0" applyFont="1" applyFill="1" applyBorder="1" applyAlignment="1"/>
    <xf numFmtId="179" fontId="2" fillId="0" borderId="0" xfId="1" applyNumberFormat="1" applyFont="1" applyFill="1" applyBorder="1" applyAlignment="1" applyProtection="1"/>
    <xf numFmtId="0" fontId="3" fillId="0" borderId="0" xfId="0" applyFont="1" applyFill="1" applyBorder="1" applyAlignment="1">
      <alignment horizontal="right"/>
    </xf>
    <xf numFmtId="9" fontId="3" fillId="0" borderId="0" xfId="3" applyFont="1"/>
    <xf numFmtId="0" fontId="4" fillId="0" borderId="0" xfId="0" applyFont="1" applyFill="1" applyBorder="1" applyAlignment="1"/>
    <xf numFmtId="0" fontId="2" fillId="2" borderId="0" xfId="0" applyFont="1" applyFill="1" applyBorder="1" applyAlignment="1">
      <alignment horizontal="centerContinuous"/>
    </xf>
    <xf numFmtId="1" fontId="3" fillId="0" borderId="0" xfId="0" applyNumberFormat="1" applyFont="1" applyFill="1" applyBorder="1" applyAlignment="1">
      <alignment horizontal="center"/>
    </xf>
    <xf numFmtId="180" fontId="3" fillId="3" borderId="0" xfId="0" applyNumberFormat="1" applyFont="1" applyFill="1" applyBorder="1" applyAlignment="1">
      <alignment horizontal="center"/>
    </xf>
    <xf numFmtId="2" fontId="3" fillId="0" borderId="0" xfId="0" applyNumberFormat="1" applyFont="1" applyFill="1" applyBorder="1" applyAlignment="1">
      <alignment horizontal="center"/>
    </xf>
    <xf numFmtId="181" fontId="3" fillId="0" borderId="0" xfId="1" applyNumberFormat="1" applyFont="1" applyFill="1" applyBorder="1" applyAlignment="1" applyProtection="1">
      <alignment horizontal="center"/>
    </xf>
    <xf numFmtId="182" fontId="1" fillId="0" borderId="0" xfId="0" applyNumberFormat="1" applyFont="1" applyFill="1" applyBorder="1" applyAlignment="1"/>
    <xf numFmtId="183" fontId="5" fillId="0" borderId="0" xfId="1" applyNumberFormat="1" applyFont="1" applyFill="1" applyBorder="1" applyAlignment="1" applyProtection="1"/>
    <xf numFmtId="184" fontId="6" fillId="0" borderId="0" xfId="4" applyNumberFormat="1" applyFont="1" applyAlignment="1"/>
    <xf numFmtId="185" fontId="3" fillId="0" borderId="0" xfId="1" applyNumberFormat="1" applyFont="1" applyFill="1" applyBorder="1" applyAlignment="1" applyProtection="1"/>
    <xf numFmtId="0" fontId="6" fillId="0" borderId="0" xfId="49" applyFont="1" applyFill="1" applyBorder="1" applyAlignment="1"/>
    <xf numFmtId="0" fontId="7" fillId="0" borderId="0" xfId="0" applyFont="1" applyFill="1" applyBorder="1" applyAlignment="1"/>
    <xf numFmtId="182" fontId="7" fillId="0" borderId="0" xfId="0" applyNumberFormat="1" applyFont="1" applyFill="1" applyBorder="1" applyAlignment="1"/>
    <xf numFmtId="185" fontId="8" fillId="0" borderId="0" xfId="1" applyNumberFormat="1" applyFont="1" applyFill="1" applyBorder="1" applyAlignment="1" applyProtection="1"/>
    <xf numFmtId="186" fontId="5" fillId="0" borderId="0" xfId="1" applyNumberFormat="1" applyFont="1" applyFill="1" applyBorder="1" applyAlignment="1" applyProtection="1"/>
    <xf numFmtId="187" fontId="3" fillId="0" borderId="0" xfId="0" applyNumberFormat="1" applyFont="1" applyFill="1" applyBorder="1" applyAlignment="1"/>
    <xf numFmtId="180" fontId="3" fillId="0" borderId="0" xfId="0" applyNumberFormat="1" applyFont="1" applyFill="1" applyBorder="1" applyAlignment="1">
      <alignment horizontal="center"/>
    </xf>
    <xf numFmtId="188" fontId="3" fillId="0" borderId="0" xfId="0" applyNumberFormat="1" applyFont="1" applyFill="1" applyBorder="1" applyAlignment="1"/>
    <xf numFmtId="189" fontId="3" fillId="0" borderId="0" xfId="1" applyNumberFormat="1" applyFont="1" applyFill="1" applyBorder="1" applyAlignment="1" applyProtection="1"/>
    <xf numFmtId="190" fontId="1" fillId="0" borderId="0" xfId="0" applyNumberFormat="1" applyFont="1" applyFill="1" applyBorder="1" applyAlignment="1"/>
    <xf numFmtId="188" fontId="3" fillId="0" borderId="0" xfId="0" applyNumberFormat="1" applyFont="1" applyFill="1" applyBorder="1" applyAlignment="1">
      <alignment horizontal="center"/>
    </xf>
    <xf numFmtId="180" fontId="3" fillId="0" borderId="0" xfId="0" applyNumberFormat="1" applyFont="1" applyFill="1" applyBorder="1" applyAlignment="1"/>
    <xf numFmtId="1" fontId="3" fillId="0" borderId="0" xfId="0" applyNumberFormat="1" applyFont="1" applyFill="1" applyBorder="1" applyAlignment="1"/>
    <xf numFmtId="1" fontId="1" fillId="0" borderId="0" xfId="0" applyNumberFormat="1" applyFont="1" applyFill="1" applyBorder="1" applyAlignment="1"/>
  </cellXfs>
  <cellStyles count="50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2 2" xfId="4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\Aryax%20punya\2026\KKA%20VAB\Aplikasi\imbalan-pasca-kerja-app\data\file\sample%20psak\PSAK-Atribusi-UUCK-PT%20Eyecos%20Kosmetik%20Indonesia-31%20Des-2025.xls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Input"/>
      <sheetName val="UUCK"/>
      <sheetName val="multidcrmn"/>
      <sheetName val="Olah Data"/>
      <sheetName val="Data-EKI"/>
      <sheetName val="IBPA"/>
      <sheetName val="Hitungan"/>
      <sheetName val="Laporan"/>
      <sheetName val="maturity"/>
      <sheetName val="Data-Lap-Final"/>
      <sheetName val="OCI"/>
      <sheetName val="pesangon"/>
      <sheetName val="excess"/>
      <sheetName val="Interest+Gaji"/>
    </sheetNames>
    <sheetDataSet>
      <sheetData sheetId="0">
        <row r="7">
          <cell r="M7">
            <v>59</v>
          </cell>
        </row>
        <row r="10">
          <cell r="M10">
            <v>0.0662264367816092</v>
          </cell>
        </row>
        <row r="12">
          <cell r="M12">
            <v>0.05</v>
          </cell>
        </row>
        <row r="14">
          <cell r="M14">
            <v>0.05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X120"/>
  <sheetViews>
    <sheetView tabSelected="1" topLeftCell="A28" workbookViewId="0">
      <selection activeCell="C15" sqref="C15"/>
    </sheetView>
  </sheetViews>
  <sheetFormatPr defaultColWidth="8.88888888888889" defaultRowHeight="13.2"/>
  <cols>
    <col min="1" max="1" width="13.1111111111111" style="1"/>
    <col min="2" max="2" width="9.66666666666667" style="1"/>
    <col min="3" max="3" width="17.4444444444444" style="1" customWidth="1"/>
    <col min="4" max="4" width="17.6666666666667" style="1" customWidth="1"/>
    <col min="5" max="5" width="16.8888888888889" style="1" customWidth="1"/>
    <col min="6" max="6" width="19.5555555555556" style="1" customWidth="1"/>
    <col min="7" max="7" width="16.6666666666667" style="1" customWidth="1"/>
    <col min="8" max="8" width="15.8888888888889" style="1" customWidth="1"/>
    <col min="9" max="9" width="16" style="1" customWidth="1"/>
    <col min="10" max="10" width="11.1111111111111" style="1"/>
    <col min="11" max="11" width="13.3333333333333" style="1" customWidth="1"/>
    <col min="12" max="12" width="12" style="1"/>
    <col min="13" max="13" width="11" style="1"/>
    <col min="14" max="14" width="8.88888888888889" style="1"/>
    <col min="15" max="15" width="10.8888888888889" style="1"/>
    <col min="16" max="16" width="11.1111111111111" style="1"/>
    <col min="17" max="17" width="10.6666666666667" style="1"/>
    <col min="18" max="18" width="12" style="1"/>
    <col min="19" max="19" width="12.3333333333333" style="1"/>
    <col min="20" max="20" width="11.1111111111111" style="1"/>
    <col min="21" max="21" width="12.8888888888889" style="1"/>
    <col min="22" max="44" width="8.88888888888889" style="1"/>
    <col min="45" max="45" width="10.3333333333333" style="1"/>
    <col min="46" max="46" width="12.3333333333333" style="1"/>
    <col min="47" max="47" width="11.6666666666667" style="1"/>
    <col min="48" max="48" width="13.8888888888889" style="1"/>
    <col min="49" max="16384" width="8.88888888888889" style="1"/>
  </cols>
  <sheetData>
    <row r="1" s="1" customFormat="1" ht="13.8" spans="1:19">
      <c r="A1" s="2" t="s">
        <v>0</v>
      </c>
      <c r="B1" s="2"/>
      <c r="C1" s="2">
        <f>[1]Input!M7</f>
        <v>59</v>
      </c>
      <c r="D1" s="3" t="s">
        <v>1</v>
      </c>
      <c r="E1" s="3"/>
      <c r="F1" s="3"/>
      <c r="G1" s="3"/>
      <c r="H1" s="3">
        <v>1</v>
      </c>
      <c r="I1" s="22" t="str">
        <f>Y7</f>
        <v>CSO1941</v>
      </c>
      <c r="J1" s="3">
        <f t="shared" ref="J1:N1" si="0">H4+1</f>
        <v>5</v>
      </c>
      <c r="K1" s="22" t="str">
        <f>AC7</f>
        <v>GAT1983</v>
      </c>
      <c r="L1" s="3">
        <f t="shared" si="0"/>
        <v>9</v>
      </c>
      <c r="M1" s="22" t="str">
        <f>AG7</f>
        <v>DEFAULT</v>
      </c>
      <c r="N1" s="3">
        <f t="shared" si="0"/>
        <v>13</v>
      </c>
      <c r="O1" s="22" t="str">
        <f>AK7</f>
        <v>GAT1971ORS</v>
      </c>
      <c r="P1" s="3">
        <f>N4+1</f>
        <v>17</v>
      </c>
      <c r="Q1" s="22" t="str">
        <f>AO7</f>
        <v>SAT1937ORS</v>
      </c>
      <c r="R1" s="3">
        <f>P4+1</f>
        <v>21</v>
      </c>
      <c r="S1" s="24" t="str">
        <f>AS7</f>
        <v>GAM83MALE</v>
      </c>
    </row>
    <row r="2" s="1" customFormat="1" ht="13.8" spans="1:19">
      <c r="A2" s="2" t="s">
        <v>2</v>
      </c>
      <c r="B2" s="2"/>
      <c r="C2" s="4">
        <f>1/(1+[1]Input!M10)</f>
        <v>0.937887080551564</v>
      </c>
      <c r="D2" s="3"/>
      <c r="E2" s="3"/>
      <c r="F2" s="3"/>
      <c r="G2" s="3"/>
      <c r="H2" s="3">
        <f t="shared" ref="H2:L2" si="1">H1+1</f>
        <v>2</v>
      </c>
      <c r="I2" s="22" t="str">
        <f>Z7</f>
        <v>CSO1958</v>
      </c>
      <c r="J2" s="3">
        <f t="shared" si="1"/>
        <v>6</v>
      </c>
      <c r="K2" s="22" t="str">
        <f>AD7</f>
        <v>TMI1993</v>
      </c>
      <c r="L2" s="3">
        <f t="shared" si="1"/>
        <v>10</v>
      </c>
      <c r="M2" s="22" t="str">
        <f>AH7</f>
        <v>CSO1941ORS</v>
      </c>
      <c r="N2" s="3">
        <f t="shared" ref="N2:R2" si="2">N1+1</f>
        <v>14</v>
      </c>
      <c r="O2" s="22" t="str">
        <f>AL7</f>
        <v>GAT1983ORS</v>
      </c>
      <c r="P2" s="3">
        <f t="shared" si="2"/>
        <v>18</v>
      </c>
      <c r="Q2" s="24" t="str">
        <f>AP7</f>
        <v>TMI2MALE</v>
      </c>
      <c r="R2" s="3">
        <f t="shared" si="2"/>
        <v>22</v>
      </c>
      <c r="S2" s="24" t="str">
        <f>AT7</f>
        <v>GAM83FEMALE</v>
      </c>
    </row>
    <row r="3" s="1" customFormat="1" ht="17.4" spans="1:18">
      <c r="A3" s="2" t="s">
        <v>3</v>
      </c>
      <c r="B3" s="2"/>
      <c r="C3" s="4">
        <f>1+[1]Input!M12</f>
        <v>1.05</v>
      </c>
      <c r="D3" s="5" t="s">
        <v>4</v>
      </c>
      <c r="E3" s="6">
        <f>[1]Input!M14</f>
        <v>0.05</v>
      </c>
      <c r="F3" s="3"/>
      <c r="G3" s="3"/>
      <c r="H3" s="3">
        <f t="shared" ref="H3:L3" si="3">H2+1</f>
        <v>3</v>
      </c>
      <c r="I3" s="22" t="str">
        <f>AA7</f>
        <v>CSO 80</v>
      </c>
      <c r="J3" s="3">
        <f t="shared" si="3"/>
        <v>7</v>
      </c>
      <c r="K3" s="22" t="str">
        <f>AE7</f>
        <v>TMI2000</v>
      </c>
      <c r="L3" s="3">
        <f t="shared" si="3"/>
        <v>11</v>
      </c>
      <c r="M3" s="22" t="str">
        <f>AI7</f>
        <v>CSO1958ORS</v>
      </c>
      <c r="N3" s="3">
        <f>N2+1</f>
        <v>15</v>
      </c>
      <c r="O3" s="22" t="str">
        <f>AM7</f>
        <v>TMI1993ORS</v>
      </c>
      <c r="P3" s="3">
        <f>P2+1</f>
        <v>19</v>
      </c>
      <c r="Q3" s="24" t="str">
        <f>AQ7</f>
        <v>TMI2-1999</v>
      </c>
      <c r="R3" s="3"/>
    </row>
    <row r="4" s="1" customFormat="1" ht="13.8" spans="1:18">
      <c r="A4" s="2" t="s">
        <v>5</v>
      </c>
      <c r="B4" s="2"/>
      <c r="C4" s="3">
        <v>23</v>
      </c>
      <c r="D4" s="7" t="str">
        <f>IF(HLOOKUP(C4+1,X6:AV7,2)="TMI2MALE","TMI II M",HLOOKUP(C4+1,X6:AV7,2))</f>
        <v>TMI III MALE</v>
      </c>
      <c r="E4" s="3"/>
      <c r="F4" s="3"/>
      <c r="G4" s="3"/>
      <c r="H4" s="3">
        <f t="shared" ref="H4:L4" si="4">H3+1</f>
        <v>4</v>
      </c>
      <c r="I4" s="22" t="str">
        <f>AB7</f>
        <v>GAT1971</v>
      </c>
      <c r="J4" s="3">
        <f t="shared" si="4"/>
        <v>8</v>
      </c>
      <c r="K4" s="22" t="str">
        <f>AF7</f>
        <v>SAT1937</v>
      </c>
      <c r="L4" s="3">
        <f t="shared" si="4"/>
        <v>12</v>
      </c>
      <c r="M4" s="22" t="str">
        <f>AJ7</f>
        <v>CSO1980ORS</v>
      </c>
      <c r="N4" s="3">
        <f>N3+1</f>
        <v>16</v>
      </c>
      <c r="O4" s="22" t="str">
        <f>AN7</f>
        <v>TMI2000ORS</v>
      </c>
      <c r="P4" s="3">
        <f>P3+1</f>
        <v>20</v>
      </c>
      <c r="Q4" s="24" t="str">
        <f>AR7</f>
        <v>TMI2FEMALE</v>
      </c>
      <c r="R4" s="3"/>
    </row>
    <row r="5" s="1" customFormat="1" ht="13.8" spans="1:18">
      <c r="A5" s="2"/>
      <c r="B5" s="8" t="s">
        <v>6</v>
      </c>
      <c r="C5" s="8"/>
      <c r="D5" s="8"/>
      <c r="E5" s="8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</row>
    <row r="6" s="1" customFormat="1" ht="17.4" spans="1:48">
      <c r="A6" s="9" t="s">
        <v>7</v>
      </c>
      <c r="B6" s="10" t="s">
        <v>8</v>
      </c>
      <c r="C6" s="10" t="s">
        <v>9</v>
      </c>
      <c r="D6" s="10" t="s">
        <v>10</v>
      </c>
      <c r="E6" s="10" t="s">
        <v>11</v>
      </c>
      <c r="F6" s="11" t="s">
        <v>12</v>
      </c>
      <c r="G6" s="11" t="s">
        <v>13</v>
      </c>
      <c r="H6" s="11" t="s">
        <v>14</v>
      </c>
      <c r="I6" s="11" t="s">
        <v>15</v>
      </c>
      <c r="J6" s="11" t="s">
        <v>16</v>
      </c>
      <c r="K6" s="23" t="s">
        <v>17</v>
      </c>
      <c r="L6" s="23" t="s">
        <v>18</v>
      </c>
      <c r="M6" s="23" t="s">
        <v>19</v>
      </c>
      <c r="N6" s="23" t="s">
        <v>20</v>
      </c>
      <c r="O6" s="23" t="s">
        <v>21</v>
      </c>
      <c r="P6" s="23" t="s">
        <v>22</v>
      </c>
      <c r="Q6" s="23" t="s">
        <v>23</v>
      </c>
      <c r="R6" s="23" t="s">
        <v>24</v>
      </c>
      <c r="S6" s="23" t="s">
        <v>25</v>
      </c>
      <c r="T6" s="23" t="s">
        <v>26</v>
      </c>
      <c r="U6" s="23" t="s">
        <v>27</v>
      </c>
      <c r="V6" s="23" t="s">
        <v>28</v>
      </c>
      <c r="W6" s="23"/>
      <c r="X6" s="9">
        <v>1</v>
      </c>
      <c r="Y6" s="9">
        <f t="shared" ref="Y6:AV6" si="5">+X6+1</f>
        <v>2</v>
      </c>
      <c r="Z6" s="9">
        <f t="shared" si="5"/>
        <v>3</v>
      </c>
      <c r="AA6" s="9">
        <f t="shared" si="5"/>
        <v>4</v>
      </c>
      <c r="AB6" s="9">
        <f t="shared" si="5"/>
        <v>5</v>
      </c>
      <c r="AC6" s="9">
        <f t="shared" si="5"/>
        <v>6</v>
      </c>
      <c r="AD6" s="9">
        <f t="shared" si="5"/>
        <v>7</v>
      </c>
      <c r="AE6" s="9">
        <f t="shared" si="5"/>
        <v>8</v>
      </c>
      <c r="AF6" s="9">
        <f t="shared" si="5"/>
        <v>9</v>
      </c>
      <c r="AG6" s="9">
        <f t="shared" si="5"/>
        <v>10</v>
      </c>
      <c r="AH6" s="9">
        <f t="shared" si="5"/>
        <v>11</v>
      </c>
      <c r="AI6" s="9">
        <f t="shared" si="5"/>
        <v>12</v>
      </c>
      <c r="AJ6" s="9">
        <f t="shared" si="5"/>
        <v>13</v>
      </c>
      <c r="AK6" s="9">
        <f t="shared" si="5"/>
        <v>14</v>
      </c>
      <c r="AL6" s="9">
        <f t="shared" si="5"/>
        <v>15</v>
      </c>
      <c r="AM6" s="9">
        <f t="shared" si="5"/>
        <v>16</v>
      </c>
      <c r="AN6" s="9">
        <f t="shared" si="5"/>
        <v>17</v>
      </c>
      <c r="AO6" s="9">
        <f t="shared" si="5"/>
        <v>18</v>
      </c>
      <c r="AP6" s="9">
        <f t="shared" si="5"/>
        <v>19</v>
      </c>
      <c r="AQ6" s="9">
        <f t="shared" si="5"/>
        <v>20</v>
      </c>
      <c r="AR6" s="9">
        <f t="shared" si="5"/>
        <v>21</v>
      </c>
      <c r="AS6" s="9">
        <f t="shared" si="5"/>
        <v>22</v>
      </c>
      <c r="AT6" s="9">
        <f t="shared" si="5"/>
        <v>23</v>
      </c>
      <c r="AU6" s="9">
        <f t="shared" si="5"/>
        <v>24</v>
      </c>
      <c r="AV6" s="9">
        <f t="shared" si="5"/>
        <v>25</v>
      </c>
    </row>
    <row r="7" s="1" customFormat="1" ht="13.8" spans="1:48">
      <c r="A7" s="9">
        <v>1</v>
      </c>
      <c r="B7" s="9">
        <f t="shared" ref="B7:V7" si="6">+A7+1</f>
        <v>2</v>
      </c>
      <c r="C7" s="9">
        <f t="shared" si="6"/>
        <v>3</v>
      </c>
      <c r="D7" s="9">
        <f t="shared" si="6"/>
        <v>4</v>
      </c>
      <c r="E7" s="9">
        <f t="shared" si="6"/>
        <v>5</v>
      </c>
      <c r="F7" s="9">
        <f t="shared" si="6"/>
        <v>6</v>
      </c>
      <c r="G7" s="9">
        <f t="shared" si="6"/>
        <v>7</v>
      </c>
      <c r="H7" s="9">
        <f t="shared" si="6"/>
        <v>8</v>
      </c>
      <c r="I7" s="9">
        <f t="shared" si="6"/>
        <v>9</v>
      </c>
      <c r="J7" s="9">
        <f t="shared" si="6"/>
        <v>10</v>
      </c>
      <c r="K7" s="9">
        <f t="shared" si="6"/>
        <v>11</v>
      </c>
      <c r="L7" s="9">
        <f t="shared" si="6"/>
        <v>12</v>
      </c>
      <c r="M7" s="9">
        <f t="shared" si="6"/>
        <v>13</v>
      </c>
      <c r="N7" s="9">
        <f t="shared" si="6"/>
        <v>14</v>
      </c>
      <c r="O7" s="9">
        <f t="shared" si="6"/>
        <v>15</v>
      </c>
      <c r="P7" s="9">
        <f t="shared" si="6"/>
        <v>16</v>
      </c>
      <c r="Q7" s="9">
        <f t="shared" si="6"/>
        <v>17</v>
      </c>
      <c r="R7" s="9">
        <f t="shared" si="6"/>
        <v>18</v>
      </c>
      <c r="S7" s="9">
        <f t="shared" si="6"/>
        <v>19</v>
      </c>
      <c r="T7" s="9">
        <f t="shared" si="6"/>
        <v>20</v>
      </c>
      <c r="U7" s="9">
        <f t="shared" si="6"/>
        <v>21</v>
      </c>
      <c r="V7" s="9">
        <f t="shared" si="6"/>
        <v>22</v>
      </c>
      <c r="X7" s="9" t="s">
        <v>29</v>
      </c>
      <c r="Y7" s="22" t="s">
        <v>30</v>
      </c>
      <c r="Z7" s="22" t="s">
        <v>31</v>
      </c>
      <c r="AA7" s="22" t="s">
        <v>32</v>
      </c>
      <c r="AB7" s="22" t="s">
        <v>33</v>
      </c>
      <c r="AC7" s="22" t="s">
        <v>34</v>
      </c>
      <c r="AD7" s="22" t="s">
        <v>35</v>
      </c>
      <c r="AE7" s="22" t="s">
        <v>36</v>
      </c>
      <c r="AF7" s="22" t="s">
        <v>37</v>
      </c>
      <c r="AG7" s="22" t="s">
        <v>38</v>
      </c>
      <c r="AH7" s="22" t="s">
        <v>39</v>
      </c>
      <c r="AI7" s="22" t="s">
        <v>40</v>
      </c>
      <c r="AJ7" s="22" t="s">
        <v>41</v>
      </c>
      <c r="AK7" s="22" t="s">
        <v>42</v>
      </c>
      <c r="AL7" s="22" t="s">
        <v>43</v>
      </c>
      <c r="AM7" s="22" t="s">
        <v>44</v>
      </c>
      <c r="AN7" s="22" t="s">
        <v>45</v>
      </c>
      <c r="AO7" s="22" t="s">
        <v>46</v>
      </c>
      <c r="AP7" s="27" t="s">
        <v>47</v>
      </c>
      <c r="AQ7" s="27" t="s">
        <v>48</v>
      </c>
      <c r="AR7" s="27" t="s">
        <v>49</v>
      </c>
      <c r="AS7" s="27" t="s">
        <v>50</v>
      </c>
      <c r="AT7" s="27" t="s">
        <v>51</v>
      </c>
      <c r="AU7" s="27" t="s">
        <v>52</v>
      </c>
      <c r="AV7" s="27" t="s">
        <v>53</v>
      </c>
    </row>
    <row r="8" s="1" customFormat="1" ht="14.4" spans="1:48">
      <c r="A8" s="12">
        <v>13</v>
      </c>
      <c r="B8" s="13">
        <v>0.0002</v>
      </c>
      <c r="C8" s="14">
        <f>$E$3*B8</f>
        <v>1e-5</v>
      </c>
      <c r="D8" s="15"/>
      <c r="E8" s="14">
        <f>IF(A8=$C$1,1,0)</f>
        <v>0</v>
      </c>
      <c r="F8" s="16">
        <v>10000000</v>
      </c>
      <c r="G8" s="16">
        <f>ROUND(IF($A8&gt;=$C$1,0,+$F8*(1-0.5*C8)*(1-0.5*D8)*(1-0.5*E8)*B8),12)</f>
        <v>1999.99</v>
      </c>
      <c r="H8" s="16">
        <f>ROUND(IF($A8&gt;=$C$1,0,+$F8*(1-0.5*B8)*(1-0.5*D8)*(1-0.5*E8)*C8),12)</f>
        <v>99.99</v>
      </c>
      <c r="I8" s="16">
        <f>ROUND(IF($A8&gt;=$C$1,0,+$F8*(1-0.5*B8)*(1-0.5*C8)*(1-0.5*E8)*D8),12)</f>
        <v>0</v>
      </c>
      <c r="J8" s="16">
        <f>ROUND(IF($A8&gt;$C$1,0,+$F8*(1-0.5*B8)*(1-0.5*C8)*(1-0.5*D8)*E8),12)</f>
        <v>0</v>
      </c>
      <c r="K8" s="16">
        <f>IF(A8&gt;$C$1,0,+F8*$C$2^A8*$C$3^A8)</f>
        <v>8192530.8040046</v>
      </c>
      <c r="L8" s="16">
        <f>IF(A8=$C$1,+J8*$C$2^(A8)*$C$3^A8,+J8*$C$2^(A8+0.5)*$C$3^A8)</f>
        <v>0</v>
      </c>
      <c r="M8" s="16">
        <f>+G8*$C$2^(A8+0.5)*$C$3^A8</f>
        <v>1586.79631750034</v>
      </c>
      <c r="N8" s="16">
        <f>+H8*$C$2^(A8+0.5)*$C$3^A8</f>
        <v>79.3322785548224</v>
      </c>
      <c r="O8" s="16">
        <f>+I8*$C$2^(A8+0.5)*$C$3^A8</f>
        <v>0</v>
      </c>
      <c r="P8" s="16">
        <f>+SUM(M8:$M$60)</f>
        <v>221402.092690914</v>
      </c>
      <c r="Q8" s="16">
        <f>+SUM(N8:$N$60)</f>
        <v>11048.5521333663</v>
      </c>
      <c r="R8" s="16">
        <f>+SUM(O8:$O$60)</f>
        <v>3960254.80823469</v>
      </c>
      <c r="S8" s="16">
        <f>+SUM(P8:$P$60)</f>
        <v>6776038.01067111</v>
      </c>
      <c r="T8" s="16">
        <f>+SUM(Q8:$Q$60)</f>
        <v>337947.388611303</v>
      </c>
      <c r="U8" s="16">
        <f>+SUM(R8:$R$60)</f>
        <v>64871344.1599154</v>
      </c>
      <c r="V8" s="25">
        <f>IF(A8&gt;$C$1,0,IF($C$1=55,$F$50,IF($C$1=56,$F$51,IF($C$1=60,$F$55,IF($C$1=65,$F$60,0))))/F8)</f>
        <v>0</v>
      </c>
      <c r="W8" s="25"/>
      <c r="AA8" s="22" t="s">
        <v>54</v>
      </c>
      <c r="AU8" s="27" t="s">
        <v>55</v>
      </c>
      <c r="AV8" s="27" t="s">
        <v>56</v>
      </c>
    </row>
    <row r="9" s="1" customFormat="1" ht="14.4" spans="1:50">
      <c r="A9" s="12">
        <v>14</v>
      </c>
      <c r="B9" s="1">
        <v>0.00023</v>
      </c>
      <c r="C9" s="14">
        <f>$E$3*B9</f>
        <v>1.15e-5</v>
      </c>
      <c r="D9" s="15"/>
      <c r="E9" s="14">
        <f>IF(A9=$C$1,1,0)</f>
        <v>0</v>
      </c>
      <c r="F9" s="16">
        <f t="shared" ref="F9:F60" si="7">+F8-G8-H8-I8-J8</f>
        <v>9997900.02</v>
      </c>
      <c r="G9" s="16">
        <f>ROUND(IF($A9&gt;=$C$1,0,+$F9*(1-0.5*C9)*(1-0.5*D9)*(1-0.5*E9)*B9),12)</f>
        <v>2299.50378237722</v>
      </c>
      <c r="H9" s="16">
        <f>ROUND(IF($A9&gt;=$C$1,0,+$F9*(1-0.5*B9)*(1-0.5*D9)*(1-0.5*E9)*C9),12)</f>
        <v>114.962628007224</v>
      </c>
      <c r="I9" s="16">
        <f>ROUND(IF($A9&gt;=$C$1,0,+$F9*(1-0.5*B9)*(1-0.5*C9)*(1-0.5*E9)*D9),12)</f>
        <v>0</v>
      </c>
      <c r="J9" s="16">
        <f>ROUND(IF($A9&gt;$C$1,0,+$F9*(1-0.5*B9)*(1-0.5*C9)*(1-0.5*D9)*E9),12)</f>
        <v>0</v>
      </c>
      <c r="K9" s="16">
        <f>IF(A9&gt;$C$1,0,+F9*$C$2^A9*$C$3^A9)</f>
        <v>8066158.00516719</v>
      </c>
      <c r="L9" s="16">
        <f>IF(A9=$C$1,+J9*$C$2^(A9)*$C$3^A9,+J9*$C$2^(A9+0.5)*$C$3^A9)</f>
        <v>0</v>
      </c>
      <c r="M9" s="16">
        <f>+G9*$C$2^(A9+0.5)*$C$3^A9</f>
        <v>1796.66596372541</v>
      </c>
      <c r="N9" s="16">
        <f>+H9*$C$2^(A9+0.5)*$C$3^A9</f>
        <v>89.8234838420117</v>
      </c>
      <c r="O9" s="16">
        <f>+I9*$C$2^(A9+0.5)*$C$3^A9</f>
        <v>0</v>
      </c>
      <c r="P9" s="16">
        <f>+SUM(M9:$M$60)</f>
        <v>219815.296373413</v>
      </c>
      <c r="Q9" s="16">
        <f>+SUM(N9:$N$60)</f>
        <v>10969.2198548114</v>
      </c>
      <c r="R9" s="16">
        <f>+SUM(O9:$O$60)</f>
        <v>3960254.80823469</v>
      </c>
      <c r="S9" s="16">
        <f>+SUM(P9:$P$60)</f>
        <v>6554635.91798019</v>
      </c>
      <c r="T9" s="16">
        <f>+SUM(Q9:$Q$60)</f>
        <v>326898.836477937</v>
      </c>
      <c r="U9" s="16">
        <f>+SUM(R9:$R$60)</f>
        <v>60911089.3516807</v>
      </c>
      <c r="V9" s="25">
        <f>IF(A9&gt;$C$1,0,IF($C$1=55,$F$50,IF($C$1=56,$F$51,IF($C$1=60,$F$55,IF($C$1=65,$F$60,0))))/F9)</f>
        <v>0</v>
      </c>
      <c r="W9" s="25"/>
      <c r="X9" s="9">
        <v>0</v>
      </c>
      <c r="Y9" s="22">
        <v>0.02258</v>
      </c>
      <c r="Z9" s="22">
        <v>0.00708</v>
      </c>
      <c r="AA9" s="22">
        <v>0.00418</v>
      </c>
      <c r="AB9" s="22">
        <v>0.042188</v>
      </c>
      <c r="AC9" s="22">
        <v>0.03181</v>
      </c>
      <c r="AD9" s="22">
        <v>0.03223</v>
      </c>
      <c r="AE9" s="22">
        <v>0.00321</v>
      </c>
      <c r="AF9" s="22">
        <v>0.00123</v>
      </c>
      <c r="AG9" s="22">
        <v>0.00321</v>
      </c>
      <c r="AH9" s="22">
        <v>0.02258</v>
      </c>
      <c r="AI9" s="22">
        <v>0.00708</v>
      </c>
      <c r="AJ9" s="22">
        <v>0.00418</v>
      </c>
      <c r="AK9" s="22">
        <v>0.042188</v>
      </c>
      <c r="AL9" s="22">
        <v>0.03181</v>
      </c>
      <c r="AM9" s="22">
        <v>0.03223</v>
      </c>
      <c r="AN9" s="22">
        <v>0.00321</v>
      </c>
      <c r="AO9" s="22">
        <v>0.00123</v>
      </c>
      <c r="AP9" s="28">
        <v>0.00321</v>
      </c>
      <c r="AQ9" s="28">
        <f t="shared" ref="AQ9:AQ72" si="8">(AP9+AR9)/2</f>
        <v>0.002805</v>
      </c>
      <c r="AR9" s="28">
        <v>0.0024</v>
      </c>
      <c r="AS9" s="28">
        <v>0.000516</v>
      </c>
      <c r="AT9" s="28">
        <v>0.000258</v>
      </c>
      <c r="AU9" s="28">
        <v>0.00802</v>
      </c>
      <c r="AV9" s="28">
        <v>0.0037</v>
      </c>
      <c r="AX9" s="29">
        <v>0</v>
      </c>
    </row>
    <row r="10" s="1" customFormat="1" ht="14.4" spans="1:50">
      <c r="A10" s="12">
        <v>15</v>
      </c>
      <c r="B10" s="1">
        <v>0.00027</v>
      </c>
      <c r="C10" s="14">
        <f>$E$3*B10</f>
        <v>1.35e-5</v>
      </c>
      <c r="D10" s="17"/>
      <c r="E10" s="14">
        <f>IF(A10=$C$1,1,0)</f>
        <v>0</v>
      </c>
      <c r="F10" s="16">
        <f t="shared" si="7"/>
        <v>9995485.55358962</v>
      </c>
      <c r="G10" s="16">
        <f>ROUND(IF($A10&gt;=$C$1,0,+$F10*(1-0.5*C10)*(1-0.5*D10)*(1-0.5*E10)*B10),12)</f>
        <v>2698.76288269677</v>
      </c>
      <c r="H10" s="16">
        <f>ROUND(IF($A10&gt;=$C$1,0,+$F10*(1-0.5*B10)*(1-0.5*D10)*(1-0.5*E10)*C10),12)</f>
        <v>134.920838201038</v>
      </c>
      <c r="I10" s="16">
        <f>ROUND(IF($A10&gt;=$C$1,0,+$F10*(1-0.5*B10)*(1-0.5*C10)*(1-0.5*E10)*D10),12)</f>
        <v>0</v>
      </c>
      <c r="J10" s="16">
        <f>ROUND(IF($A10&gt;$C$1,0,+$F10*(1-0.5*B10)*(1-0.5*C10)*(1-0.5*D10)*E10),12)</f>
        <v>0</v>
      </c>
      <c r="K10" s="16">
        <f>IF(A10&gt;$C$1,0,+F10*$C$2^A10*$C$3^A10)</f>
        <v>7941484.34114045</v>
      </c>
      <c r="L10" s="16">
        <f>IF(A10=$C$1,+J10*$C$2^(A10)*$C$3^A10,+J10*$C$2^(A10+0.5)*$C$3^A10)</f>
        <v>0</v>
      </c>
      <c r="M10" s="16">
        <f>+G10*$C$2^(A10+0.5)*$C$3^A10</f>
        <v>2076.52800844644</v>
      </c>
      <c r="N10" s="16">
        <f>+H10*$C$2^(A10+0.5)*$C$3^A10</f>
        <v>103.813084596586</v>
      </c>
      <c r="O10" s="16">
        <f>+I10*$C$2^(A10+0.5)*$C$3^A10</f>
        <v>0</v>
      </c>
      <c r="P10" s="16">
        <f>+SUM(M10:$M$60)</f>
        <v>218018.630409688</v>
      </c>
      <c r="Q10" s="16">
        <f>+SUM(N10:$N$60)</f>
        <v>10879.3963709694</v>
      </c>
      <c r="R10" s="16">
        <f>+SUM(O10:$O$60)</f>
        <v>3960254.80823469</v>
      </c>
      <c r="S10" s="16">
        <f>+SUM(P10:$P$60)</f>
        <v>6334820.62160678</v>
      </c>
      <c r="T10" s="16">
        <f>+SUM(Q10:$Q$60)</f>
        <v>315929.616623125</v>
      </c>
      <c r="U10" s="16">
        <f>+SUM(R10:$R$60)</f>
        <v>56950834.543446</v>
      </c>
      <c r="V10" s="25">
        <f>IF(A10&gt;$C$1,0,IF($C$1=55,$F$50,IF($C$1=56,$F$51,IF($C$1=60,$F$55,IF($C$1=65,$F$60,0))))/F10)</f>
        <v>0</v>
      </c>
      <c r="W10" s="25"/>
      <c r="X10" s="9">
        <f t="shared" ref="X10:X73" si="9">X9+1</f>
        <v>1</v>
      </c>
      <c r="Y10" s="22">
        <v>0.00577</v>
      </c>
      <c r="Z10" s="22">
        <v>0.00176</v>
      </c>
      <c r="AA10" s="22">
        <v>0.00107</v>
      </c>
      <c r="AB10" s="22">
        <v>0.00165</v>
      </c>
      <c r="AC10" s="22">
        <v>0.001244</v>
      </c>
      <c r="AD10" s="22">
        <v>0.00364</v>
      </c>
      <c r="AE10" s="22">
        <v>0.00082</v>
      </c>
      <c r="AF10" s="22">
        <v>0.001221</v>
      </c>
      <c r="AG10" s="22">
        <v>0.00082</v>
      </c>
      <c r="AH10" s="22">
        <v>0.00577</v>
      </c>
      <c r="AI10" s="22">
        <v>0.00176</v>
      </c>
      <c r="AJ10" s="22">
        <v>0.00107</v>
      </c>
      <c r="AK10" s="22">
        <v>0.00165</v>
      </c>
      <c r="AL10" s="22">
        <v>0.001244</v>
      </c>
      <c r="AM10" s="22">
        <v>0.00364</v>
      </c>
      <c r="AN10" s="22">
        <v>0.00082</v>
      </c>
      <c r="AO10" s="22">
        <v>0.001221</v>
      </c>
      <c r="AP10" s="28">
        <v>0.00082</v>
      </c>
      <c r="AQ10" s="28">
        <f t="shared" si="8"/>
        <v>0.00077</v>
      </c>
      <c r="AR10" s="28">
        <v>0.00072</v>
      </c>
      <c r="AS10" s="28">
        <v>0.000484</v>
      </c>
      <c r="AT10" s="28">
        <v>0.000242</v>
      </c>
      <c r="AU10" s="28">
        <v>0.00079</v>
      </c>
      <c r="AV10" s="28">
        <v>0.00056</v>
      </c>
      <c r="AX10" s="30">
        <f t="shared" ref="AX10:AX73" si="10">1+AX9</f>
        <v>1</v>
      </c>
    </row>
    <row r="11" s="1" customFormat="1" ht="14.4" spans="1:50">
      <c r="A11" s="12">
        <v>16</v>
      </c>
      <c r="B11" s="1">
        <v>0.00031</v>
      </c>
      <c r="C11" s="14">
        <f>$E$3*B11</f>
        <v>1.55e-5</v>
      </c>
      <c r="D11" s="17"/>
      <c r="E11" s="14">
        <f>IF(A11=$C$1,1,0)</f>
        <v>0</v>
      </c>
      <c r="F11" s="16">
        <f t="shared" si="7"/>
        <v>9992651.86986872</v>
      </c>
      <c r="G11" s="16">
        <f>ROUND(IF($A11&gt;=$C$1,0,+$F11*(1-0.5*C11)*(1-0.5*D11)*(1-0.5*E11)*B11),12)</f>
        <v>3097.69807231319</v>
      </c>
      <c r="H11" s="16">
        <f>ROUND(IF($A11&gt;=$C$1,0,+$F11*(1-0.5*B11)*(1-0.5*D11)*(1-0.5*E11)*C11),12)</f>
        <v>154.862096636848</v>
      </c>
      <c r="I11" s="16">
        <f>ROUND(IF($A11&gt;=$C$1,0,+$F11*(1-0.5*B11)*(1-0.5*C11)*(1-0.5*E11)*D11),12)</f>
        <v>0</v>
      </c>
      <c r="J11" s="16">
        <f>ROUND(IF($A11&gt;$C$1,0,+$F11*(1-0.5*B11)*(1-0.5*C11)*(1-0.5*D11)*E11),12)</f>
        <v>0</v>
      </c>
      <c r="K11" s="16">
        <f>IF(A11&gt;$C$1,0,+F11*$C$2^A11*$C$3^A11)</f>
        <v>7818409.22309426</v>
      </c>
      <c r="L11" s="16">
        <f>IF(A11=$C$1,+J11*$C$2^(A11)*$C$3^A11,+J11*$C$2^(A11+0.5)*$C$3^A11)</f>
        <v>0</v>
      </c>
      <c r="M11" s="16">
        <f>+G11*$C$2^(A11+0.5)*$C$3^A11</f>
        <v>2347.21030318024</v>
      </c>
      <c r="N11" s="16">
        <f>+H11*$C$2^(A11+0.5)*$C$3^A11</f>
        <v>117.343233689224</v>
      </c>
      <c r="O11" s="16">
        <f>+I11*$C$2^(A11+0.5)*$C$3^A11</f>
        <v>0</v>
      </c>
      <c r="P11" s="16">
        <f>+SUM(M11:$M$60)</f>
        <v>215942.102401241</v>
      </c>
      <c r="Q11" s="16">
        <f>+SUM(N11:$N$60)</f>
        <v>10775.5832863728</v>
      </c>
      <c r="R11" s="16">
        <f>+SUM(O11:$O$60)</f>
        <v>3960254.80823469</v>
      </c>
      <c r="S11" s="16">
        <f>+SUM(P11:$P$60)</f>
        <v>6116801.99119709</v>
      </c>
      <c r="T11" s="16">
        <f>+SUM(Q11:$Q$60)</f>
        <v>305050.220252156</v>
      </c>
      <c r="U11" s="16">
        <f>+SUM(R11:$R$60)</f>
        <v>52990579.7352113</v>
      </c>
      <c r="V11" s="25">
        <f>IF(A11&gt;$C$1,0,IF($C$1=55,$F$50,IF($C$1=56,$F$51,IF($C$1=60,$F$55,IF($C$1=65,$F$60,0))))/F11)</f>
        <v>0</v>
      </c>
      <c r="W11" s="25"/>
      <c r="X11" s="9">
        <f t="shared" si="9"/>
        <v>2</v>
      </c>
      <c r="Y11" s="22">
        <v>0.00414</v>
      </c>
      <c r="Z11" s="22">
        <v>0.00152</v>
      </c>
      <c r="AA11" s="22">
        <v>0.00099</v>
      </c>
      <c r="AB11" s="22">
        <v>0.000926</v>
      </c>
      <c r="AC11" s="22">
        <v>0.000698</v>
      </c>
      <c r="AD11" s="22">
        <v>0.00262</v>
      </c>
      <c r="AE11" s="22">
        <v>0.00076</v>
      </c>
      <c r="AF11" s="22">
        <v>0.001211</v>
      </c>
      <c r="AG11" s="22">
        <v>0.00076</v>
      </c>
      <c r="AH11" s="22">
        <v>0.00414</v>
      </c>
      <c r="AI11" s="22">
        <v>0.00152</v>
      </c>
      <c r="AJ11" s="22">
        <v>0.00099</v>
      </c>
      <c r="AK11" s="22">
        <v>0.000926</v>
      </c>
      <c r="AL11" s="22">
        <v>0.000698</v>
      </c>
      <c r="AM11" s="22">
        <v>0.00262</v>
      </c>
      <c r="AN11" s="22">
        <v>0.00076</v>
      </c>
      <c r="AO11" s="22">
        <v>0.001211</v>
      </c>
      <c r="AP11" s="28">
        <v>0.00076</v>
      </c>
      <c r="AQ11" s="28">
        <f t="shared" si="8"/>
        <v>0.000715</v>
      </c>
      <c r="AR11" s="28">
        <v>0.00067</v>
      </c>
      <c r="AS11" s="28">
        <v>0.000452</v>
      </c>
      <c r="AT11" s="28">
        <v>0.000226</v>
      </c>
      <c r="AU11" s="28">
        <v>0.00063</v>
      </c>
      <c r="AV11" s="28">
        <v>0.00042</v>
      </c>
      <c r="AX11" s="30">
        <f t="shared" si="10"/>
        <v>2</v>
      </c>
    </row>
    <row r="12" s="1" customFormat="1" ht="14.4" spans="1:50">
      <c r="A12" s="12">
        <v>17</v>
      </c>
      <c r="B12" s="1">
        <v>0.00037</v>
      </c>
      <c r="C12" s="14">
        <f>$E$3*B12</f>
        <v>1.85e-5</v>
      </c>
      <c r="D12" s="17"/>
      <c r="E12" s="14">
        <f>IF(A12=$C$1,1,0)</f>
        <v>0</v>
      </c>
      <c r="F12" s="16">
        <f t="shared" si="7"/>
        <v>9989399.30969977</v>
      </c>
      <c r="G12" s="16">
        <f>ROUND(IF($A12&gt;=$C$1,0,+$F12*(1-0.5*C12)*(1-0.5*D12)*(1-0.5*E12)*B12),12)</f>
        <v>3696.04355586978</v>
      </c>
      <c r="H12" s="16">
        <f>ROUND(IF($A12&gt;=$C$1,0,+$F12*(1-0.5*B12)*(1-0.5*D12)*(1-0.5*E12)*C12),12)</f>
        <v>184.769698510308</v>
      </c>
      <c r="I12" s="16">
        <f>ROUND(IF($A12&gt;=$C$1,0,+$F12*(1-0.5*B12)*(1-0.5*C12)*(1-0.5*E12)*D12),12)</f>
        <v>0</v>
      </c>
      <c r="J12" s="16">
        <f>ROUND(IF($A12&gt;$C$1,0,+$F12*(1-0.5*B12)*(1-0.5*C12)*(1-0.5*D12)*E12),12)</f>
        <v>0</v>
      </c>
      <c r="K12" s="16">
        <f>IF(A12&gt;$C$1,0,+F12*$C$2^A12*$C$3^A12)</f>
        <v>7696918.12524765</v>
      </c>
      <c r="L12" s="16">
        <f>IF(A12=$C$1,+J12*$C$2^(A12)*$C$3^A12,+J12*$C$2^(A12+0.5)*$C$3^A12)</f>
        <v>0</v>
      </c>
      <c r="M12" s="16">
        <f>+G12*$C$2^(A12+0.5)*$C$3^A12</f>
        <v>2757.97198518867</v>
      </c>
      <c r="N12" s="16">
        <f>+H12*$C$2^(A12+0.5)*$C$3^A12</f>
        <v>137.874363356431</v>
      </c>
      <c r="O12" s="16">
        <f>+I12*$C$2^(A12+0.5)*$C$3^A12</f>
        <v>0</v>
      </c>
      <c r="P12" s="16">
        <f>+SUM(M12:$M$60)</f>
        <v>213594.892098061</v>
      </c>
      <c r="Q12" s="16">
        <f>+SUM(N12:$N$60)</f>
        <v>10658.2400526836</v>
      </c>
      <c r="R12" s="16">
        <f>+SUM(O12:$O$60)</f>
        <v>3960254.80823469</v>
      </c>
      <c r="S12" s="16">
        <f>+SUM(P12:$P$60)</f>
        <v>5900859.88879585</v>
      </c>
      <c r="T12" s="16">
        <f>+SUM(Q12:$Q$60)</f>
        <v>294274.636965783</v>
      </c>
      <c r="U12" s="16">
        <f>+SUM(R12:$R$60)</f>
        <v>49030324.9269766</v>
      </c>
      <c r="V12" s="25">
        <f>IF(A12&gt;$C$1,0,IF($C$1=55,$F$50,IF($C$1=56,$F$51,IF($C$1=60,$F$55,IF($C$1=65,$F$60,0))))/F12)</f>
        <v>0</v>
      </c>
      <c r="W12" s="25"/>
      <c r="X12" s="9">
        <f t="shared" si="9"/>
        <v>3</v>
      </c>
      <c r="Y12" s="22">
        <v>0.00338</v>
      </c>
      <c r="Z12" s="22">
        <v>0.00146</v>
      </c>
      <c r="AA12" s="22">
        <v>0.00098</v>
      </c>
      <c r="AB12" s="22">
        <v>0.000747</v>
      </c>
      <c r="AC12" s="22">
        <v>0.000563</v>
      </c>
      <c r="AD12" s="22">
        <v>0.00201</v>
      </c>
      <c r="AE12" s="22">
        <v>0.00075</v>
      </c>
      <c r="AF12" s="22">
        <v>0.001202</v>
      </c>
      <c r="AG12" s="22">
        <v>0.00075</v>
      </c>
      <c r="AH12" s="22">
        <v>0.00338</v>
      </c>
      <c r="AI12" s="22">
        <v>0.00146</v>
      </c>
      <c r="AJ12" s="22">
        <v>0.00098</v>
      </c>
      <c r="AK12" s="22">
        <v>0.000747</v>
      </c>
      <c r="AL12" s="22">
        <v>0.000563</v>
      </c>
      <c r="AM12" s="22">
        <v>0.00201</v>
      </c>
      <c r="AN12" s="22">
        <v>0.00075</v>
      </c>
      <c r="AO12" s="22">
        <v>0.001202</v>
      </c>
      <c r="AP12" s="28">
        <v>0.00075</v>
      </c>
      <c r="AQ12" s="28">
        <f t="shared" si="8"/>
        <v>0.0007</v>
      </c>
      <c r="AR12" s="28">
        <v>0.00065</v>
      </c>
      <c r="AS12" s="28">
        <v>0.00042</v>
      </c>
      <c r="AT12" s="28">
        <v>0.00021</v>
      </c>
      <c r="AU12" s="28">
        <v>0.00051</v>
      </c>
      <c r="AV12" s="28">
        <v>0.00033</v>
      </c>
      <c r="AX12" s="30">
        <f t="shared" si="10"/>
        <v>3</v>
      </c>
    </row>
    <row r="13" s="1" customFormat="1" ht="14.4" spans="1:50">
      <c r="A13" s="12">
        <v>18</v>
      </c>
      <c r="B13" s="1">
        <v>0.00043</v>
      </c>
      <c r="C13" s="14">
        <f>$E$3*B13</f>
        <v>2.15e-5</v>
      </c>
      <c r="D13" s="17"/>
      <c r="E13" s="14">
        <f>IF(A13=$C$1,1,0)</f>
        <v>0</v>
      </c>
      <c r="F13" s="16">
        <f t="shared" si="7"/>
        <v>9985518.49644539</v>
      </c>
      <c r="G13" s="16">
        <f>ROUND(IF($A13&gt;=$C$1,0,+$F13*(1-0.5*C13)*(1-0.5*D13)*(1-0.5*E13)*B13),12)</f>
        <v>4293.72679541227</v>
      </c>
      <c r="H13" s="16">
        <f>ROUND(IF($A13&gt;=$C$1,0,+$F13*(1-0.5*B13)*(1-0.5*D13)*(1-0.5*E13)*C13),12)</f>
        <v>214.642489614326</v>
      </c>
      <c r="I13" s="16">
        <f>ROUND(IF($A13&gt;=$C$1,0,+$F13*(1-0.5*B13)*(1-0.5*C13)*(1-0.5*E13)*D13),12)</f>
        <v>0</v>
      </c>
      <c r="J13" s="16">
        <f>ROUND(IF($A13&gt;$C$1,0,+$F13*(1-0.5*B13)*(1-0.5*C13)*(1-0.5*D13)*E13),12)</f>
        <v>0</v>
      </c>
      <c r="K13" s="16">
        <f>IF(A13&gt;$C$1,0,+F13*$C$2^A13*$C$3^A13)</f>
        <v>7576837.37976774</v>
      </c>
      <c r="L13" s="16">
        <f>IF(A13=$C$1,+J13*$C$2^(A13)*$C$3^A13,+J13*$C$2^(A13+0.5)*$C$3^A13)</f>
        <v>0</v>
      </c>
      <c r="M13" s="16">
        <f>+G13*$C$2^(A13+0.5)*$C$3^A13</f>
        <v>3155.20099191513</v>
      </c>
      <c r="N13" s="16">
        <f>+H13*$C$2^(A13+0.5)*$C$3^A13</f>
        <v>157.727826759231</v>
      </c>
      <c r="O13" s="16">
        <f>+I13*$C$2^(A13+0.5)*$C$3^A13</f>
        <v>0</v>
      </c>
      <c r="P13" s="16">
        <f>+SUM(M13:$M$60)</f>
        <v>210836.920112872</v>
      </c>
      <c r="Q13" s="16">
        <f>+SUM(N13:$N$60)</f>
        <v>10520.3656893272</v>
      </c>
      <c r="R13" s="16">
        <f>+SUM(O13:$O$60)</f>
        <v>3960254.80823469</v>
      </c>
      <c r="S13" s="16">
        <f>+SUM(P13:$P$60)</f>
        <v>5687264.99669779</v>
      </c>
      <c r="T13" s="16">
        <f>+SUM(Q13:$Q$60)</f>
        <v>283616.396913099</v>
      </c>
      <c r="U13" s="16">
        <f>+SUM(R13:$R$60)</f>
        <v>45070070.1187419</v>
      </c>
      <c r="V13" s="25">
        <f>IF(A13&gt;$C$1,0,IF($C$1=55,$F$50,IF($C$1=56,$F$51,IF($C$1=60,$F$55,IF($C$1=65,$F$60,0))))/F13)</f>
        <v>0</v>
      </c>
      <c r="W13" s="25"/>
      <c r="X13" s="9">
        <f t="shared" si="9"/>
        <v>4</v>
      </c>
      <c r="Y13" s="22">
        <v>0.00299</v>
      </c>
      <c r="Z13" s="22">
        <v>0.0014</v>
      </c>
      <c r="AA13" s="22">
        <v>0.00095</v>
      </c>
      <c r="AB13" s="22">
        <v>0.000655</v>
      </c>
      <c r="AC13" s="22">
        <v>0.000494</v>
      </c>
      <c r="AD13" s="22">
        <v>0.0017</v>
      </c>
      <c r="AE13" s="22">
        <v>0.00073</v>
      </c>
      <c r="AF13" s="22">
        <v>0.001192</v>
      </c>
      <c r="AG13" s="22">
        <v>0.00073</v>
      </c>
      <c r="AH13" s="22">
        <v>0.00299</v>
      </c>
      <c r="AI13" s="22">
        <v>0.0014</v>
      </c>
      <c r="AJ13" s="22">
        <v>0.00095</v>
      </c>
      <c r="AK13" s="22">
        <v>0.000655</v>
      </c>
      <c r="AL13" s="22">
        <v>0.000494</v>
      </c>
      <c r="AM13" s="22">
        <v>0.0017</v>
      </c>
      <c r="AN13" s="22">
        <v>0.00073</v>
      </c>
      <c r="AO13" s="22">
        <v>0.001192</v>
      </c>
      <c r="AP13" s="28">
        <v>0.00073</v>
      </c>
      <c r="AQ13" s="28">
        <f t="shared" si="8"/>
        <v>0.000685</v>
      </c>
      <c r="AR13" s="28">
        <v>0.00064</v>
      </c>
      <c r="AS13" s="28">
        <v>0.000388</v>
      </c>
      <c r="AT13" s="28">
        <v>0.000194</v>
      </c>
      <c r="AU13" s="28">
        <v>0.00043</v>
      </c>
      <c r="AV13" s="28">
        <v>0.00028</v>
      </c>
      <c r="AX13" s="30">
        <f t="shared" si="10"/>
        <v>4</v>
      </c>
    </row>
    <row r="14" s="1" customFormat="1" ht="14.4" spans="1:50">
      <c r="A14" s="12">
        <v>19</v>
      </c>
      <c r="B14" s="1">
        <v>0.00047</v>
      </c>
      <c r="C14" s="14">
        <f>$E$3*B14</f>
        <v>2.35e-5</v>
      </c>
      <c r="D14" s="17"/>
      <c r="E14" s="14">
        <f>IF(A14=$C$1,1,0)</f>
        <v>0</v>
      </c>
      <c r="F14" s="16">
        <f t="shared" si="7"/>
        <v>9981010.12716036</v>
      </c>
      <c r="G14" s="16">
        <f>ROUND(IF($A14&gt;=$C$1,0,+$F14*(1-0.5*C14)*(1-0.5*D14)*(1-0.5*E14)*B14),12)</f>
        <v>4691.01963963694</v>
      </c>
      <c r="H14" s="16">
        <f>ROUND(IF($A14&gt;=$C$1,0,+$F14*(1-0.5*B14)*(1-0.5*D14)*(1-0.5*E14)*C14),12)</f>
        <v>234.498617859841</v>
      </c>
      <c r="I14" s="16">
        <f>ROUND(IF($A14&gt;=$C$1,0,+$F14*(1-0.5*B14)*(1-0.5*C14)*(1-0.5*E14)*D14),12)</f>
        <v>0</v>
      </c>
      <c r="J14" s="16">
        <f>ROUND(IF($A14&gt;$C$1,0,+$F14*(1-0.5*B14)*(1-0.5*C14)*(1-0.5*D14)*E14),12)</f>
        <v>0</v>
      </c>
      <c r="K14" s="16">
        <f>IF(A14&gt;$C$1,0,+F14*$C$2^A14*$C$3^A14)</f>
        <v>7458159.97315621</v>
      </c>
      <c r="L14" s="16">
        <f>IF(A14=$C$1,+J14*$C$2^(A14)*$C$3^A14,+J14*$C$2^(A14+0.5)*$C$3^A14)</f>
        <v>0</v>
      </c>
      <c r="M14" s="16">
        <f>+G14*$C$2^(A14+0.5)*$C$3^A14</f>
        <v>3394.68691337129</v>
      </c>
      <c r="N14" s="16">
        <f>+H14*$C$2^(A14+0.5)*$C$3^A14</f>
        <v>169.696452030644</v>
      </c>
      <c r="O14" s="16">
        <f>+I14*$C$2^(A14+0.5)*$C$3^A14</f>
        <v>0</v>
      </c>
      <c r="P14" s="16">
        <f>+SUM(M14:$M$60)</f>
        <v>207681.719120957</v>
      </c>
      <c r="Q14" s="16">
        <f>+SUM(N14:$N$60)</f>
        <v>10362.637862568</v>
      </c>
      <c r="R14" s="16">
        <f>+SUM(O14:$O$60)</f>
        <v>3960254.80823469</v>
      </c>
      <c r="S14" s="16">
        <f>+SUM(P14:$P$60)</f>
        <v>5476428.07658492</v>
      </c>
      <c r="T14" s="16">
        <f>+SUM(Q14:$Q$60)</f>
        <v>273096.031223772</v>
      </c>
      <c r="U14" s="16">
        <f>+SUM(R14:$R$60)</f>
        <v>41109815.3105072</v>
      </c>
      <c r="V14" s="25">
        <f>IF(A14&gt;$C$1,0,IF($C$1=55,$F$50,IF($C$1=56,$F$51,IF($C$1=60,$F$55,IF($C$1=65,$F$60,0))))/F14)</f>
        <v>0</v>
      </c>
      <c r="W14" s="25"/>
      <c r="X14" s="9">
        <f t="shared" si="9"/>
        <v>5</v>
      </c>
      <c r="Y14" s="22">
        <v>0.00276</v>
      </c>
      <c r="Z14" s="22">
        <v>0.00135</v>
      </c>
      <c r="AA14" s="22">
        <v>0.0009</v>
      </c>
      <c r="AB14" s="22">
        <v>0.000454</v>
      </c>
      <c r="AC14" s="22">
        <v>0.000342</v>
      </c>
      <c r="AD14" s="22">
        <v>0.00158</v>
      </c>
      <c r="AE14" s="22">
        <v>0.00069</v>
      </c>
      <c r="AF14" s="22">
        <v>0.001183</v>
      </c>
      <c r="AG14" s="22">
        <v>0.00069</v>
      </c>
      <c r="AH14" s="22">
        <v>0.00276</v>
      </c>
      <c r="AI14" s="22">
        <v>0.00135</v>
      </c>
      <c r="AJ14" s="22">
        <v>0.0009</v>
      </c>
      <c r="AK14" s="22">
        <v>0.000454</v>
      </c>
      <c r="AL14" s="22">
        <v>0.000342</v>
      </c>
      <c r="AM14" s="22">
        <v>0.00158</v>
      </c>
      <c r="AN14" s="22">
        <v>0.00069</v>
      </c>
      <c r="AO14" s="22">
        <v>0.001183</v>
      </c>
      <c r="AP14" s="28">
        <v>0.00069</v>
      </c>
      <c r="AQ14" s="28">
        <f t="shared" si="8"/>
        <v>0.00066</v>
      </c>
      <c r="AR14" s="28">
        <v>0.00063</v>
      </c>
      <c r="AS14" s="28">
        <v>0.000342</v>
      </c>
      <c r="AT14" s="28">
        <v>0.000171</v>
      </c>
      <c r="AU14" s="28">
        <v>0.00038</v>
      </c>
      <c r="AV14" s="28">
        <v>0.00027</v>
      </c>
      <c r="AX14" s="30">
        <f t="shared" si="10"/>
        <v>5</v>
      </c>
    </row>
    <row r="15" s="1" customFormat="1" ht="14.4" spans="1:50">
      <c r="A15" s="12">
        <v>20</v>
      </c>
      <c r="B15" s="1">
        <v>0.00049</v>
      </c>
      <c r="C15" s="14">
        <f>$E$3*B15</f>
        <v>2.45e-5</v>
      </c>
      <c r="D15" s="17">
        <v>0.05</v>
      </c>
      <c r="E15" s="14">
        <f>IF(A15=$C$1,1,0)</f>
        <v>0</v>
      </c>
      <c r="F15" s="16">
        <f t="shared" si="7"/>
        <v>9976084.60890286</v>
      </c>
      <c r="G15" s="16">
        <f>ROUND(IF($A15&gt;=$C$1,0,+$F15*(1-0.5*C15)*(1-0.5*D15)*(1-0.5*E15)*B15),12)</f>
        <v>4766.01603749168</v>
      </c>
      <c r="H15" s="16">
        <f>ROUND(IF($A15&gt;=$C$1,0,+$F15*(1-0.5*B15)*(1-0.5*D15)*(1-0.5*E15)*C15),12)</f>
        <v>238.245336683499</v>
      </c>
      <c r="I15" s="16">
        <f>ROUND(IF($A15&gt;=$C$1,0,+$F15*(1-0.5*B15)*(1-0.5*C15)*(1-0.5*E15)*D15),12)</f>
        <v>498675.914553897</v>
      </c>
      <c r="J15" s="16">
        <f>ROUND(IF($A15&gt;$C$1,0,+$F15*(1-0.5*B15)*(1-0.5*C15)*(1-0.5*D15)*E15),12)</f>
        <v>0</v>
      </c>
      <c r="K15" s="16">
        <f>IF(A15&gt;$C$1,0,+F15*$C$2^A15*$C$3^A15)</f>
        <v>7341032.97034201</v>
      </c>
      <c r="L15" s="16">
        <f>IF(A15=$C$1,+J15*$C$2^(A15)*$C$3^A15,+J15*$C$2^(A15+0.5)*$C$3^A15)</f>
        <v>0</v>
      </c>
      <c r="M15" s="16">
        <f>+G15*$C$2^(A15+0.5)*$C$3^A15</f>
        <v>3396.47034385449</v>
      </c>
      <c r="N15" s="16">
        <f>+H15*$C$2^(A15+0.5)*$C$3^A15</f>
        <v>169.783990284893</v>
      </c>
      <c r="O15" s="16">
        <f>+I15*$C$2^(A15+0.5)*$C$3^A15</f>
        <v>355378.14846889</v>
      </c>
      <c r="P15" s="16">
        <f>+SUM(M15:$M$60)</f>
        <v>204287.032207586</v>
      </c>
      <c r="Q15" s="16">
        <f>+SUM(N15:$N$60)</f>
        <v>10192.9414105373</v>
      </c>
      <c r="R15" s="16">
        <f>+SUM(O15:$O$60)</f>
        <v>3960254.80823469</v>
      </c>
      <c r="S15" s="16">
        <f>+SUM(P15:$P$60)</f>
        <v>5268746.35746396</v>
      </c>
      <c r="T15" s="16">
        <f>+SUM(Q15:$Q$60)</f>
        <v>262733.393361204</v>
      </c>
      <c r="U15" s="16">
        <f>+SUM(R15:$R$60)</f>
        <v>37149560.5022725</v>
      </c>
      <c r="V15" s="25">
        <f>IF(A15&gt;$C$1,0,IF($C$1=55,$F$50,IF($C$1=56,$F$51,IF($C$1=60,$F$55,IF($C$1=65,$F$60,0))))/F15)</f>
        <v>0</v>
      </c>
      <c r="W15" s="25"/>
      <c r="X15" s="9">
        <f t="shared" si="9"/>
        <v>6</v>
      </c>
      <c r="Y15" s="22">
        <v>0.00261</v>
      </c>
      <c r="Z15" s="22">
        <v>0.0013</v>
      </c>
      <c r="AA15" s="22">
        <v>0.00086</v>
      </c>
      <c r="AB15" s="22">
        <v>0.000422</v>
      </c>
      <c r="AC15" s="22">
        <v>0.000318</v>
      </c>
      <c r="AD15" s="22">
        <v>0.00154</v>
      </c>
      <c r="AE15" s="22">
        <v>0.00066</v>
      </c>
      <c r="AF15" s="22">
        <v>0.001173</v>
      </c>
      <c r="AG15" s="22">
        <v>0.00066</v>
      </c>
      <c r="AH15" s="22">
        <v>0.00261</v>
      </c>
      <c r="AI15" s="22">
        <v>0.0013</v>
      </c>
      <c r="AJ15" s="22">
        <v>0.00086</v>
      </c>
      <c r="AK15" s="22">
        <v>0.000422</v>
      </c>
      <c r="AL15" s="22">
        <v>0.000318</v>
      </c>
      <c r="AM15" s="22">
        <v>0.00154</v>
      </c>
      <c r="AN15" s="22">
        <v>0.00066</v>
      </c>
      <c r="AO15" s="22">
        <v>0.001173</v>
      </c>
      <c r="AP15" s="28">
        <v>0.00066</v>
      </c>
      <c r="AQ15" s="28">
        <f t="shared" si="8"/>
        <v>0.000635</v>
      </c>
      <c r="AR15" s="28">
        <v>0.00061</v>
      </c>
      <c r="AS15" s="28">
        <v>0.000318</v>
      </c>
      <c r="AT15" s="28">
        <v>0.00014</v>
      </c>
      <c r="AU15" s="28">
        <v>0.00034</v>
      </c>
      <c r="AV15" s="28">
        <v>0.0003</v>
      </c>
      <c r="AX15" s="30">
        <f t="shared" si="10"/>
        <v>6</v>
      </c>
    </row>
    <row r="16" s="1" customFormat="1" ht="14.4" spans="1:50">
      <c r="A16" s="12">
        <v>21</v>
      </c>
      <c r="B16" s="1">
        <v>0.00049</v>
      </c>
      <c r="C16" s="14">
        <f>$E$3*B16</f>
        <v>2.45e-5</v>
      </c>
      <c r="D16" s="17">
        <v>0.05</v>
      </c>
      <c r="E16" s="14">
        <f>IF(A16=$C$1,1,0)</f>
        <v>0</v>
      </c>
      <c r="F16" s="16">
        <f t="shared" si="7"/>
        <v>9472404.43297479</v>
      </c>
      <c r="G16" s="16">
        <f>ROUND(IF($A16&gt;=$C$1,0,+$F16*(1-0.5*C16)*(1-0.5*D16)*(1-0.5*E16)*B16),12)</f>
        <v>4525.38578119879</v>
      </c>
      <c r="H16" s="16">
        <f>ROUND(IF($A16&gt;=$C$1,0,+$F16*(1-0.5*B16)*(1-0.5*D16)*(1-0.5*E16)*C16),12)</f>
        <v>226.216624237767</v>
      </c>
      <c r="I16" s="16">
        <f>ROUND(IF($A16&gt;=$C$1,0,+$F16*(1-0.5*B16)*(1-0.5*C16)*(1-0.5*E16)*D16),12)</f>
        <v>473498.384268173</v>
      </c>
      <c r="J16" s="16">
        <f>ROUND(IF($A16&gt;$C$1,0,+$F16*(1-0.5*B16)*(1-0.5*C16)*(1-0.5*D16)*E16),12)</f>
        <v>0</v>
      </c>
      <c r="K16" s="16">
        <f>IF(A16&gt;$C$1,0,+F16*$C$2^A16*$C$3^A16)</f>
        <v>6864313.90691652</v>
      </c>
      <c r="L16" s="16">
        <f>IF(A16=$C$1,+J16*$C$2^(A16)*$C$3^A16,+J16*$C$2^(A16+0.5)*$C$3^A16)</f>
        <v>0</v>
      </c>
      <c r="M16" s="16">
        <f>+G16*$C$2^(A16+0.5)*$C$3^A16</f>
        <v>3175.90708418569</v>
      </c>
      <c r="N16" s="16">
        <f>+H16*$C$2^(A16+0.5)*$C$3^A16</f>
        <v>158.758394137831</v>
      </c>
      <c r="O16" s="16">
        <f>+I16*$C$2^(A16+0.5)*$C$3^A16</f>
        <v>332300.260277348</v>
      </c>
      <c r="P16" s="16">
        <f>+SUM(M16:$M$60)</f>
        <v>200890.561863732</v>
      </c>
      <c r="Q16" s="16">
        <f>+SUM(N16:$N$60)</f>
        <v>10023.1574202524</v>
      </c>
      <c r="R16" s="16">
        <f>+SUM(O16:$O$60)</f>
        <v>3604876.6597658</v>
      </c>
      <c r="S16" s="16">
        <f>+SUM(P16:$P$60)</f>
        <v>5064459.32525638</v>
      </c>
      <c r="T16" s="16">
        <f>+SUM(Q16:$Q$60)</f>
        <v>252540.451950667</v>
      </c>
      <c r="U16" s="16">
        <f>+SUM(R16:$R$60)</f>
        <v>33189305.6940378</v>
      </c>
      <c r="V16" s="25">
        <f>IF(A16&gt;$C$1,0,IF($C$1=55,$F$50,IF($C$1=56,$F$51,IF($C$1=60,$F$55,IF($C$1=65,$F$60,0))))/F16)</f>
        <v>0</v>
      </c>
      <c r="W16" s="25"/>
      <c r="X16" s="9">
        <f t="shared" si="9"/>
        <v>7</v>
      </c>
      <c r="Y16" s="22">
        <v>0.00247</v>
      </c>
      <c r="Z16" s="22">
        <v>0.00126</v>
      </c>
      <c r="AA16" s="22">
        <v>0.0008</v>
      </c>
      <c r="AB16" s="22">
        <v>0.000401</v>
      </c>
      <c r="AC16" s="22">
        <v>0.000302</v>
      </c>
      <c r="AD16" s="22">
        <v>0.00144</v>
      </c>
      <c r="AE16" s="22">
        <v>0.00062</v>
      </c>
      <c r="AF16" s="22">
        <v>0.001183</v>
      </c>
      <c r="AG16" s="22">
        <v>0.00062</v>
      </c>
      <c r="AH16" s="22">
        <v>0.00247</v>
      </c>
      <c r="AI16" s="22">
        <v>0.00126</v>
      </c>
      <c r="AJ16" s="22">
        <v>0.0008</v>
      </c>
      <c r="AK16" s="22">
        <v>0.000401</v>
      </c>
      <c r="AL16" s="22">
        <v>0.000302</v>
      </c>
      <c r="AM16" s="22">
        <v>0.00144</v>
      </c>
      <c r="AN16" s="22">
        <v>0.00062</v>
      </c>
      <c r="AO16" s="22">
        <v>0.001183</v>
      </c>
      <c r="AP16" s="28">
        <v>0.00062</v>
      </c>
      <c r="AQ16" s="28">
        <f t="shared" si="8"/>
        <v>0.00061</v>
      </c>
      <c r="AR16" s="28">
        <v>0.0006</v>
      </c>
      <c r="AS16" s="28">
        <v>0.000302</v>
      </c>
      <c r="AT16" s="28">
        <v>0.000118</v>
      </c>
      <c r="AU16" s="28">
        <v>0.00031</v>
      </c>
      <c r="AV16" s="28">
        <v>0.00031</v>
      </c>
      <c r="AX16" s="30">
        <f t="shared" si="10"/>
        <v>7</v>
      </c>
    </row>
    <row r="17" s="1" customFormat="1" ht="14.4" spans="1:50">
      <c r="A17" s="12">
        <v>22</v>
      </c>
      <c r="B17" s="1">
        <v>0.00049</v>
      </c>
      <c r="C17" s="14">
        <f>$E$3*B17</f>
        <v>2.45e-5</v>
      </c>
      <c r="D17" s="17">
        <v>0.05</v>
      </c>
      <c r="E17" s="14">
        <f>IF(A17=$C$1,1,0)</f>
        <v>0</v>
      </c>
      <c r="F17" s="16">
        <f t="shared" si="7"/>
        <v>8994154.44630118</v>
      </c>
      <c r="G17" s="16">
        <f>ROUND(IF($A17&gt;=$C$1,0,+$F17*(1-0.5*C17)*(1-0.5*D17)*(1-0.5*E17)*B17),12)</f>
        <v>4296.90464899363</v>
      </c>
      <c r="H17" s="16">
        <f>ROUND(IF($A17&gt;=$C$1,0,+$F17*(1-0.5*B17)*(1-0.5*D17)*(1-0.5*E17)*C17),12)</f>
        <v>214.795226609257</v>
      </c>
      <c r="I17" s="16">
        <f>ROUND(IF($A17&gt;=$C$1,0,+$F17*(1-0.5*B17)*(1-0.5*C17)*(1-0.5*E17)*D17),12)</f>
        <v>449592.036353179</v>
      </c>
      <c r="J17" s="16">
        <f>ROUND(IF($A17&gt;$C$1,0,+$F17*(1-0.5*B17)*(1-0.5*C17)*(1-0.5*D17)*E17),12)</f>
        <v>0</v>
      </c>
      <c r="K17" s="16">
        <f>IF(A17&gt;$C$1,0,+F17*$C$2^A17*$C$3^A17)</f>
        <v>6418552.48478639</v>
      </c>
      <c r="L17" s="16">
        <f>IF(A17=$C$1,+J17*$C$2^(A17)*$C$3^A17,+J17*$C$2^(A17+0.5)*$C$3^A17)</f>
        <v>0</v>
      </c>
      <c r="M17" s="16">
        <f>+G17*$C$2^(A17+0.5)*$C$3^A17</f>
        <v>2969.66697372493</v>
      </c>
      <c r="N17" s="16">
        <f>+H17*$C$2^(A17+0.5)*$C$3^A17</f>
        <v>148.448788763481</v>
      </c>
      <c r="O17" s="16">
        <f>+I17*$C$2^(A17+0.5)*$C$3^A17</f>
        <v>310721.026197422</v>
      </c>
      <c r="P17" s="16">
        <f>+SUM(M17:$M$60)</f>
        <v>197714.654779546</v>
      </c>
      <c r="Q17" s="16">
        <f>+SUM(N17:$N$60)</f>
        <v>9864.39902611459</v>
      </c>
      <c r="R17" s="16">
        <f>+SUM(O17:$O$60)</f>
        <v>3272576.39948845</v>
      </c>
      <c r="S17" s="16">
        <f>+SUM(P17:$P$60)</f>
        <v>4863568.76339265</v>
      </c>
      <c r="T17" s="16">
        <f>+SUM(Q17:$Q$60)</f>
        <v>242517.294530414</v>
      </c>
      <c r="U17" s="16">
        <f>+SUM(R17:$R$60)</f>
        <v>29584429.034272</v>
      </c>
      <c r="V17" s="25">
        <f>IF(A17&gt;$C$1,0,IF($C$1=55,$F$50,IF($C$1=56,$F$51,IF($C$1=60,$F$55,IF($C$1=65,$F$60,0))))/F17)</f>
        <v>0</v>
      </c>
      <c r="W17" s="25"/>
      <c r="X17" s="9">
        <f t="shared" si="9"/>
        <v>8</v>
      </c>
      <c r="Y17" s="22">
        <v>0.00231</v>
      </c>
      <c r="Z17" s="22">
        <v>0.00123</v>
      </c>
      <c r="AA17" s="22">
        <v>0.00076</v>
      </c>
      <c r="AB17" s="22">
        <v>0.00039</v>
      </c>
      <c r="AC17" s="22">
        <v>0.000294</v>
      </c>
      <c r="AD17" s="22">
        <v>0.00131</v>
      </c>
      <c r="AE17" s="22">
        <v>0.00058</v>
      </c>
      <c r="AF17" s="22">
        <v>0.001192</v>
      </c>
      <c r="AG17" s="22">
        <v>0.00058</v>
      </c>
      <c r="AH17" s="22">
        <v>0.00231</v>
      </c>
      <c r="AI17" s="22">
        <v>0.00123</v>
      </c>
      <c r="AJ17" s="22">
        <v>0.00076</v>
      </c>
      <c r="AK17" s="22">
        <v>0.00039</v>
      </c>
      <c r="AL17" s="22">
        <v>0.000294</v>
      </c>
      <c r="AM17" s="22">
        <v>0.00131</v>
      </c>
      <c r="AN17" s="22">
        <v>0.00058</v>
      </c>
      <c r="AO17" s="22">
        <v>0.001192</v>
      </c>
      <c r="AP17" s="28">
        <v>0.00058</v>
      </c>
      <c r="AQ17" s="28">
        <f t="shared" si="8"/>
        <v>0.00058</v>
      </c>
      <c r="AR17" s="28">
        <v>0.00058</v>
      </c>
      <c r="AS17" s="28">
        <v>0.000294</v>
      </c>
      <c r="AT17" s="28">
        <v>0.000104</v>
      </c>
      <c r="AU17" s="28">
        <v>0.00029</v>
      </c>
      <c r="AV17" s="28">
        <v>0.0003</v>
      </c>
      <c r="AX17" s="30">
        <f t="shared" si="10"/>
        <v>8</v>
      </c>
    </row>
    <row r="18" s="1" customFormat="1" ht="14.4" spans="1:50">
      <c r="A18" s="12">
        <v>23</v>
      </c>
      <c r="B18" s="1">
        <v>0.00049</v>
      </c>
      <c r="C18" s="14">
        <f>$E$3*B18</f>
        <v>2.45e-5</v>
      </c>
      <c r="D18" s="17">
        <v>0.05</v>
      </c>
      <c r="E18" s="14">
        <f>IF(A18=$C$1,1,0)</f>
        <v>0</v>
      </c>
      <c r="F18" s="16">
        <f t="shared" si="7"/>
        <v>8540050.7100724</v>
      </c>
      <c r="G18" s="16">
        <f>ROUND(IF($A18&gt;=$C$1,0,+$F18*(1-0.5*C18)*(1-0.5*D18)*(1-0.5*E18)*B18),12)</f>
        <v>4079.95924662406</v>
      </c>
      <c r="H18" s="16">
        <f>ROUND(IF($A18&gt;=$C$1,0,+$F18*(1-0.5*B18)*(1-0.5*D18)*(1-0.5*E18)*C18),12)</f>
        <v>203.950481223827</v>
      </c>
      <c r="I18" s="16">
        <f>ROUND(IF($A18&gt;=$C$1,0,+$F18*(1-0.5*B18)*(1-0.5*C18)*(1-0.5*E18)*D18),12)</f>
        <v>426892.690382903</v>
      </c>
      <c r="J18" s="16">
        <f>ROUND(IF($A18&gt;$C$1,0,+$F18*(1-0.5*B18)*(1-0.5*C18)*(1-0.5*D18)*E18),12)</f>
        <v>0</v>
      </c>
      <c r="K18" s="16">
        <f>IF(A18&gt;$C$1,0,+F18*$C$2^A18*$C$3^A18)</f>
        <v>6001738.34685013</v>
      </c>
      <c r="L18" s="16">
        <f>IF(A18=$C$1,+J18*$C$2^(A18)*$C$3^A18,+J18*$C$2^(A18+0.5)*$C$3^A18)</f>
        <v>0</v>
      </c>
      <c r="M18" s="16">
        <f>+G18*$C$2^(A18+0.5)*$C$3^A18</f>
        <v>2776.81988202554</v>
      </c>
      <c r="N18" s="16">
        <f>+H18*$C$2^(A18+0.5)*$C$3^A18</f>
        <v>138.808678464034</v>
      </c>
      <c r="O18" s="16">
        <f>+I18*$C$2^(A18+0.5)*$C$3^A18</f>
        <v>290543.125186232</v>
      </c>
      <c r="P18" s="16">
        <f>+SUM(M18:$M$60)</f>
        <v>194744.987805821</v>
      </c>
      <c r="Q18" s="16">
        <f>+SUM(N18:$N$60)</f>
        <v>9715.95023735111</v>
      </c>
      <c r="R18" s="16">
        <f>+SUM(O18:$O$60)</f>
        <v>2961855.37329103</v>
      </c>
      <c r="S18" s="16">
        <f>+SUM(P18:$P$60)</f>
        <v>4665854.1086131</v>
      </c>
      <c r="T18" s="16">
        <f>+SUM(Q18:$Q$60)</f>
        <v>232652.8955043</v>
      </c>
      <c r="U18" s="16">
        <f>+SUM(R18:$R$60)</f>
        <v>26311852.6347836</v>
      </c>
      <c r="V18" s="25">
        <f>IF(A18&gt;$C$1,0,IF($C$1=55,$F$50,IF($C$1=56,$F$51,IF($C$1=60,$F$55,IF($C$1=65,$F$60,0))))/F18)</f>
        <v>0</v>
      </c>
      <c r="W18" s="25"/>
      <c r="X18" s="9">
        <f t="shared" si="9"/>
        <v>9</v>
      </c>
      <c r="Y18" s="22">
        <v>0.00212</v>
      </c>
      <c r="Z18" s="22">
        <v>0.00121</v>
      </c>
      <c r="AA18" s="22">
        <v>0.00074</v>
      </c>
      <c r="AB18" s="22">
        <v>0.000387</v>
      </c>
      <c r="AC18" s="22">
        <v>0.000292</v>
      </c>
      <c r="AD18" s="22">
        <v>0.00114</v>
      </c>
      <c r="AE18" s="22">
        <v>0.00057</v>
      </c>
      <c r="AF18" s="22">
        <v>0.001202</v>
      </c>
      <c r="AG18" s="22">
        <v>0.00057</v>
      </c>
      <c r="AH18" s="22">
        <v>0.00212</v>
      </c>
      <c r="AI18" s="22">
        <v>0.00121</v>
      </c>
      <c r="AJ18" s="22">
        <v>0.00074</v>
      </c>
      <c r="AK18" s="22">
        <v>0.000387</v>
      </c>
      <c r="AL18" s="22">
        <v>0.000292</v>
      </c>
      <c r="AM18" s="22">
        <v>0.00114</v>
      </c>
      <c r="AN18" s="22">
        <v>0.00057</v>
      </c>
      <c r="AO18" s="22">
        <v>0.001202</v>
      </c>
      <c r="AP18" s="28">
        <v>0.00057</v>
      </c>
      <c r="AQ18" s="28">
        <f t="shared" si="8"/>
        <v>0.00057</v>
      </c>
      <c r="AR18" s="28">
        <v>0.00057</v>
      </c>
      <c r="AS18" s="28">
        <v>0.000292</v>
      </c>
      <c r="AT18" s="28">
        <v>9.7e-5</v>
      </c>
      <c r="AU18" s="28">
        <v>0.00028</v>
      </c>
      <c r="AV18" s="28">
        <v>0.00028</v>
      </c>
      <c r="AX18" s="30">
        <f t="shared" si="10"/>
        <v>9</v>
      </c>
    </row>
    <row r="19" s="1" customFormat="1" ht="14.4" spans="1:50">
      <c r="A19" s="12">
        <v>24</v>
      </c>
      <c r="B19" s="13">
        <v>0.0005</v>
      </c>
      <c r="C19" s="14">
        <f>$E$3*B19</f>
        <v>2.5e-5</v>
      </c>
      <c r="D19" s="17">
        <v>0.05</v>
      </c>
      <c r="E19" s="14">
        <f>IF(A19=$C$1,1,0)</f>
        <v>0</v>
      </c>
      <c r="F19" s="16">
        <f t="shared" si="7"/>
        <v>8108874.10996165</v>
      </c>
      <c r="G19" s="16">
        <f>ROUND(IF($A19&gt;=$C$1,0,+$F19*(1-0.5*C19)*(1-0.5*D19)*(1-0.5*E19)*B19),12)</f>
        <v>3953.0267151547</v>
      </c>
      <c r="H19" s="16">
        <f>ROUND(IF($A19&gt;=$C$1,0,+$F19*(1-0.5*B19)*(1-0.5*D19)*(1-0.5*E19)*C19),12)</f>
        <v>197.604392978708</v>
      </c>
      <c r="I19" s="16">
        <f>ROUND(IF($A19&gt;=$C$1,0,+$F19*(1-0.5*B19)*(1-0.5*C19)*(1-0.5*E19)*D19),12)</f>
        <v>405337.277792401</v>
      </c>
      <c r="J19" s="16">
        <f>ROUND(IF($A19&gt;$C$1,0,+$F19*(1-0.5*B19)*(1-0.5*C19)*(1-0.5*D19)*E19),12)</f>
        <v>0</v>
      </c>
      <c r="K19" s="16">
        <f>IF(A19&gt;$C$1,0,+F19*$C$2^A19*$C$3^A19)</f>
        <v>5611991.68651032</v>
      </c>
      <c r="L19" s="16">
        <f>IF(A19=$C$1,+J19*$C$2^(A19)*$C$3^A19,+J19*$C$2^(A19+0.5)*$C$3^A19)</f>
        <v>0</v>
      </c>
      <c r="M19" s="16">
        <f>+G19*$C$2^(A19+0.5)*$C$3^A19</f>
        <v>2649.48513389276</v>
      </c>
      <c r="N19" s="16">
        <f>+H19*$C$2^(A19+0.5)*$C$3^A19</f>
        <v>132.442793665385</v>
      </c>
      <c r="O19" s="16">
        <f>+I19*$C$2^(A19+0.5)*$C$3^A19</f>
        <v>271674.129498388</v>
      </c>
      <c r="P19" s="16">
        <f>+SUM(M19:$M$60)</f>
        <v>191968.167923795</v>
      </c>
      <c r="Q19" s="16">
        <f>+SUM(N19:$N$60)</f>
        <v>9577.14155888707</v>
      </c>
      <c r="R19" s="16">
        <f>+SUM(O19:$O$60)</f>
        <v>2671312.2481048</v>
      </c>
      <c r="S19" s="16">
        <f>+SUM(P19:$P$60)</f>
        <v>4471109.12080728</v>
      </c>
      <c r="T19" s="16">
        <f>+SUM(Q19:$Q$60)</f>
        <v>222936.945266949</v>
      </c>
      <c r="U19" s="16">
        <f>+SUM(R19:$R$60)</f>
        <v>23349997.2614926</v>
      </c>
      <c r="V19" s="25">
        <f>IF(A19&gt;$C$1,0,IF($C$1=55,$F$50,IF($C$1=56,$F$51,IF($C$1=60,$F$55,IF($C$1=65,$F$60,0))))/F19)</f>
        <v>0</v>
      </c>
      <c r="W19" s="25"/>
      <c r="X19" s="9">
        <f t="shared" si="9"/>
        <v>10</v>
      </c>
      <c r="Y19" s="22">
        <v>0.00197</v>
      </c>
      <c r="Z19" s="22">
        <v>0.00121</v>
      </c>
      <c r="AA19" s="22">
        <v>0.00073</v>
      </c>
      <c r="AB19" s="22">
        <v>0.000389</v>
      </c>
      <c r="AC19" s="22">
        <v>0.000293</v>
      </c>
      <c r="AD19" s="22">
        <v>0.00103</v>
      </c>
      <c r="AE19" s="22">
        <v>0.00056</v>
      </c>
      <c r="AF19" s="22">
        <v>0.001211</v>
      </c>
      <c r="AG19" s="22">
        <v>0.00056</v>
      </c>
      <c r="AH19" s="22">
        <v>0.00197</v>
      </c>
      <c r="AI19" s="22">
        <v>0.00121</v>
      </c>
      <c r="AJ19" s="22">
        <v>0.00073</v>
      </c>
      <c r="AK19" s="22">
        <v>0.000389</v>
      </c>
      <c r="AL19" s="22">
        <v>0.000293</v>
      </c>
      <c r="AM19" s="22">
        <v>0.00103</v>
      </c>
      <c r="AN19" s="22">
        <v>0.00056</v>
      </c>
      <c r="AO19" s="22">
        <v>0.001211</v>
      </c>
      <c r="AP19" s="28">
        <v>0.00056</v>
      </c>
      <c r="AQ19" s="28">
        <f t="shared" si="8"/>
        <v>0.00056</v>
      </c>
      <c r="AR19" s="28">
        <v>0.00056</v>
      </c>
      <c r="AS19" s="28">
        <v>0.000293</v>
      </c>
      <c r="AT19" s="28">
        <v>9.6e-5</v>
      </c>
      <c r="AU19" s="28">
        <v>0.00027</v>
      </c>
      <c r="AV19" s="28">
        <v>0.00025</v>
      </c>
      <c r="AX19" s="30">
        <f t="shared" si="10"/>
        <v>10</v>
      </c>
    </row>
    <row r="20" s="1" customFormat="1" ht="14.4" spans="1:50">
      <c r="A20" s="12">
        <v>25</v>
      </c>
      <c r="B20" s="1">
        <v>0.00052</v>
      </c>
      <c r="C20" s="14">
        <f>$E$3*B20</f>
        <v>2.6e-5</v>
      </c>
      <c r="D20" s="17">
        <v>0.05</v>
      </c>
      <c r="E20" s="14">
        <f>IF(A20=$C$1,1,0)</f>
        <v>0</v>
      </c>
      <c r="F20" s="16">
        <f t="shared" si="7"/>
        <v>7699386.20106112</v>
      </c>
      <c r="G20" s="16">
        <f>ROUND(IF($A20&gt;=$C$1,0,+$F20*(1-0.5*C20)*(1-0.5*D20)*(1-0.5*E20)*B20),12)</f>
        <v>3903.53805728353</v>
      </c>
      <c r="H20" s="16">
        <f>ROUND(IF($A20&gt;=$C$1,0,+$F20*(1-0.5*B20)*(1-0.5*D20)*(1-0.5*E20)*C20),12)</f>
        <v>195.128693542448</v>
      </c>
      <c r="I20" s="16">
        <f>ROUND(IF($A20&gt;=$C$1,0,+$F20*(1-0.5*B20)*(1-0.5*C20)*(1-0.5*E20)*D20),12)</f>
        <v>384864.214732608</v>
      </c>
      <c r="J20" s="16">
        <f>ROUND(IF($A20&gt;$C$1,0,+$F20*(1-0.5*B20)*(1-0.5*C20)*(1-0.5*D20)*E20),12)</f>
        <v>0</v>
      </c>
      <c r="K20" s="16">
        <f>IF(A20&gt;$C$1,0,+F20*$C$2^A20*$C$3^A20)</f>
        <v>5247499.64480477</v>
      </c>
      <c r="L20" s="16">
        <f>IF(A20=$C$1,+J20*$C$2^(A20)*$C$3^A20,+J20*$C$2^(A20+0.5)*$C$3^A20)</f>
        <v>0</v>
      </c>
      <c r="M20" s="16">
        <f>+G20*$C$2^(A20+0.5)*$C$3^A20</f>
        <v>2576.49917693119</v>
      </c>
      <c r="N20" s="16">
        <f>+H20*$C$2^(A20+0.5)*$C$3^A20</f>
        <v>128.793138668062</v>
      </c>
      <c r="O20" s="16">
        <f>+I20*$C$2^(A20+0.5)*$C$3^A20</f>
        <v>254026.556917672</v>
      </c>
      <c r="P20" s="16">
        <f>+SUM(M20:$M$60)</f>
        <v>189318.682789903</v>
      </c>
      <c r="Q20" s="16">
        <f>+SUM(N20:$N$60)</f>
        <v>9444.69876522169</v>
      </c>
      <c r="R20" s="16">
        <f>+SUM(O20:$O$60)</f>
        <v>2399638.11860641</v>
      </c>
      <c r="S20" s="16">
        <f>+SUM(P20:$P$60)</f>
        <v>4279140.95288349</v>
      </c>
      <c r="T20" s="16">
        <f>+SUM(Q20:$Q$60)</f>
        <v>213359.803708062</v>
      </c>
      <c r="U20" s="16">
        <f>+SUM(R20:$R$60)</f>
        <v>20678685.0133878</v>
      </c>
      <c r="V20" s="25">
        <f>IF(A20&gt;$C$1,0,IF($C$1=55,$F$50,IF($C$1=56,$F$51,IF($C$1=60,$F$55,IF($C$1=65,$F$60,0))))/F20)</f>
        <v>0</v>
      </c>
      <c r="W20" s="25"/>
      <c r="X20" s="9">
        <f t="shared" si="9"/>
        <v>11</v>
      </c>
      <c r="Y20" s="22">
        <v>0.00191</v>
      </c>
      <c r="Z20" s="22">
        <v>0.00123</v>
      </c>
      <c r="AA20" s="22">
        <v>0.00077</v>
      </c>
      <c r="AB20" s="22">
        <v>0.000395</v>
      </c>
      <c r="AC20" s="22">
        <v>0.000298</v>
      </c>
      <c r="AD20" s="22">
        <v>0.00097</v>
      </c>
      <c r="AE20" s="22">
        <v>0.00059</v>
      </c>
      <c r="AF20" s="22">
        <v>0.001221</v>
      </c>
      <c r="AG20" s="22">
        <v>0.00059</v>
      </c>
      <c r="AH20" s="22">
        <v>0.00191</v>
      </c>
      <c r="AI20" s="22">
        <v>0.00123</v>
      </c>
      <c r="AJ20" s="22">
        <v>0.00077</v>
      </c>
      <c r="AK20" s="22">
        <v>0.000395</v>
      </c>
      <c r="AL20" s="22">
        <v>0.000298</v>
      </c>
      <c r="AM20" s="22">
        <v>0.00097</v>
      </c>
      <c r="AN20" s="22">
        <v>0.00059</v>
      </c>
      <c r="AO20" s="22">
        <v>0.001221</v>
      </c>
      <c r="AP20" s="28">
        <v>0.00059</v>
      </c>
      <c r="AQ20" s="28">
        <f t="shared" si="8"/>
        <v>0.00058</v>
      </c>
      <c r="AR20" s="28">
        <v>0.00057</v>
      </c>
      <c r="AS20" s="28">
        <v>0.000298</v>
      </c>
      <c r="AT20" s="28">
        <v>0.000104</v>
      </c>
      <c r="AU20" s="28">
        <v>0.00027</v>
      </c>
      <c r="AV20" s="28">
        <v>0.00024</v>
      </c>
      <c r="AX20" s="30">
        <f t="shared" si="10"/>
        <v>11</v>
      </c>
    </row>
    <row r="21" s="1" customFormat="1" ht="14.4" spans="1:50">
      <c r="A21" s="12">
        <v>26</v>
      </c>
      <c r="B21" s="1">
        <v>0.00055</v>
      </c>
      <c r="C21" s="14">
        <f>$E$3*B21</f>
        <v>2.75e-5</v>
      </c>
      <c r="D21" s="17">
        <v>0.04</v>
      </c>
      <c r="E21" s="14">
        <f>IF(A21=$C$1,1,0)</f>
        <v>0</v>
      </c>
      <c r="F21" s="16">
        <f t="shared" si="7"/>
        <v>7310423.31957768</v>
      </c>
      <c r="G21" s="16">
        <f>ROUND(IF($A21&gt;=$C$1,0,+$F21*(1-0.5*C21)*(1-0.5*D21)*(1-0.5*E21)*B21),12)</f>
        <v>3940.26398987754</v>
      </c>
      <c r="H21" s="16">
        <f>ROUND(IF($A21&gt;=$C$1,0,+$F21*(1-0.5*B21)*(1-0.5*D21)*(1-0.5*E21)*C21),12)</f>
        <v>196.961729087791</v>
      </c>
      <c r="I21" s="16">
        <f>ROUND(IF($A21&gt;=$C$1,0,+$F21*(1-0.5*B21)*(1-0.5*C21)*(1-0.5*E21)*D21),12)</f>
        <v>292332.498499468</v>
      </c>
      <c r="J21" s="16">
        <f>ROUND(IF($A21&gt;$C$1,0,+$F21*(1-0.5*B21)*(1-0.5*C21)*(1-0.5*D21)*E21),12)</f>
        <v>0</v>
      </c>
      <c r="K21" s="16">
        <f>IF(A21&gt;$C$1,0,+F21*$C$2^A21*$C$3^A21)</f>
        <v>4906577.82901631</v>
      </c>
      <c r="L21" s="16">
        <f>IF(A21=$C$1,+J21*$C$2^(A21)*$C$3^A21,+J21*$C$2^(A21+0.5)*$C$3^A21)</f>
        <v>0</v>
      </c>
      <c r="M21" s="16">
        <f>+G21*$C$2^(A21+0.5)*$C$3^A21</f>
        <v>2561.16030663589</v>
      </c>
      <c r="N21" s="16">
        <f>+H21*$C$2^(A21+0.5)*$C$3^A21</f>
        <v>128.024559715274</v>
      </c>
      <c r="O21" s="16">
        <f>+I21*$C$2^(A21+0.5)*$C$3^A21</f>
        <v>190015.286645757</v>
      </c>
      <c r="P21" s="16">
        <f>+SUM(M21:$M$60)</f>
        <v>186742.183612971</v>
      </c>
      <c r="Q21" s="16">
        <f>+SUM(N21:$N$60)</f>
        <v>9315.90562655363</v>
      </c>
      <c r="R21" s="16">
        <f>+SUM(O21:$O$60)</f>
        <v>2145611.56168874</v>
      </c>
      <c r="S21" s="16">
        <f>+SUM(P21:$P$60)</f>
        <v>4089822.27009358</v>
      </c>
      <c r="T21" s="16">
        <f>+SUM(Q21:$Q$60)</f>
        <v>203915.10494284</v>
      </c>
      <c r="U21" s="16">
        <f>+SUM(R21:$R$60)</f>
        <v>18279046.8947814</v>
      </c>
      <c r="V21" s="25">
        <f>IF(A21&gt;$C$1,0,IF($C$1=55,$F$50,IF($C$1=56,$F$51,IF($C$1=60,$F$55,IF($C$1=65,$F$60,0))))/F21)</f>
        <v>0</v>
      </c>
      <c r="W21" s="25"/>
      <c r="X21" s="9">
        <f t="shared" si="9"/>
        <v>12</v>
      </c>
      <c r="Y21" s="22">
        <v>0.00192</v>
      </c>
      <c r="Z21" s="22">
        <v>0.00126</v>
      </c>
      <c r="AA21" s="22">
        <v>0.00085</v>
      </c>
      <c r="AB21" s="22">
        <v>0.000403</v>
      </c>
      <c r="AC21" s="22">
        <v>0.000304</v>
      </c>
      <c r="AD21" s="22">
        <v>0.00096</v>
      </c>
      <c r="AE21" s="22">
        <v>0.00065</v>
      </c>
      <c r="AF21" s="22">
        <v>0.00123</v>
      </c>
      <c r="AG21" s="22">
        <v>0.00065</v>
      </c>
      <c r="AH21" s="22">
        <v>0.00192</v>
      </c>
      <c r="AI21" s="22">
        <v>0.00126</v>
      </c>
      <c r="AJ21" s="22">
        <v>0.00085</v>
      </c>
      <c r="AK21" s="22">
        <v>0.000403</v>
      </c>
      <c r="AL21" s="22">
        <v>0.000304</v>
      </c>
      <c r="AM21" s="22">
        <v>0.00096</v>
      </c>
      <c r="AN21" s="22">
        <v>0.00065</v>
      </c>
      <c r="AO21" s="22">
        <v>0.00123</v>
      </c>
      <c r="AP21" s="28">
        <v>0.00065</v>
      </c>
      <c r="AQ21" s="28">
        <f t="shared" si="8"/>
        <v>0.000625</v>
      </c>
      <c r="AR21" s="28">
        <v>0.0006</v>
      </c>
      <c r="AS21" s="28">
        <v>0.000304</v>
      </c>
      <c r="AT21" s="28">
        <v>0.000113</v>
      </c>
      <c r="AU21" s="28">
        <v>0.00026</v>
      </c>
      <c r="AV21" s="28">
        <v>0.00026</v>
      </c>
      <c r="AX21" s="30">
        <f t="shared" si="10"/>
        <v>12</v>
      </c>
    </row>
    <row r="22" s="1" customFormat="1" ht="14.4" spans="1:50">
      <c r="A22" s="12">
        <v>27</v>
      </c>
      <c r="B22" s="13">
        <v>0.0006</v>
      </c>
      <c r="C22" s="14">
        <f>$E$3*B22</f>
        <v>3e-5</v>
      </c>
      <c r="D22" s="17">
        <v>0.04</v>
      </c>
      <c r="E22" s="14">
        <f>IF(A22=$C$1,1,0)</f>
        <v>0</v>
      </c>
      <c r="F22" s="16">
        <f t="shared" si="7"/>
        <v>7013953.59535925</v>
      </c>
      <c r="G22" s="16">
        <f>ROUND(IF($A22&gt;=$C$1,0,+$F22*(1-0.5*C22)*(1-0.5*D22)*(1-0.5*E22)*B22),12)</f>
        <v>4124.14285100053</v>
      </c>
      <c r="H22" s="16">
        <f>ROUND(IF($A22&gt;=$C$1,0,+$F22*(1-0.5*B22)*(1-0.5*D22)*(1-0.5*E22)*C22),12)</f>
        <v>206.148372632851</v>
      </c>
      <c r="I22" s="16">
        <f>ROUND(IF($A22&gt;=$C$1,0,+$F22*(1-0.5*B22)*(1-0.5*C22)*(1-0.5*E22)*D22),12)</f>
        <v>280469.76926158</v>
      </c>
      <c r="J22" s="16">
        <f>ROUND(IF($A22&gt;$C$1,0,+$F22*(1-0.5*B22)*(1-0.5*C22)*(1-0.5*D22)*E22),12)</f>
        <v>0</v>
      </c>
      <c r="K22" s="16">
        <f>IF(A22&gt;$C$1,0,+F22*$C$2^A22*$C$3^A22)</f>
        <v>4635951.74498565</v>
      </c>
      <c r="L22" s="16">
        <f>IF(A22=$C$1,+J22*$C$2^(A22)*$C$3^A22,+J22*$C$2^(A22+0.5)*$C$3^A22)</f>
        <v>0</v>
      </c>
      <c r="M22" s="16">
        <f>+G22*$C$2^(A22+0.5)*$C$3^A22</f>
        <v>2639.88491987523</v>
      </c>
      <c r="N22" s="16">
        <f>+H22*$C$2^(A22+0.5)*$C$3^A22</f>
        <v>131.956627069369</v>
      </c>
      <c r="O22" s="16">
        <f>+I22*$C$2^(A22+0.5)*$C$3^A22</f>
        <v>179530.132952331</v>
      </c>
      <c r="P22" s="16">
        <f>+SUM(M22:$M$60)</f>
        <v>184181.023306335</v>
      </c>
      <c r="Q22" s="16">
        <f>+SUM(N22:$N$60)</f>
        <v>9187.88106683835</v>
      </c>
      <c r="R22" s="16">
        <f>+SUM(O22:$O$60)</f>
        <v>1955596.27504298</v>
      </c>
      <c r="S22" s="16">
        <f>+SUM(P22:$P$60)</f>
        <v>3903080.08648061</v>
      </c>
      <c r="T22" s="16">
        <f>+SUM(Q22:$Q$60)</f>
        <v>194599.199316286</v>
      </c>
      <c r="U22" s="16">
        <f>+SUM(R22:$R$60)</f>
        <v>16133435.3330926</v>
      </c>
      <c r="V22" s="25">
        <f>IF(A22&gt;$C$1,0,IF($C$1=55,$F$50,IF($C$1=56,$F$51,IF($C$1=60,$F$55,IF($C$1=65,$F$60,0))))/F22)</f>
        <v>0</v>
      </c>
      <c r="W22" s="25"/>
      <c r="X22" s="9">
        <f t="shared" si="9"/>
        <v>13</v>
      </c>
      <c r="Y22" s="22">
        <v>0.00198</v>
      </c>
      <c r="Z22" s="22">
        <v>0.00132</v>
      </c>
      <c r="AA22" s="22">
        <v>0.00099</v>
      </c>
      <c r="AB22" s="22">
        <v>0.000411</v>
      </c>
      <c r="AC22" s="22">
        <v>0.00031</v>
      </c>
      <c r="AD22" s="22">
        <v>0.00098</v>
      </c>
      <c r="AE22" s="22">
        <v>0.00076</v>
      </c>
      <c r="AF22" s="22">
        <v>0.00124</v>
      </c>
      <c r="AG22" s="22">
        <v>0.00076</v>
      </c>
      <c r="AH22" s="22">
        <v>0.00198</v>
      </c>
      <c r="AI22" s="22">
        <v>0.00132</v>
      </c>
      <c r="AJ22" s="22">
        <v>0.00099</v>
      </c>
      <c r="AK22" s="22">
        <v>0.000411</v>
      </c>
      <c r="AL22" s="22">
        <v>0.00031</v>
      </c>
      <c r="AM22" s="22">
        <v>0.00098</v>
      </c>
      <c r="AN22" s="22">
        <v>0.00076</v>
      </c>
      <c r="AO22" s="22">
        <v>0.00124</v>
      </c>
      <c r="AP22" s="28">
        <v>0.00076</v>
      </c>
      <c r="AQ22" s="28">
        <f t="shared" si="8"/>
        <v>0.00069</v>
      </c>
      <c r="AR22" s="28">
        <v>0.00062</v>
      </c>
      <c r="AS22" s="28">
        <v>0.00031</v>
      </c>
      <c r="AT22" s="28">
        <v>0.000122</v>
      </c>
      <c r="AU22" s="28">
        <v>0.00026</v>
      </c>
      <c r="AV22" s="28">
        <v>0.00028</v>
      </c>
      <c r="AX22" s="30">
        <f t="shared" si="10"/>
        <v>13</v>
      </c>
    </row>
    <row r="23" s="1" customFormat="1" ht="14.4" spans="1:50">
      <c r="A23" s="12">
        <v>28</v>
      </c>
      <c r="B23" s="1">
        <v>0.00065</v>
      </c>
      <c r="C23" s="14">
        <f>$E$3*B23</f>
        <v>3.25e-5</v>
      </c>
      <c r="D23" s="17">
        <v>0.04</v>
      </c>
      <c r="E23" s="14">
        <f>IF(A23=$C$1,1,0)</f>
        <v>0</v>
      </c>
      <c r="F23" s="16">
        <f t="shared" si="7"/>
        <v>6729153.53487404</v>
      </c>
      <c r="G23" s="16">
        <f>ROUND(IF($A23&gt;=$C$1,0,+$F23*(1-0.5*C23)*(1-0.5*D23)*(1-0.5*E23)*B23),12)</f>
        <v>4286.40114656423</v>
      </c>
      <c r="H23" s="16">
        <f>ROUND(IF($A23&gt;=$C$1,0,+$F23*(1-0.5*B23)*(1-0.5*D23)*(1-0.5*E23)*C23),12)</f>
        <v>214.25388493521</v>
      </c>
      <c r="I23" s="16">
        <f>ROUND(IF($A23&gt;=$C$1,0,+$F23*(1-0.5*B23)*(1-0.5*C23)*(1-0.5*E23)*D23),12)</f>
        <v>269074.289870744</v>
      </c>
      <c r="J23" s="16">
        <f>ROUND(IF($A23&gt;$C$1,0,+$F23*(1-0.5*B23)*(1-0.5*C23)*(1-0.5*D23)*E23),12)</f>
        <v>0</v>
      </c>
      <c r="K23" s="16">
        <f>IF(A23&gt;$C$1,0,+F23*$C$2^A23*$C$3^A23)</f>
        <v>4380022.1679336</v>
      </c>
      <c r="L23" s="16">
        <f>IF(A23=$C$1,+J23*$C$2^(A23)*$C$3^A23,+J23*$C$2^(A23+0.5)*$C$3^A23)</f>
        <v>0</v>
      </c>
      <c r="M23" s="16">
        <f>+G23*$C$2^(A23+0.5)*$C$3^A23</f>
        <v>2701.99138672044</v>
      </c>
      <c r="N23" s="16">
        <f>+H23*$C$2^(A23+0.5)*$C$3^A23</f>
        <v>135.057856666158</v>
      </c>
      <c r="O23" s="16">
        <f>+I23*$C$2^(A23+0.5)*$C$3^A23</f>
        <v>169614.646123689</v>
      </c>
      <c r="P23" s="16">
        <f>+SUM(M23:$M$60)</f>
        <v>181541.13838646</v>
      </c>
      <c r="Q23" s="16">
        <f>+SUM(N23:$N$60)</f>
        <v>9055.92443976898</v>
      </c>
      <c r="R23" s="16">
        <f>+SUM(O23:$O$60)</f>
        <v>1776066.14209065</v>
      </c>
      <c r="S23" s="16">
        <f>+SUM(P23:$P$60)</f>
        <v>3718899.06317428</v>
      </c>
      <c r="T23" s="16">
        <f>+SUM(Q23:$Q$60)</f>
        <v>185411.318249448</v>
      </c>
      <c r="U23" s="16">
        <f>+SUM(R23:$R$60)</f>
        <v>14177839.0580496</v>
      </c>
      <c r="V23" s="25">
        <f>IF(A23&gt;$C$1,0,IF($C$1=55,$F$50,IF($C$1=56,$F$51,IF($C$1=60,$F$55,IF($C$1=65,$F$60,0))))/F23)</f>
        <v>0</v>
      </c>
      <c r="W23" s="25"/>
      <c r="X23" s="9">
        <f t="shared" si="9"/>
        <v>14</v>
      </c>
      <c r="Y23" s="22">
        <v>0.00207</v>
      </c>
      <c r="Z23" s="22">
        <v>0.00139</v>
      </c>
      <c r="AA23" s="22">
        <v>0.00115</v>
      </c>
      <c r="AB23" s="22">
        <v>0.00042</v>
      </c>
      <c r="AC23" s="22">
        <v>0.000317</v>
      </c>
      <c r="AD23" s="22">
        <v>0.00106</v>
      </c>
      <c r="AE23" s="22">
        <v>0.00088</v>
      </c>
      <c r="AF23" s="22">
        <v>0.00125</v>
      </c>
      <c r="AG23" s="22">
        <v>0.00088</v>
      </c>
      <c r="AH23" s="22">
        <v>0.00207</v>
      </c>
      <c r="AI23" s="22">
        <v>0.00139</v>
      </c>
      <c r="AJ23" s="22">
        <v>0.00115</v>
      </c>
      <c r="AK23" s="22">
        <v>0.00042</v>
      </c>
      <c r="AL23" s="22">
        <v>0.000317</v>
      </c>
      <c r="AM23" s="22">
        <v>0.00106</v>
      </c>
      <c r="AN23" s="22">
        <v>0.00088</v>
      </c>
      <c r="AO23" s="22">
        <v>0.00125</v>
      </c>
      <c r="AP23" s="28">
        <v>0.00088</v>
      </c>
      <c r="AQ23" s="28">
        <f t="shared" si="8"/>
        <v>0.00077</v>
      </c>
      <c r="AR23" s="28">
        <v>0.00066</v>
      </c>
      <c r="AS23" s="28">
        <v>0.000317</v>
      </c>
      <c r="AT23" s="28">
        <v>0.000131</v>
      </c>
      <c r="AU23" s="28">
        <v>0.00027</v>
      </c>
      <c r="AV23" s="28">
        <v>0.00029</v>
      </c>
      <c r="AX23" s="30">
        <f t="shared" si="10"/>
        <v>14</v>
      </c>
    </row>
    <row r="24" s="1" customFormat="1" ht="14.4" spans="1:50">
      <c r="A24" s="12">
        <v>29</v>
      </c>
      <c r="B24" s="13">
        <v>0.0007</v>
      </c>
      <c r="C24" s="14">
        <f>$E$3*B24</f>
        <v>3.5e-5</v>
      </c>
      <c r="D24" s="17">
        <v>0.04</v>
      </c>
      <c r="E24" s="14">
        <f>IF(A24=$C$1,1,0)</f>
        <v>0</v>
      </c>
      <c r="F24" s="16">
        <f t="shared" si="7"/>
        <v>6455578.58997179</v>
      </c>
      <c r="G24" s="16">
        <f>ROUND(IF($A24&gt;=$C$1,0,+$F24*(1-0.5*C24)*(1-0.5*D24)*(1-0.5*E24)*B24),12)</f>
        <v>4428.44941349968</v>
      </c>
      <c r="H24" s="16">
        <f>ROUND(IF($A24&gt;=$C$1,0,+$F24*(1-0.5*B24)*(1-0.5*D24)*(1-0.5*E24)*C24),12)</f>
        <v>221.34884641506</v>
      </c>
      <c r="I24" s="16">
        <f>ROUND(IF($A24&gt;=$C$1,0,+$F24*(1-0.5*B24)*(1-0.5*C24)*(1-0.5*E24)*D24),12)</f>
        <v>258128.248175216</v>
      </c>
      <c r="J24" s="16">
        <f>ROUND(IF($A24&gt;$C$1,0,+$F24*(1-0.5*B24)*(1-0.5*C24)*(1-0.5*D24)*E24),12)</f>
        <v>0</v>
      </c>
      <c r="K24" s="16">
        <f>IF(A24&gt;$C$1,0,+F24*$C$2^A24*$C$3^A24)</f>
        <v>4138003.90542169</v>
      </c>
      <c r="L24" s="16">
        <f>IF(A24=$C$1,+J24*$C$2^(A24)*$C$3^A24,+J24*$C$2^(A24+0.5)*$C$3^A24)</f>
        <v>0</v>
      </c>
      <c r="M24" s="16">
        <f>+G24*$C$2^(A24+0.5)*$C$3^A24</f>
        <v>2749.05031351065</v>
      </c>
      <c r="N24" s="16">
        <f>+H24*$C$2^(A24+0.5)*$C$3^A24</f>
        <v>137.406811914254</v>
      </c>
      <c r="O24" s="16">
        <f>+I24*$C$2^(A24+0.5)*$C$3^A24</f>
        <v>160238.375854281</v>
      </c>
      <c r="P24" s="16">
        <f>+SUM(M24:$M$60)</f>
        <v>178839.14699974</v>
      </c>
      <c r="Q24" s="16">
        <f>+SUM(N24:$N$60)</f>
        <v>8920.86658310282</v>
      </c>
      <c r="R24" s="16">
        <f>+SUM(O24:$O$60)</f>
        <v>1606451.49596696</v>
      </c>
      <c r="S24" s="16">
        <f>+SUM(P24:$P$60)</f>
        <v>3537357.92478782</v>
      </c>
      <c r="T24" s="16">
        <f>+SUM(Q24:$Q$60)</f>
        <v>176355.393809679</v>
      </c>
      <c r="U24" s="16">
        <f>+SUM(R24:$R$60)</f>
        <v>12401772.915959</v>
      </c>
      <c r="V24" s="25">
        <f>IF(A24&gt;$C$1,0,IF($C$1=55,$F$50,IF($C$1=56,$F$51,IF($C$1=60,$F$55,IF($C$1=65,$F$60,0))))/F24)</f>
        <v>0</v>
      </c>
      <c r="W24" s="25"/>
      <c r="X24" s="9">
        <f t="shared" si="9"/>
        <v>15</v>
      </c>
      <c r="Y24" s="22">
        <v>0.00215</v>
      </c>
      <c r="Z24" s="22">
        <v>0.00146</v>
      </c>
      <c r="AA24" s="22">
        <v>0.00133</v>
      </c>
      <c r="AB24" s="22">
        <v>0.000431</v>
      </c>
      <c r="AC24" s="22">
        <v>0.000325</v>
      </c>
      <c r="AD24" s="22">
        <v>0.00124</v>
      </c>
      <c r="AE24" s="22">
        <v>0.00102</v>
      </c>
      <c r="AF24" s="22">
        <v>0.00126</v>
      </c>
      <c r="AG24" s="22">
        <v>0.00102</v>
      </c>
      <c r="AH24" s="22">
        <v>0.00215</v>
      </c>
      <c r="AI24" s="22">
        <v>0.00146</v>
      </c>
      <c r="AJ24" s="22">
        <v>0.00133</v>
      </c>
      <c r="AK24" s="22">
        <v>0.000431</v>
      </c>
      <c r="AL24" s="22">
        <v>0.000325</v>
      </c>
      <c r="AM24" s="22">
        <v>0.00124</v>
      </c>
      <c r="AN24" s="22">
        <v>0.00102</v>
      </c>
      <c r="AO24" s="22">
        <v>0.00126</v>
      </c>
      <c r="AP24" s="28">
        <v>0.00102</v>
      </c>
      <c r="AQ24" s="28">
        <f t="shared" si="8"/>
        <v>0.00086</v>
      </c>
      <c r="AR24" s="28">
        <v>0.0007</v>
      </c>
      <c r="AS24" s="28">
        <v>0.000325</v>
      </c>
      <c r="AT24" s="28">
        <v>0.00014</v>
      </c>
      <c r="AU24" s="28">
        <v>0.00029</v>
      </c>
      <c r="AV24" s="28">
        <v>0.00028</v>
      </c>
      <c r="AX24" s="30">
        <f t="shared" si="10"/>
        <v>15</v>
      </c>
    </row>
    <row r="25" s="1" customFormat="1" ht="14.4" spans="1:50">
      <c r="A25" s="12">
        <v>30</v>
      </c>
      <c r="B25" s="1">
        <v>0.00075</v>
      </c>
      <c r="C25" s="14">
        <f>$E$3*B25</f>
        <v>3.75e-5</v>
      </c>
      <c r="D25" s="17">
        <v>0.04</v>
      </c>
      <c r="E25" s="14">
        <f>IF(A25=$C$1,1,0)</f>
        <v>0</v>
      </c>
      <c r="F25" s="16">
        <f t="shared" si="7"/>
        <v>6192800.54353666</v>
      </c>
      <c r="G25" s="16">
        <f>ROUND(IF($A25&gt;=$C$1,0,+$F25*(1-0.5*C25)*(1-0.5*D25)*(1-0.5*E25)*B25),12)</f>
        <v>4551.62305496696</v>
      </c>
      <c r="H25" s="16">
        <f>ROUND(IF($A25&gt;=$C$1,0,+$F25*(1-0.5*B25)*(1-0.5*D25)*(1-0.5*E25)*C25),12)</f>
        <v>227.500075442482</v>
      </c>
      <c r="I25" s="16">
        <f>ROUND(IF($A25&gt;=$C$1,0,+$F25*(1-0.5*B25)*(1-0.5*C25)*(1-0.5*E25)*D25),12)</f>
        <v>247614.486874631</v>
      </c>
      <c r="J25" s="16">
        <f>ROUND(IF($A25&gt;$C$1,0,+$F25*(1-0.5*B25)*(1-0.5*C25)*(1-0.5*D25)*E25),12)</f>
        <v>0</v>
      </c>
      <c r="K25" s="16">
        <f>IF(A25&gt;$C$1,0,+F25*$C$2^A25*$C$3^A25)</f>
        <v>3909153.00146697</v>
      </c>
      <c r="L25" s="16">
        <f>IF(A25=$C$1,+J25*$C$2^(A25)*$C$3^A25,+J25*$C$2^(A25+0.5)*$C$3^A25)</f>
        <v>0</v>
      </c>
      <c r="M25" s="16">
        <f>+G25*$C$2^(A25+0.5)*$C$3^A25</f>
        <v>2782.51261181467</v>
      </c>
      <c r="N25" s="16">
        <f>+H25*$C$2^(A25+0.5)*$C$3^A25</f>
        <v>139.076066155502</v>
      </c>
      <c r="O25" s="16">
        <f>+I25*$C$2^(A25+0.5)*$C$3^A25</f>
        <v>151372.471814162</v>
      </c>
      <c r="P25" s="16">
        <f>+SUM(M25:$M$60)</f>
        <v>176090.096686229</v>
      </c>
      <c r="Q25" s="16">
        <f>+SUM(N25:$N$60)</f>
        <v>8783.45977118857</v>
      </c>
      <c r="R25" s="16">
        <f>+SUM(O25:$O$60)</f>
        <v>1446213.12011268</v>
      </c>
      <c r="S25" s="16">
        <f>+SUM(P25:$P$60)</f>
        <v>3358518.77778808</v>
      </c>
      <c r="T25" s="16">
        <f>+SUM(Q25:$Q$60)</f>
        <v>167434.527226576</v>
      </c>
      <c r="U25" s="16">
        <f>+SUM(R25:$R$60)</f>
        <v>10795321.419992</v>
      </c>
      <c r="V25" s="25">
        <f>IF(A25&gt;$C$1,0,IF($C$1=55,$F$50,IF($C$1=56,$F$51,IF($C$1=60,$F$55,IF($C$1=65,$F$60,0))))/F25)</f>
        <v>0</v>
      </c>
      <c r="W25" s="25"/>
      <c r="X25" s="9">
        <f t="shared" si="9"/>
        <v>16</v>
      </c>
      <c r="Y25" s="22">
        <v>0.00219</v>
      </c>
      <c r="Z25" s="22">
        <v>0.00154</v>
      </c>
      <c r="AA25" s="22">
        <v>0.00151</v>
      </c>
      <c r="AB25" s="22">
        <v>0.000442</v>
      </c>
      <c r="AC25" s="22">
        <v>0.000333</v>
      </c>
      <c r="AD25" s="22">
        <v>0.00149</v>
      </c>
      <c r="AE25" s="22">
        <v>0.00116</v>
      </c>
      <c r="AF25" s="22">
        <v>0.00127</v>
      </c>
      <c r="AG25" s="22">
        <v>0.00116</v>
      </c>
      <c r="AH25" s="22">
        <v>0.00219</v>
      </c>
      <c r="AI25" s="22">
        <v>0.00154</v>
      </c>
      <c r="AJ25" s="22">
        <v>0.00151</v>
      </c>
      <c r="AK25" s="22">
        <v>0.000442</v>
      </c>
      <c r="AL25" s="22">
        <v>0.000333</v>
      </c>
      <c r="AM25" s="22">
        <v>0.00149</v>
      </c>
      <c r="AN25" s="22">
        <v>0.00116</v>
      </c>
      <c r="AO25" s="22">
        <v>0.00127</v>
      </c>
      <c r="AP25" s="28">
        <v>0.00116</v>
      </c>
      <c r="AQ25" s="28">
        <f t="shared" si="8"/>
        <v>0.000955</v>
      </c>
      <c r="AR25" s="28">
        <v>0.00075</v>
      </c>
      <c r="AS25" s="28">
        <v>0.000333</v>
      </c>
      <c r="AT25" s="28">
        <v>0.000149</v>
      </c>
      <c r="AU25" s="28">
        <v>0.0003</v>
      </c>
      <c r="AV25" s="28">
        <v>0.00025</v>
      </c>
      <c r="AX25" s="30">
        <f t="shared" si="10"/>
        <v>16</v>
      </c>
    </row>
    <row r="26" s="1" customFormat="1" ht="14.4" spans="1:50">
      <c r="A26" s="12">
        <v>31</v>
      </c>
      <c r="B26" s="13">
        <v>0.00081</v>
      </c>
      <c r="C26" s="14">
        <f>$E$3*B26</f>
        <v>4.05e-5</v>
      </c>
      <c r="D26" s="17">
        <v>0.04</v>
      </c>
      <c r="E26" s="14">
        <f>IF(A26=$C$1,1,0)</f>
        <v>0</v>
      </c>
      <c r="F26" s="16">
        <f t="shared" si="7"/>
        <v>5940406.93353162</v>
      </c>
      <c r="G26" s="16">
        <f>ROUND(IF($A26&gt;=$C$1,0,+$F26*(1-0.5*C26)*(1-0.5*D26)*(1-0.5*E26)*B26),12)</f>
        <v>4715.39953506317</v>
      </c>
      <c r="H26" s="16">
        <f>ROUND(IF($A26&gt;=$C$1,0,+$F26*(1-0.5*B26)*(1-0.5*D26)*(1-0.5*E26)*C26),12)</f>
        <v>235.679262417637</v>
      </c>
      <c r="I26" s="16">
        <f>ROUND(IF($A26&gt;=$C$1,0,+$F26*(1-0.5*B26)*(1-0.5*C26)*(1-0.5*E26)*D26),12)</f>
        <v>237515.232968076</v>
      </c>
      <c r="J26" s="16">
        <f>ROUND(IF($A26&gt;$C$1,0,+$F26*(1-0.5*B26)*(1-0.5*C26)*(1-0.5*D26)*E26),12)</f>
        <v>0</v>
      </c>
      <c r="K26" s="16">
        <f>IF(A26&gt;$C$1,0,+F26*$C$2^A26*$C$3^A26)</f>
        <v>3692764.60982323</v>
      </c>
      <c r="L26" s="16">
        <f>IF(A26=$C$1,+J26*$C$2^(A26)*$C$3^A26,+J26*$C$2^(A26+0.5)*$C$3^A26)</f>
        <v>0</v>
      </c>
      <c r="M26" s="16">
        <f>+G26*$C$2^(A26+0.5)*$C$3^A26</f>
        <v>2838.76342957089</v>
      </c>
      <c r="N26" s="16">
        <f>+H26*$C$2^(A26+0.5)*$C$3^A26</f>
        <v>141.883559661179</v>
      </c>
      <c r="O26" s="16">
        <f>+I26*$C$2^(A26+0.5)*$C$3^A26</f>
        <v>142988.850107428</v>
      </c>
      <c r="P26" s="16">
        <f>+SUM(M26:$M$60)</f>
        <v>173307.584074415</v>
      </c>
      <c r="Q26" s="16">
        <f>+SUM(N26:$N$60)</f>
        <v>8644.38370503307</v>
      </c>
      <c r="R26" s="16">
        <f>+SUM(O26:$O$60)</f>
        <v>1294840.64829852</v>
      </c>
      <c r="S26" s="16">
        <f>+SUM(P26:$P$60)</f>
        <v>3182428.68110185</v>
      </c>
      <c r="T26" s="16">
        <f>+SUM(Q26:$Q$60)</f>
        <v>158651.067455387</v>
      </c>
      <c r="U26" s="16">
        <f>+SUM(R26:$R$60)</f>
        <v>9349108.29987934</v>
      </c>
      <c r="V26" s="25">
        <f>IF(A26&gt;$C$1,0,IF($C$1=55,$F$50,IF($C$1=56,$F$51,IF($C$1=60,$F$55,IF($C$1=65,$F$60,0))))/F26)</f>
        <v>0</v>
      </c>
      <c r="W26" s="25"/>
      <c r="X26" s="9">
        <f t="shared" si="9"/>
        <v>17</v>
      </c>
      <c r="Y26" s="22">
        <v>0.00225</v>
      </c>
      <c r="Z26" s="22">
        <v>0.00162</v>
      </c>
      <c r="AA26" s="22">
        <v>0.00167</v>
      </c>
      <c r="AB26" s="22">
        <v>0.000455</v>
      </c>
      <c r="AC26" s="22">
        <v>0.000343</v>
      </c>
      <c r="AD26" s="22">
        <v>0.00178</v>
      </c>
      <c r="AE26" s="22">
        <v>0.00128</v>
      </c>
      <c r="AF26" s="22">
        <v>0.00128</v>
      </c>
      <c r="AG26" s="22">
        <v>0.00128</v>
      </c>
      <c r="AH26" s="22">
        <v>0.00225</v>
      </c>
      <c r="AI26" s="22">
        <v>0.00162</v>
      </c>
      <c r="AJ26" s="22">
        <v>0.00167</v>
      </c>
      <c r="AK26" s="22">
        <v>0.000455</v>
      </c>
      <c r="AL26" s="22">
        <v>0.000343</v>
      </c>
      <c r="AM26" s="22">
        <v>0.00178</v>
      </c>
      <c r="AN26" s="22">
        <v>0.00128</v>
      </c>
      <c r="AO26" s="22">
        <v>0.00128</v>
      </c>
      <c r="AP26" s="28">
        <v>0.00128</v>
      </c>
      <c r="AQ26" s="28">
        <f t="shared" si="8"/>
        <v>0.001035</v>
      </c>
      <c r="AR26" s="28">
        <v>0.00079</v>
      </c>
      <c r="AS26" s="28">
        <v>0.000343</v>
      </c>
      <c r="AT26" s="28">
        <v>0.000159</v>
      </c>
      <c r="AU26" s="28">
        <v>0.00032</v>
      </c>
      <c r="AV26" s="28">
        <v>0.00024</v>
      </c>
      <c r="AX26" s="30">
        <f t="shared" si="10"/>
        <v>17</v>
      </c>
    </row>
    <row r="27" s="1" customFormat="1" ht="14.4" spans="1:50">
      <c r="A27" s="12">
        <v>32</v>
      </c>
      <c r="B27" s="1">
        <v>0.00087</v>
      </c>
      <c r="C27" s="14">
        <f>$E$3*B27</f>
        <v>4.35e-5</v>
      </c>
      <c r="D27" s="17">
        <v>0.04</v>
      </c>
      <c r="E27" s="14">
        <f>IF(A27=$C$1,1,0)</f>
        <v>0</v>
      </c>
      <c r="F27" s="16">
        <f t="shared" si="7"/>
        <v>5697940.62176606</v>
      </c>
      <c r="G27" s="16">
        <f>ROUND(IF($A27&gt;=$C$1,0,+$F27*(1-0.5*C27)*(1-0.5*D27)*(1-0.5*E27)*B27),12)</f>
        <v>4857.95851122196</v>
      </c>
      <c r="H27" s="16">
        <f>ROUND(IF($A27&gt;=$C$1,0,+$F27*(1-0.5*B27)*(1-0.5*D27)*(1-0.5*E27)*C27),12)</f>
        <v>242.7975458101</v>
      </c>
      <c r="I27" s="16">
        <f>ROUND(IF($A27&gt;=$C$1,0,+$F27*(1-0.5*B27)*(1-0.5*C27)*(1-0.5*E27)*D27),12)</f>
        <v>227813.525651869</v>
      </c>
      <c r="J27" s="16">
        <f>ROUND(IF($A27&gt;$C$1,0,+$F27*(1-0.5*B27)*(1-0.5*C27)*(1-0.5*D27)*E27),12)</f>
        <v>0</v>
      </c>
      <c r="K27" s="16">
        <f>IF(A27&gt;$C$1,0,+F27*$C$2^A27*$C$3^A27)</f>
        <v>3488134.32111024</v>
      </c>
      <c r="L27" s="16">
        <f>IF(A27=$C$1,+J27*$C$2^(A27)*$C$3^A27,+J27*$C$2^(A27+0.5)*$C$3^A27)</f>
        <v>0</v>
      </c>
      <c r="M27" s="16">
        <f>+G27*$C$2^(A27+0.5)*$C$3^A27</f>
        <v>2880.07872745294</v>
      </c>
      <c r="N27" s="16">
        <f>+H27*$C$2^(A27+0.5)*$C$3^A27</f>
        <v>143.944425451578</v>
      </c>
      <c r="O27" s="16">
        <f>+I27*$C$2^(A27+0.5)*$C$3^A27</f>
        <v>135061.031818274</v>
      </c>
      <c r="P27" s="16">
        <f>+SUM(M27:$M$60)</f>
        <v>170468.820644844</v>
      </c>
      <c r="Q27" s="16">
        <f>+SUM(N27:$N$60)</f>
        <v>8502.50014537189</v>
      </c>
      <c r="R27" s="16">
        <f>+SUM(O27:$O$60)</f>
        <v>1151851.79819109</v>
      </c>
      <c r="S27" s="16">
        <f>+SUM(P27:$P$60)</f>
        <v>3009121.09702743</v>
      </c>
      <c r="T27" s="16">
        <f>+SUM(Q27:$Q$60)</f>
        <v>150006.683750354</v>
      </c>
      <c r="U27" s="16">
        <f>+SUM(R27:$R$60)</f>
        <v>8054267.65158082</v>
      </c>
      <c r="V27" s="25">
        <f>IF(A27&gt;$C$1,0,IF($C$1=55,$F$50,IF($C$1=56,$F$51,IF($C$1=60,$F$55,IF($C$1=65,$F$60,0))))/F27)</f>
        <v>0</v>
      </c>
      <c r="W27" s="25"/>
      <c r="X27" s="9">
        <f t="shared" si="9"/>
        <v>18</v>
      </c>
      <c r="Y27" s="22">
        <v>0.0023</v>
      </c>
      <c r="Z27" s="22">
        <v>0.00169</v>
      </c>
      <c r="AA27" s="22">
        <v>0.00178</v>
      </c>
      <c r="AB27" s="22">
        <v>0.000468</v>
      </c>
      <c r="AC27" s="22">
        <v>0.000353</v>
      </c>
      <c r="AD27" s="22">
        <v>0.00201</v>
      </c>
      <c r="AE27" s="22">
        <v>0.00137</v>
      </c>
      <c r="AF27" s="22">
        <v>0.00129</v>
      </c>
      <c r="AG27" s="22">
        <v>0.00137</v>
      </c>
      <c r="AH27" s="22">
        <v>0.0023</v>
      </c>
      <c r="AI27" s="22">
        <v>0.00169</v>
      </c>
      <c r="AJ27" s="22">
        <v>0.00178</v>
      </c>
      <c r="AK27" s="22">
        <v>0.000468</v>
      </c>
      <c r="AL27" s="22">
        <v>0.000353</v>
      </c>
      <c r="AM27" s="22">
        <v>0.00201</v>
      </c>
      <c r="AN27" s="22">
        <v>0.00137</v>
      </c>
      <c r="AO27" s="22">
        <v>0.00129</v>
      </c>
      <c r="AP27" s="28">
        <v>0.00137</v>
      </c>
      <c r="AQ27" s="28">
        <f t="shared" si="8"/>
        <v>0.00109</v>
      </c>
      <c r="AR27" s="28">
        <v>0.00081</v>
      </c>
      <c r="AS27" s="28">
        <v>0.000353</v>
      </c>
      <c r="AT27" s="28">
        <v>0.000168</v>
      </c>
      <c r="AU27" s="28">
        <v>0.00036</v>
      </c>
      <c r="AV27" s="28">
        <v>0.00023</v>
      </c>
      <c r="AX27" s="30">
        <f t="shared" si="10"/>
        <v>18</v>
      </c>
    </row>
    <row r="28" s="1" customFormat="1" ht="14.4" spans="1:50">
      <c r="A28" s="12">
        <v>33</v>
      </c>
      <c r="B28" s="13">
        <v>0.00093</v>
      </c>
      <c r="C28" s="14">
        <f>$E$3*B28</f>
        <v>4.65e-5</v>
      </c>
      <c r="D28" s="17">
        <v>0.04</v>
      </c>
      <c r="E28" s="14">
        <f>IF(A28=$C$1,1,0)</f>
        <v>0</v>
      </c>
      <c r="F28" s="16">
        <f t="shared" si="7"/>
        <v>5465026.34005716</v>
      </c>
      <c r="G28" s="16">
        <f>ROUND(IF($A28&gt;=$C$1,0,+$F28*(1-0.5*C28)*(1-0.5*D28)*(1-0.5*E28)*B28),12)</f>
        <v>4980.7092021467</v>
      </c>
      <c r="H28" s="16">
        <f>ROUND(IF($A28&gt;=$C$1,0,+$F28*(1-0.5*B28)*(1-0.5*D28)*(1-0.5*E28)*C28),12)</f>
        <v>248.925446135008</v>
      </c>
      <c r="I28" s="16">
        <f>ROUND(IF($A28&gt;=$C$1,0,+$F28*(1-0.5*B28)*(1-0.5*C28)*(1-0.5*E28)*D28),12)</f>
        <v>218494.324001216</v>
      </c>
      <c r="J28" s="16">
        <f>ROUND(IF($A28&gt;$C$1,0,+$F28*(1-0.5*B28)*(1-0.5*C28)*(1-0.5*D28)*E28),12)</f>
        <v>0</v>
      </c>
      <c r="K28" s="16">
        <f>IF(A28&gt;$C$1,0,+F28*$C$2^A28*$C$3^A28)</f>
        <v>3294635.64863876</v>
      </c>
      <c r="L28" s="16">
        <f>IF(A28=$C$1,+J28*$C$2^(A28)*$C$3^A28,+J28*$C$2^(A28+0.5)*$C$3^A28)</f>
        <v>0</v>
      </c>
      <c r="M28" s="16">
        <f>+G28*$C$2^(A28+0.5)*$C$3^A28</f>
        <v>2907.91425739275</v>
      </c>
      <c r="N28" s="16">
        <f>+H28*$C$2^(A28+0.5)*$C$3^A28</f>
        <v>145.331482820129</v>
      </c>
      <c r="O28" s="16">
        <f>+I28*$C$2^(A28+0.5)*$C$3^A28</f>
        <v>127564.717018348</v>
      </c>
      <c r="P28" s="16">
        <f>+SUM(M28:$M$60)</f>
        <v>167588.741917391</v>
      </c>
      <c r="Q28" s="16">
        <f>+SUM(N28:$N$60)</f>
        <v>8358.55571992031</v>
      </c>
      <c r="R28" s="16">
        <f>+SUM(O28:$O$60)</f>
        <v>1016790.76637282</v>
      </c>
      <c r="S28" s="16">
        <f>+SUM(P28:$P$60)</f>
        <v>2838652.27638259</v>
      </c>
      <c r="T28" s="16">
        <f>+SUM(Q28:$Q$60)</f>
        <v>141504.183604983</v>
      </c>
      <c r="U28" s="16">
        <f>+SUM(R28:$R$60)</f>
        <v>6902415.85338973</v>
      </c>
      <c r="V28" s="25">
        <f>IF(A28&gt;$C$1,0,IF($C$1=55,$F$50,IF($C$1=56,$F$51,IF($C$1=60,$F$55,IF($C$1=65,$F$60,0))))/F28)</f>
        <v>0</v>
      </c>
      <c r="W28" s="25"/>
      <c r="X28" s="9">
        <f t="shared" si="9"/>
        <v>19</v>
      </c>
      <c r="Y28" s="22">
        <v>0.00237</v>
      </c>
      <c r="Z28" s="22">
        <v>0.00174</v>
      </c>
      <c r="AA28" s="22">
        <v>0.00186</v>
      </c>
      <c r="AB28" s="22">
        <v>0.000484</v>
      </c>
      <c r="AC28" s="22">
        <v>0.000365</v>
      </c>
      <c r="AD28" s="22">
        <v>0.00214</v>
      </c>
      <c r="AE28" s="22">
        <v>0.00137</v>
      </c>
      <c r="AF28" s="22">
        <v>0.00131</v>
      </c>
      <c r="AG28" s="22">
        <v>0.00137</v>
      </c>
      <c r="AH28" s="22">
        <v>0.00237</v>
      </c>
      <c r="AI28" s="22">
        <v>0.00174</v>
      </c>
      <c r="AJ28" s="22">
        <v>0.00186</v>
      </c>
      <c r="AK28" s="22">
        <v>0.000484</v>
      </c>
      <c r="AL28" s="22">
        <v>0.000365</v>
      </c>
      <c r="AM28" s="22">
        <v>0.00214</v>
      </c>
      <c r="AN28" s="22">
        <v>0.00137</v>
      </c>
      <c r="AO28" s="22">
        <v>0.00131</v>
      </c>
      <c r="AP28" s="28">
        <v>0.00143</v>
      </c>
      <c r="AQ28" s="28">
        <f t="shared" si="8"/>
        <v>0.00114</v>
      </c>
      <c r="AR28" s="28">
        <v>0.00085</v>
      </c>
      <c r="AS28" s="28">
        <v>0.000365</v>
      </c>
      <c r="AT28" s="28">
        <v>0.000179</v>
      </c>
      <c r="AU28" s="28">
        <v>0.00041</v>
      </c>
      <c r="AV28" s="28">
        <v>0.00024</v>
      </c>
      <c r="AX28" s="30">
        <f t="shared" si="10"/>
        <v>19</v>
      </c>
    </row>
    <row r="29" s="1" customFormat="1" ht="14.4" spans="1:50">
      <c r="A29" s="12">
        <v>34</v>
      </c>
      <c r="B29" s="1">
        <v>0.00099</v>
      </c>
      <c r="C29" s="14">
        <f>$E$3*B29</f>
        <v>4.95e-5</v>
      </c>
      <c r="D29" s="17">
        <v>0.04</v>
      </c>
      <c r="E29" s="14">
        <f>IF(A29=$C$1,1,0)</f>
        <v>0</v>
      </c>
      <c r="F29" s="16">
        <f t="shared" si="7"/>
        <v>5241302.38140766</v>
      </c>
      <c r="G29" s="16">
        <f>ROUND(IF($A29&gt;=$C$1,0,+$F29*(1-0.5*C29)*(1-0.5*D29)*(1-0.5*E29)*B29),12)</f>
        <v>5084.98571393035</v>
      </c>
      <c r="H29" s="16">
        <f>ROUND(IF($A29&gt;=$C$1,0,+$F29*(1-0.5*B29)*(1-0.5*D29)*(1-0.5*E29)*C29),12)</f>
        <v>254.129722010717</v>
      </c>
      <c r="I29" s="16">
        <f>ROUND(IF($A29&gt;=$C$1,0,+$F29*(1-0.5*B29)*(1-0.5*C29)*(1-0.5*E29)*D29),12)</f>
        <v>209543.131148297</v>
      </c>
      <c r="J29" s="16">
        <f>ROUND(IF($A29&gt;$C$1,0,+$F29*(1-0.5*B29)*(1-0.5*C29)*(1-0.5*D29)*E29),12)</f>
        <v>0</v>
      </c>
      <c r="K29" s="16">
        <f>IF(A29&gt;$C$1,0,+F29*$C$2^A29*$C$3^A29)</f>
        <v>3111674.79541232</v>
      </c>
      <c r="L29" s="16">
        <f>IF(A29=$C$1,+J29*$C$2^(A29)*$C$3^A29,+J29*$C$2^(A29+0.5)*$C$3^A29)</f>
        <v>0</v>
      </c>
      <c r="M29" s="16">
        <f>+G29*$C$2^(A29+0.5)*$C$3^A29</f>
        <v>2923.61377998385</v>
      </c>
      <c r="N29" s="16">
        <f>+H29*$C$2^(A29+0.5)*$C$3^A29</f>
        <v>146.111945828797</v>
      </c>
      <c r="O29" s="16">
        <f>+I29*$C$2^(A29+0.5)*$C$3^A29</f>
        <v>120476.874506813</v>
      </c>
      <c r="P29" s="16">
        <f>+SUM(M29:$M$60)</f>
        <v>164680.827659998</v>
      </c>
      <c r="Q29" s="16">
        <f>+SUM(N29:$N$60)</f>
        <v>8213.22423710018</v>
      </c>
      <c r="R29" s="16">
        <f>+SUM(O29:$O$60)</f>
        <v>889226.049354467</v>
      </c>
      <c r="S29" s="16">
        <f>+SUM(P29:$P$60)</f>
        <v>2671063.5344652</v>
      </c>
      <c r="T29" s="16">
        <f>+SUM(Q29:$Q$60)</f>
        <v>133145.627885062</v>
      </c>
      <c r="U29" s="16">
        <f>+SUM(R29:$R$60)</f>
        <v>5885625.08701691</v>
      </c>
      <c r="V29" s="25">
        <f>IF(A29&gt;$C$1,0,IF($C$1=55,$F$50,IF($C$1=56,$F$51,IF($C$1=60,$F$55,IF($C$1=65,$F$60,0))))/F29)</f>
        <v>0</v>
      </c>
      <c r="W29" s="25"/>
      <c r="X29" s="9">
        <f t="shared" si="9"/>
        <v>20</v>
      </c>
      <c r="Y29" s="22">
        <v>0.00243</v>
      </c>
      <c r="Z29" s="22">
        <v>0.00179</v>
      </c>
      <c r="AA29" s="22">
        <v>0.0019</v>
      </c>
      <c r="AB29" s="22">
        <v>0.0005</v>
      </c>
      <c r="AC29" s="22">
        <v>0.000377</v>
      </c>
      <c r="AD29" s="22">
        <v>0.00218</v>
      </c>
      <c r="AE29" s="22">
        <v>0.00137</v>
      </c>
      <c r="AF29" s="22">
        <v>0.00133</v>
      </c>
      <c r="AG29" s="22">
        <v>0.00137</v>
      </c>
      <c r="AH29" s="22">
        <v>0.00243</v>
      </c>
      <c r="AI29" s="22">
        <v>0.00179</v>
      </c>
      <c r="AJ29" s="22">
        <v>0.0019</v>
      </c>
      <c r="AK29" s="22">
        <v>0.0005</v>
      </c>
      <c r="AL29" s="22">
        <v>0.000377</v>
      </c>
      <c r="AM29" s="22">
        <v>0.00218</v>
      </c>
      <c r="AN29" s="22">
        <v>0.00137</v>
      </c>
      <c r="AO29" s="22">
        <v>0.00133</v>
      </c>
      <c r="AP29" s="28">
        <v>0.00146</v>
      </c>
      <c r="AQ29" s="28">
        <f t="shared" si="8"/>
        <v>0.001165</v>
      </c>
      <c r="AR29" s="28">
        <v>0.00087</v>
      </c>
      <c r="AS29" s="28">
        <v>0.000377</v>
      </c>
      <c r="AT29" s="28">
        <v>0.000189</v>
      </c>
      <c r="AU29" s="28">
        <v>0.00049</v>
      </c>
      <c r="AV29" s="28">
        <v>0.00026</v>
      </c>
      <c r="AX29" s="30">
        <f t="shared" si="10"/>
        <v>20</v>
      </c>
    </row>
    <row r="30" s="1" customFormat="1" ht="14.4" spans="1:50">
      <c r="A30" s="12">
        <v>35</v>
      </c>
      <c r="B30" s="13">
        <v>0.00107</v>
      </c>
      <c r="C30" s="14">
        <f>$E$3*B30</f>
        <v>5.35e-5</v>
      </c>
      <c r="D30" s="17">
        <v>0.03</v>
      </c>
      <c r="E30" s="14">
        <f>IF(A30=$C$1,1,0)</f>
        <v>0</v>
      </c>
      <c r="F30" s="16">
        <f t="shared" si="7"/>
        <v>5026420.13482343</v>
      </c>
      <c r="G30" s="16">
        <f>ROUND(IF($A30&gt;=$C$1,0,+$F30*(1-0.5*C30)*(1-0.5*D30)*(1-0.5*E30)*B30),12)</f>
        <v>5297.4537904175</v>
      </c>
      <c r="H30" s="16">
        <f>ROUND(IF($A30&gt;=$C$1,0,+$F30*(1-0.5*B30)*(1-0.5*D30)*(1-0.5*E30)*C30),12)</f>
        <v>264.738064375203</v>
      </c>
      <c r="I30" s="16">
        <f>ROUND(IF($A30&gt;=$C$1,0,+$F30*(1-0.5*B30)*(1-0.5*C30)*(1-0.5*E30)*D30),12)</f>
        <v>150707.898457411</v>
      </c>
      <c r="J30" s="16">
        <f>ROUND(IF($A30&gt;$C$1,0,+$F30*(1-0.5*B30)*(1-0.5*C30)*(1-0.5*D30)*E30),12)</f>
        <v>0</v>
      </c>
      <c r="K30" s="16">
        <f>IF(A30&gt;$C$1,0,+F30*$C$2^A30*$C$3^A30)</f>
        <v>2938688.98608881</v>
      </c>
      <c r="L30" s="16">
        <f>IF(A30=$C$1,+J30*$C$2^(A30)*$C$3^A30,+J30*$C$2^(A30+0.5)*$C$3^A30)</f>
        <v>0</v>
      </c>
      <c r="M30" s="16">
        <f>+G30*$C$2^(A30+0.5)*$C$3^A30</f>
        <v>2999.42006672466</v>
      </c>
      <c r="N30" s="16">
        <f>+H30*$C$2^(A30+0.5)*$C$3^A30</f>
        <v>149.894778534774</v>
      </c>
      <c r="O30" s="16">
        <f>+I30*$C$2^(A30+0.5)*$C$3^A30</f>
        <v>85330.8613403565</v>
      </c>
      <c r="P30" s="16">
        <f>+SUM(M30:$M$60)</f>
        <v>161757.213880014</v>
      </c>
      <c r="Q30" s="16">
        <f>+SUM(N30:$N$60)</f>
        <v>8067.11229127139</v>
      </c>
      <c r="R30" s="16">
        <f>+SUM(O30:$O$60)</f>
        <v>768749.174847654</v>
      </c>
      <c r="S30" s="16">
        <f>+SUM(P30:$P$60)</f>
        <v>2506382.7068052</v>
      </c>
      <c r="T30" s="16">
        <f>+SUM(Q30:$Q$60)</f>
        <v>124932.403647962</v>
      </c>
      <c r="U30" s="16">
        <f>+SUM(R30:$R$60)</f>
        <v>4996399.03766245</v>
      </c>
      <c r="V30" s="25">
        <f>IF(A30&gt;$C$1,0,IF($C$1=55,$F$50,IF($C$1=56,$F$51,IF($C$1=60,$F$55,IF($C$1=65,$F$60,0))))/F30)</f>
        <v>0</v>
      </c>
      <c r="W30" s="25"/>
      <c r="X30" s="9">
        <f t="shared" si="9"/>
        <v>21</v>
      </c>
      <c r="Y30" s="22">
        <v>0.00251</v>
      </c>
      <c r="Z30" s="22">
        <v>0.00183</v>
      </c>
      <c r="AA30" s="22">
        <v>0.00191</v>
      </c>
      <c r="AB30" s="22">
        <v>0.00052</v>
      </c>
      <c r="AC30" s="22">
        <v>0.000392</v>
      </c>
      <c r="AD30" s="22">
        <v>0.0022</v>
      </c>
      <c r="AE30" s="22">
        <v>0.00137</v>
      </c>
      <c r="AF30" s="22">
        <v>0.00136</v>
      </c>
      <c r="AG30" s="22">
        <v>0.00137</v>
      </c>
      <c r="AH30" s="22">
        <v>0.00251</v>
      </c>
      <c r="AI30" s="22">
        <v>0.00183</v>
      </c>
      <c r="AJ30" s="22">
        <v>0.00191</v>
      </c>
      <c r="AK30" s="22">
        <v>0.00052</v>
      </c>
      <c r="AL30" s="22">
        <v>0.000392</v>
      </c>
      <c r="AM30" s="22">
        <v>0.0022</v>
      </c>
      <c r="AN30" s="22">
        <v>0.00137</v>
      </c>
      <c r="AO30" s="22">
        <v>0.00136</v>
      </c>
      <c r="AP30" s="28">
        <v>0.00147</v>
      </c>
      <c r="AQ30" s="28">
        <f t="shared" si="8"/>
        <v>0.00118</v>
      </c>
      <c r="AR30" s="28">
        <v>0.00089</v>
      </c>
      <c r="AS30" s="28">
        <v>0.000392</v>
      </c>
      <c r="AT30" s="28">
        <v>0.000201</v>
      </c>
      <c r="AU30" s="28">
        <v>0.00059</v>
      </c>
      <c r="AV30" s="28">
        <v>0.00029</v>
      </c>
      <c r="AX30" s="30">
        <f t="shared" si="10"/>
        <v>21</v>
      </c>
    </row>
    <row r="31" s="1" customFormat="1" ht="14.4" spans="1:50">
      <c r="A31" s="12">
        <v>36</v>
      </c>
      <c r="B31" s="1">
        <v>0.00116</v>
      </c>
      <c r="C31" s="14">
        <f>$E$3*B31</f>
        <v>5.8e-5</v>
      </c>
      <c r="D31" s="17">
        <v>0.03</v>
      </c>
      <c r="E31" s="14">
        <f>IF(A31=$C$1,1,0)</f>
        <v>0</v>
      </c>
      <c r="F31" s="16">
        <f t="shared" si="7"/>
        <v>4870150.04451122</v>
      </c>
      <c r="G31" s="16">
        <f>ROUND(IF($A31&gt;=$C$1,0,+$F31*(1-0.5*C31)*(1-0.5*D31)*(1-0.5*E31)*B31),12)</f>
        <v>5564.47206648874</v>
      </c>
      <c r="H31" s="16">
        <f>ROUND(IF($A31&gt;=$C$1,0,+$F31*(1-0.5*B31)*(1-0.5*D31)*(1-0.5*E31)*C31),12)</f>
        <v>278.070297673141</v>
      </c>
      <c r="I31" s="16">
        <f>ROUND(IF($A31&gt;=$C$1,0,+$F31*(1-0.5*B31)*(1-0.5*C31)*(1-0.5*E31)*D31),12)</f>
        <v>146015.526151501</v>
      </c>
      <c r="J31" s="16">
        <f>ROUND(IF($A31&gt;$C$1,0,+$F31*(1-0.5*B31)*(1-0.5*C31)*(1-0.5*D31)*E31),12)</f>
        <v>0</v>
      </c>
      <c r="K31" s="16">
        <f>IF(A31&gt;$C$1,0,+F31*$C$2^A31*$C$3^A31)</f>
        <v>2803993.69671063</v>
      </c>
      <c r="L31" s="16">
        <f>IF(A31=$C$1,+J31*$C$2^(A31)*$C$3^A31,+J31*$C$2^(A31+0.5)*$C$3^A31)</f>
        <v>0</v>
      </c>
      <c r="M31" s="16">
        <f>+G31*$C$2^(A31+0.5)*$C$3^A31</f>
        <v>3102.65819983374</v>
      </c>
      <c r="N31" s="16">
        <f>+H31*$C$2^(A31+0.5)*$C$3^A31</f>
        <v>155.047429279341</v>
      </c>
      <c r="O31" s="16">
        <f>+I31*$C$2^(A31+0.5)*$C$3^A31</f>
        <v>81415.8583426702</v>
      </c>
      <c r="P31" s="16">
        <f>+SUM(M31:$M$60)</f>
        <v>158757.793813289</v>
      </c>
      <c r="Q31" s="16">
        <f>+SUM(N31:$N$60)</f>
        <v>7917.21751273661</v>
      </c>
      <c r="R31" s="16">
        <f>+SUM(O31:$O$60)</f>
        <v>683418.313507298</v>
      </c>
      <c r="S31" s="16">
        <f>+SUM(P31:$P$60)</f>
        <v>2344625.49292519</v>
      </c>
      <c r="T31" s="16">
        <f>+SUM(Q31:$Q$60)</f>
        <v>116865.291356691</v>
      </c>
      <c r="U31" s="16">
        <f>+SUM(R31:$R$60)</f>
        <v>4227649.86281479</v>
      </c>
      <c r="V31" s="25">
        <f>IF(A31&gt;$C$1,0,IF($C$1=55,$F$50,IF($C$1=56,$F$51,IF($C$1=60,$F$55,IF($C$1=65,$F$60,0))))/F31)</f>
        <v>0</v>
      </c>
      <c r="W31" s="25"/>
      <c r="X31" s="9">
        <f t="shared" si="9"/>
        <v>22</v>
      </c>
      <c r="Y31" s="22">
        <v>0.00259</v>
      </c>
      <c r="Z31" s="22">
        <v>0.00186</v>
      </c>
      <c r="AA31" s="22">
        <v>0.00189</v>
      </c>
      <c r="AB31" s="22">
        <v>0.00054</v>
      </c>
      <c r="AC31" s="22">
        <v>0.000408</v>
      </c>
      <c r="AD31" s="22">
        <v>0.00222</v>
      </c>
      <c r="AE31" s="22">
        <v>0.00137</v>
      </c>
      <c r="AF31" s="22">
        <v>0.0014</v>
      </c>
      <c r="AG31" s="22">
        <v>0.00137</v>
      </c>
      <c r="AH31" s="22">
        <v>0.00259</v>
      </c>
      <c r="AI31" s="22">
        <v>0.00186</v>
      </c>
      <c r="AJ31" s="22">
        <v>0.00189</v>
      </c>
      <c r="AK31" s="22">
        <v>0.00054</v>
      </c>
      <c r="AL31" s="22">
        <v>0.000408</v>
      </c>
      <c r="AM31" s="22">
        <v>0.00222</v>
      </c>
      <c r="AN31" s="22">
        <v>0.00137</v>
      </c>
      <c r="AO31" s="22">
        <v>0.0014</v>
      </c>
      <c r="AP31" s="28">
        <v>0.00145</v>
      </c>
      <c r="AQ31" s="28">
        <f t="shared" si="8"/>
        <v>0.001175</v>
      </c>
      <c r="AR31" s="28">
        <v>0.0009</v>
      </c>
      <c r="AS31" s="28">
        <v>0.000408</v>
      </c>
      <c r="AT31" s="28">
        <v>0.000212</v>
      </c>
      <c r="AU31" s="28">
        <v>0.00069</v>
      </c>
      <c r="AV31" s="28">
        <v>0.00033</v>
      </c>
      <c r="AX31" s="30">
        <f t="shared" si="10"/>
        <v>22</v>
      </c>
    </row>
    <row r="32" s="1" customFormat="1" ht="14.4" spans="1:50">
      <c r="A32" s="12">
        <v>37</v>
      </c>
      <c r="B32" s="13">
        <v>0.00127</v>
      </c>
      <c r="C32" s="14">
        <f>$E$3*B32</f>
        <v>6.35e-5</v>
      </c>
      <c r="D32" s="17">
        <v>0.03</v>
      </c>
      <c r="E32" s="14">
        <f>IF(A32=$C$1,1,0)</f>
        <v>0</v>
      </c>
      <c r="F32" s="16">
        <f t="shared" si="7"/>
        <v>4718291.97599556</v>
      </c>
      <c r="G32" s="16">
        <f>ROUND(IF($A32&gt;=$C$1,0,+$F32*(1-0.5*C32)*(1-0.5*D32)*(1-0.5*E32)*B32),12)</f>
        <v>5902.15994784337</v>
      </c>
      <c r="H32" s="16">
        <f>ROUND(IF($A32&gt;=$C$1,0,+$F32*(1-0.5*B32)*(1-0.5*D32)*(1-0.5*E32)*C32),12)</f>
        <v>294.929967840303</v>
      </c>
      <c r="I32" s="16">
        <f>ROUND(IF($A32&gt;=$C$1,0,+$F32*(1-0.5*B32)*(1-0.5*C32)*(1-0.5*E32)*D32),12)</f>
        <v>141454.384498417</v>
      </c>
      <c r="J32" s="16">
        <f>ROUND(IF($A32&gt;$C$1,0,+$F32*(1-0.5*B32)*(1-0.5*C32)*(1-0.5*D32)*E32),12)</f>
        <v>0</v>
      </c>
      <c r="K32" s="16">
        <f>IF(A32&gt;$C$1,0,+F32*$C$2^A32*$C$3^A32)</f>
        <v>2675219.09851113</v>
      </c>
      <c r="L32" s="16">
        <f>IF(A32=$C$1,+J32*$C$2^(A32)*$C$3^A32,+J32*$C$2^(A32+0.5)*$C$3^A32)</f>
        <v>0</v>
      </c>
      <c r="M32" s="16">
        <f>+G32*$C$2^(A32+0.5)*$C$3^A32</f>
        <v>3240.86391573477</v>
      </c>
      <c r="N32" s="16">
        <f>+H32*$C$2^(A32+0.5)*$C$3^A32</f>
        <v>161.945440125138</v>
      </c>
      <c r="O32" s="16">
        <f>+I32*$C$2^(A32+0.5)*$C$3^A32</f>
        <v>77672.3122542456</v>
      </c>
      <c r="P32" s="16">
        <f>+SUM(M32:$M$60)</f>
        <v>155655.135613456</v>
      </c>
      <c r="Q32" s="16">
        <f>+SUM(N32:$N$60)</f>
        <v>7762.17008345727</v>
      </c>
      <c r="R32" s="16">
        <f>+SUM(O32:$O$60)</f>
        <v>602002.455164628</v>
      </c>
      <c r="S32" s="16">
        <f>+SUM(P32:$P$60)</f>
        <v>2185867.6991119</v>
      </c>
      <c r="T32" s="16">
        <f>+SUM(Q32:$Q$60)</f>
        <v>108948.073843954</v>
      </c>
      <c r="U32" s="16">
        <f>+SUM(R32:$R$60)</f>
        <v>3544231.5493075</v>
      </c>
      <c r="V32" s="25">
        <f>IF(A32&gt;$C$1,0,IF($C$1=55,$F$50,IF($C$1=56,$F$51,IF($C$1=60,$F$55,IF($C$1=65,$F$60,0))))/F32)</f>
        <v>0</v>
      </c>
      <c r="W32" s="25"/>
      <c r="X32" s="9">
        <f t="shared" si="9"/>
        <v>23</v>
      </c>
      <c r="Y32" s="22">
        <v>0.00268</v>
      </c>
      <c r="Z32" s="22">
        <v>0.00189</v>
      </c>
      <c r="AA32" s="22">
        <v>0.00186</v>
      </c>
      <c r="AB32" s="22">
        <v>0.00057</v>
      </c>
      <c r="AC32" s="22">
        <v>0.000424</v>
      </c>
      <c r="AD32" s="22">
        <v>0.00223</v>
      </c>
      <c r="AE32" s="22">
        <v>0.00137</v>
      </c>
      <c r="AF32" s="22">
        <v>0.00144</v>
      </c>
      <c r="AG32" s="22">
        <v>0.00137</v>
      </c>
      <c r="AH32" s="22">
        <v>0.00268</v>
      </c>
      <c r="AI32" s="22">
        <v>0.00189</v>
      </c>
      <c r="AJ32" s="22">
        <v>0.00186</v>
      </c>
      <c r="AK32" s="22">
        <v>0.00057</v>
      </c>
      <c r="AL32" s="22">
        <v>0.000424</v>
      </c>
      <c r="AM32" s="22">
        <v>0.00223</v>
      </c>
      <c r="AN32" s="22">
        <v>0.00137</v>
      </c>
      <c r="AO32" s="22">
        <v>0.00144</v>
      </c>
      <c r="AP32" s="28">
        <v>0.00143</v>
      </c>
      <c r="AQ32" s="28">
        <f t="shared" si="8"/>
        <v>0.001175</v>
      </c>
      <c r="AR32" s="28">
        <v>0.00092</v>
      </c>
      <c r="AS32" s="28">
        <v>0.000424</v>
      </c>
      <c r="AT32" s="28">
        <v>0.000225</v>
      </c>
      <c r="AU32" s="28">
        <v>0.00077</v>
      </c>
      <c r="AV32" s="28">
        <v>0.00037</v>
      </c>
      <c r="AX32" s="30">
        <f t="shared" si="10"/>
        <v>23</v>
      </c>
    </row>
    <row r="33" s="1" customFormat="1" ht="14.4" spans="1:50">
      <c r="A33" s="12">
        <v>38</v>
      </c>
      <c r="B33" s="1">
        <v>0.00139</v>
      </c>
      <c r="C33" s="14">
        <f>$E$3*B33</f>
        <v>6.95e-5</v>
      </c>
      <c r="D33" s="17">
        <v>0.03</v>
      </c>
      <c r="E33" s="14">
        <f>IF(A33=$C$1,1,0)</f>
        <v>0</v>
      </c>
      <c r="F33" s="16">
        <f t="shared" si="7"/>
        <v>4570640.50158146</v>
      </c>
      <c r="G33" s="16">
        <f>ROUND(IF($A33&gt;=$C$1,0,+$F33*(1-0.5*C33)*(1-0.5*D33)*(1-0.5*E33)*B33),12)</f>
        <v>6257.67498097787</v>
      </c>
      <c r="H33" s="16">
        <f>ROUND(IF($A33&gt;=$C$1,0,+$F33*(1-0.5*B33)*(1-0.5*D33)*(1-0.5*E33)*C33),12)</f>
        <v>312.677160374628</v>
      </c>
      <c r="I33" s="16">
        <f>ROUND(IF($A33&gt;=$C$1,0,+$F33*(1-0.5*B33)*(1-0.5*C33)*(1-0.5*E33)*D33),12)</f>
        <v>137019.155611863</v>
      </c>
      <c r="J33" s="16">
        <f>ROUND(IF($A33&gt;$C$1,0,+$F33*(1-0.5*B33)*(1-0.5*C33)*(1-0.5*D33)*E33),12)</f>
        <v>0</v>
      </c>
      <c r="K33" s="16">
        <f>IF(A33&gt;$C$1,0,+F33*$C$2^A33*$C$3^A33)</f>
        <v>2552063.4058054</v>
      </c>
      <c r="L33" s="16">
        <f>IF(A33=$C$1,+J33*$C$2^(A33)*$C$3^A33,+J33*$C$2^(A33+0.5)*$C$3^A33)</f>
        <v>0</v>
      </c>
      <c r="M33" s="16">
        <f>+G33*$C$2^(A33+0.5)*$C$3^A33</f>
        <v>3383.7843360207</v>
      </c>
      <c r="N33" s="16">
        <f>+H33*$C$2^(A33+0.5)*$C$3^A33</f>
        <v>169.077505738683</v>
      </c>
      <c r="O33" s="16">
        <f>+I33*$C$2^(A33+0.5)*$C$3^A33</f>
        <v>74091.9389235765</v>
      </c>
      <c r="P33" s="16">
        <f>+SUM(M33:$M$60)</f>
        <v>152414.271697721</v>
      </c>
      <c r="Q33" s="16">
        <f>+SUM(N33:$N$60)</f>
        <v>7600.22464333213</v>
      </c>
      <c r="R33" s="16">
        <f>+SUM(O33:$O$60)</f>
        <v>524330.142910382</v>
      </c>
      <c r="S33" s="16">
        <f>+SUM(P33:$P$60)</f>
        <v>2030212.56349844</v>
      </c>
      <c r="T33" s="16">
        <f>+SUM(Q33:$Q$60)</f>
        <v>101185.903760497</v>
      </c>
      <c r="U33" s="16">
        <f>+SUM(R33:$R$60)</f>
        <v>2942229.09414287</v>
      </c>
      <c r="V33" s="25">
        <f>IF(A33&gt;$C$1,0,IF($C$1=55,$F$50,IF($C$1=56,$F$51,IF($C$1=60,$F$55,IF($C$1=65,$F$60,0))))/F33)</f>
        <v>0</v>
      </c>
      <c r="W33" s="25"/>
      <c r="X33" s="9">
        <f t="shared" si="9"/>
        <v>24</v>
      </c>
      <c r="Y33" s="22">
        <v>0.00277</v>
      </c>
      <c r="Z33" s="22">
        <v>0.00191</v>
      </c>
      <c r="AA33" s="22">
        <v>0.00182</v>
      </c>
      <c r="AB33" s="22">
        <v>0.00059</v>
      </c>
      <c r="AC33" s="22">
        <v>0.000444</v>
      </c>
      <c r="AD33" s="22">
        <v>0.00229</v>
      </c>
      <c r="AE33" s="22">
        <v>0.00137</v>
      </c>
      <c r="AF33" s="22">
        <v>0.0015</v>
      </c>
      <c r="AG33" s="22">
        <v>0.00137</v>
      </c>
      <c r="AH33" s="22">
        <v>0.00277</v>
      </c>
      <c r="AI33" s="22">
        <v>0.00191</v>
      </c>
      <c r="AJ33" s="22">
        <v>0.00182</v>
      </c>
      <c r="AK33" s="22">
        <v>0.00059</v>
      </c>
      <c r="AL33" s="22">
        <v>0.000444</v>
      </c>
      <c r="AM33" s="22">
        <v>0.00229</v>
      </c>
      <c r="AN33" s="22">
        <v>0.00137</v>
      </c>
      <c r="AO33" s="22">
        <v>0.0015</v>
      </c>
      <c r="AP33" s="28">
        <v>0.00139</v>
      </c>
      <c r="AQ33" s="28">
        <f t="shared" si="8"/>
        <v>0.001175</v>
      </c>
      <c r="AR33" s="28">
        <v>0.00096</v>
      </c>
      <c r="AS33" s="28">
        <v>0.000444</v>
      </c>
      <c r="AT33" s="28">
        <v>0.000239</v>
      </c>
      <c r="AU33" s="28">
        <v>0.00083</v>
      </c>
      <c r="AV33" s="28">
        <v>0.00039</v>
      </c>
      <c r="AX33" s="30">
        <f t="shared" si="10"/>
        <v>24</v>
      </c>
    </row>
    <row r="34" s="1" customFormat="1" ht="14.4" spans="1:50">
      <c r="A34" s="12">
        <v>39</v>
      </c>
      <c r="B34" s="1">
        <v>0.00155</v>
      </c>
      <c r="C34" s="14">
        <f>$E$3*B34</f>
        <v>7.75e-5</v>
      </c>
      <c r="D34" s="17">
        <v>0.03</v>
      </c>
      <c r="E34" s="14">
        <f>IF(A34=$C$1,1,0)</f>
        <v>0</v>
      </c>
      <c r="F34" s="16">
        <f t="shared" si="7"/>
        <v>4427050.99382824</v>
      </c>
      <c r="G34" s="16">
        <f>ROUND(IF($A34&gt;=$C$1,0,+$F34*(1-0.5*C34)*(1-0.5*D34)*(1-0.5*E34)*B34),12)</f>
        <v>6758.73819357321</v>
      </c>
      <c r="H34" s="16">
        <f>ROUND(IF($A34&gt;=$C$1,0,+$F34*(1-0.5*B34)*(1-0.5*D34)*(1-0.5*E34)*C34),12)</f>
        <v>337.688093987301</v>
      </c>
      <c r="I34" s="16">
        <f>ROUND(IF($A34&gt;=$C$1,0,+$F34*(1-0.5*B34)*(1-0.5*C34)*(1-0.5*E34)*D34),12)</f>
        <v>132703.458420957</v>
      </c>
      <c r="J34" s="16">
        <f>ROUND(IF($A34&gt;$C$1,0,+$F34*(1-0.5*B34)*(1-0.5*C34)*(1-0.5*D34)*E34),12)</f>
        <v>0</v>
      </c>
      <c r="K34" s="16">
        <f>IF(A34&gt;$C$1,0,+F34*$C$2^A34*$C$3^A34)</f>
        <v>2434270.14952386</v>
      </c>
      <c r="L34" s="16">
        <f>IF(A34=$C$1,+J34*$C$2^(A34)*$C$3^A34,+J34*$C$2^(A34+0.5)*$C$3^A34)</f>
        <v>0</v>
      </c>
      <c r="M34" s="16">
        <f>+G34*$C$2^(A34+0.5)*$C$3^A34</f>
        <v>3599.11024412933</v>
      </c>
      <c r="N34" s="16">
        <f>+H34*$C$2^(A34+0.5)*$C$3^A34</f>
        <v>179.823014826331</v>
      </c>
      <c r="O34" s="16">
        <f>+I34*$C$2^(A34+0.5)*$C$3^A34</f>
        <v>70666.2046901614</v>
      </c>
      <c r="P34" s="16">
        <f>+SUM(M34:$M$60)</f>
        <v>149030.4873617</v>
      </c>
      <c r="Q34" s="16">
        <f>+SUM(N34:$N$60)</f>
        <v>7431.14713759345</v>
      </c>
      <c r="R34" s="16">
        <f>+SUM(O34:$O$60)</f>
        <v>450238.203986806</v>
      </c>
      <c r="S34" s="16">
        <f>+SUM(P34:$P$60)</f>
        <v>1877798.29180072</v>
      </c>
      <c r="T34" s="16">
        <f>+SUM(Q34:$Q$60)</f>
        <v>93585.6791171647</v>
      </c>
      <c r="U34" s="16">
        <f>+SUM(R34:$R$60)</f>
        <v>2417898.95123249</v>
      </c>
      <c r="V34" s="25">
        <f>IF(A34&gt;$C$1,0,IF($C$1=55,$F$50,IF($C$1=56,$F$51,IF($C$1=60,$F$55,IF($C$1=65,$F$60,0))))/F34)</f>
        <v>0</v>
      </c>
      <c r="W34" s="25"/>
      <c r="X34" s="9">
        <f t="shared" si="9"/>
        <v>25</v>
      </c>
      <c r="Y34" s="22">
        <v>0.00288</v>
      </c>
      <c r="Z34" s="22">
        <v>0.00193</v>
      </c>
      <c r="AA34" s="22">
        <v>0.00177</v>
      </c>
      <c r="AB34" s="22">
        <v>0.00062</v>
      </c>
      <c r="AC34" s="22">
        <v>0.000464</v>
      </c>
      <c r="AD34" s="22">
        <v>0.00227</v>
      </c>
      <c r="AE34" s="22">
        <v>0.00137</v>
      </c>
      <c r="AF34" s="22">
        <v>0.00156</v>
      </c>
      <c r="AG34" s="22">
        <v>0.00137</v>
      </c>
      <c r="AH34" s="22">
        <v>0.00288</v>
      </c>
      <c r="AI34" s="22">
        <v>0.00193</v>
      </c>
      <c r="AJ34" s="22">
        <v>0.00177</v>
      </c>
      <c r="AK34" s="22">
        <v>0.00062</v>
      </c>
      <c r="AL34" s="22">
        <v>0.000464</v>
      </c>
      <c r="AM34" s="22">
        <v>0.00227</v>
      </c>
      <c r="AN34" s="22">
        <v>0.00137</v>
      </c>
      <c r="AO34" s="22">
        <v>0.00156</v>
      </c>
      <c r="AP34" s="28">
        <v>0.00137</v>
      </c>
      <c r="AQ34" s="28">
        <f t="shared" si="8"/>
        <v>0.001185</v>
      </c>
      <c r="AR34" s="28">
        <v>0.001</v>
      </c>
      <c r="AS34" s="28">
        <v>0.000464</v>
      </c>
      <c r="AT34" s="28">
        <v>0.000253</v>
      </c>
      <c r="AU34" s="28">
        <v>0.00085</v>
      </c>
      <c r="AV34" s="28">
        <v>0.00042</v>
      </c>
      <c r="AX34" s="30">
        <f t="shared" si="10"/>
        <v>25</v>
      </c>
    </row>
    <row r="35" s="1" customFormat="1" ht="14.4" spans="1:50">
      <c r="A35" s="12">
        <v>40</v>
      </c>
      <c r="B35" s="18">
        <v>0.00173</v>
      </c>
      <c r="C35" s="14">
        <f>$E$3*B35</f>
        <v>8.65e-5</v>
      </c>
      <c r="D35" s="17">
        <v>0.03</v>
      </c>
      <c r="E35" s="14">
        <f>IF(A35=$C$1,1,0)</f>
        <v>0</v>
      </c>
      <c r="F35" s="16">
        <f t="shared" si="7"/>
        <v>4287251.10911972</v>
      </c>
      <c r="G35" s="16">
        <f>ROUND(IF($A35&gt;=$C$1,0,+$F35*(1-0.5*C35)*(1-0.5*D35)*(1-0.5*E35)*B35),12)</f>
        <v>7305.37428139205</v>
      </c>
      <c r="H35" s="16">
        <f>ROUND(IF($A35&gt;=$C$1,0,+$F35*(1-0.5*B35)*(1-0.5*D35)*(1-0.5*E35)*C35),12)</f>
        <v>364.968541521353</v>
      </c>
      <c r="I35" s="16">
        <f>ROUND(IF($A35&gt;=$C$1,0,+$F35*(1-0.5*B35)*(1-0.5*C35)*(1-0.5*E35)*D35),12)</f>
        <v>128500.721210739</v>
      </c>
      <c r="J35" s="16">
        <f>ROUND(IF($A35&gt;$C$1,0,+$F35*(1-0.5*B35)*(1-0.5*C35)*(1-0.5*D35)*E35),12)</f>
        <v>0</v>
      </c>
      <c r="K35" s="16">
        <f>IF(A35&gt;$C$1,0,+F35*$C$2^A35*$C$3^A35)</f>
        <v>2321523.1723114</v>
      </c>
      <c r="L35" s="16">
        <f>IF(A35=$C$1,+J35*$C$2^(A35)*$C$3^A35,+J35*$C$2^(A35+0.5)*$C$3^A35)</f>
        <v>0</v>
      </c>
      <c r="M35" s="16">
        <f>+G35*$C$2^(A35+0.5)*$C$3^A35</f>
        <v>3830.99733312902</v>
      </c>
      <c r="N35" s="16">
        <f>+H35*$C$2^(A35+0.5)*$C$3^A35</f>
        <v>191.392453745418</v>
      </c>
      <c r="O35" s="16">
        <f>+I35*$C$2^(A35+0.5)*$C$3^A35</f>
        <v>67386.8170611638</v>
      </c>
      <c r="P35" s="16">
        <f>+SUM(M35:$M$60)</f>
        <v>145431.377117571</v>
      </c>
      <c r="Q35" s="16">
        <f>+SUM(N35:$N$60)</f>
        <v>7251.32412276712</v>
      </c>
      <c r="R35" s="16">
        <f>+SUM(O35:$O$60)</f>
        <v>379571.999296644</v>
      </c>
      <c r="S35" s="16">
        <f>+SUM(P35:$P$60)</f>
        <v>1728767.80443902</v>
      </c>
      <c r="T35" s="16">
        <f>+SUM(Q35:$Q$60)</f>
        <v>86154.5319795712</v>
      </c>
      <c r="U35" s="16">
        <f>+SUM(R35:$R$60)</f>
        <v>1967660.74724568</v>
      </c>
      <c r="V35" s="25">
        <f>IF(A35&gt;$C$1,0,IF($C$1=55,$F$50,IF($C$1=56,$F$51,IF($C$1=60,$F$55,IF($C$1=65,$F$60,0))))/F35)</f>
        <v>0</v>
      </c>
      <c r="W35" s="25"/>
      <c r="X35" s="9">
        <f t="shared" si="9"/>
        <v>26</v>
      </c>
      <c r="Y35" s="22">
        <v>0.00299</v>
      </c>
      <c r="Z35" s="22">
        <v>0.00196</v>
      </c>
      <c r="AA35" s="22">
        <v>0.00173</v>
      </c>
      <c r="AB35" s="22">
        <v>0.00065</v>
      </c>
      <c r="AC35" s="22">
        <v>0.000488</v>
      </c>
      <c r="AD35" s="22">
        <v>0.00217</v>
      </c>
      <c r="AE35" s="22">
        <v>0.00137</v>
      </c>
      <c r="AF35" s="22">
        <v>0.00163</v>
      </c>
      <c r="AG35" s="22">
        <v>0.00137</v>
      </c>
      <c r="AH35" s="22">
        <v>0.00299</v>
      </c>
      <c r="AI35" s="22">
        <v>0.00196</v>
      </c>
      <c r="AJ35" s="22">
        <v>0.00173</v>
      </c>
      <c r="AK35" s="22">
        <v>0.00065</v>
      </c>
      <c r="AL35" s="22">
        <v>0.000488</v>
      </c>
      <c r="AM35" s="22">
        <v>0.00217</v>
      </c>
      <c r="AN35" s="22">
        <v>0.00137</v>
      </c>
      <c r="AO35" s="22">
        <v>0.00163</v>
      </c>
      <c r="AP35" s="28">
        <v>0.00136</v>
      </c>
      <c r="AQ35" s="28">
        <f t="shared" si="8"/>
        <v>0.00119</v>
      </c>
      <c r="AR35" s="28">
        <v>0.00102</v>
      </c>
      <c r="AS35" s="28">
        <v>0.000488</v>
      </c>
      <c r="AT35" s="28">
        <v>0.000268</v>
      </c>
      <c r="AU35" s="28">
        <v>0.00083</v>
      </c>
      <c r="AV35" s="28">
        <v>0.00044</v>
      </c>
      <c r="AX35" s="30">
        <f t="shared" si="10"/>
        <v>26</v>
      </c>
    </row>
    <row r="36" s="1" customFormat="1" ht="14.4" spans="1:50">
      <c r="A36" s="12">
        <v>41</v>
      </c>
      <c r="B36" s="18">
        <v>0.00193</v>
      </c>
      <c r="C36" s="14">
        <f>$E$3*B36</f>
        <v>9.65e-5</v>
      </c>
      <c r="D36" s="17">
        <v>0.02</v>
      </c>
      <c r="E36" s="14">
        <f>IF(A36=$C$1,1,0)</f>
        <v>0</v>
      </c>
      <c r="F36" s="16">
        <f t="shared" si="7"/>
        <v>4151080.04508607</v>
      </c>
      <c r="G36" s="16">
        <f>ROUND(IF($A36&gt;=$C$1,0,+$F36*(1-0.5*C36)*(1-0.5*D36)*(1-0.5*E36)*B36),12)</f>
        <v>7931.08594878397</v>
      </c>
      <c r="H36" s="16">
        <f>ROUND(IF($A36&gt;=$C$1,0,+$F36*(1-0.5*B36)*(1-0.5*D36)*(1-0.5*E36)*C36),12)</f>
        <v>396.190738745314</v>
      </c>
      <c r="I36" s="16">
        <f>ROUND(IF($A36&gt;=$C$1,0,+$F36*(1-0.5*B36)*(1-0.5*C36)*(1-0.5*E36)*D36),12)</f>
        <v>82937.4831301973</v>
      </c>
      <c r="J36" s="16">
        <f>ROUND(IF($A36&gt;$C$1,0,+$F36*(1-0.5*B36)*(1-0.5*C36)*(1-0.5*D36)*E36),12)</f>
        <v>0</v>
      </c>
      <c r="K36" s="16">
        <f>IF(A36&gt;$C$1,0,+F36*$C$2^A36*$C$3^A36)</f>
        <v>2213579.18350004</v>
      </c>
      <c r="L36" s="16">
        <f>IF(A36=$C$1,+J36*$C$2^(A36)*$C$3^A36,+J36*$C$2^(A36+0.5)*$C$3^A36)</f>
        <v>0</v>
      </c>
      <c r="M36" s="16">
        <f>+G36*$C$2^(A36+0.5)*$C$3^A36</f>
        <v>4095.82966516125</v>
      </c>
      <c r="N36" s="16">
        <f>+H36*$C$2^(A36+0.5)*$C$3^A36</f>
        <v>204.603731606768</v>
      </c>
      <c r="O36" s="16">
        <f>+I36*$C$2^(A36+0.5)*$C$3^A36</f>
        <v>42831.1842731394</v>
      </c>
      <c r="P36" s="16">
        <f>+SUM(M36:$M$60)</f>
        <v>141600.379784442</v>
      </c>
      <c r="Q36" s="16">
        <f>+SUM(N36:$N$60)</f>
        <v>7059.9316690217</v>
      </c>
      <c r="R36" s="16">
        <f>+SUM(O36:$O$60)</f>
        <v>312185.18223548</v>
      </c>
      <c r="S36" s="16">
        <f>+SUM(P36:$P$60)</f>
        <v>1583336.42732145</v>
      </c>
      <c r="T36" s="16">
        <f>+SUM(Q36:$Q$60)</f>
        <v>78903.2078568041</v>
      </c>
      <c r="U36" s="16">
        <f>+SUM(R36:$R$60)</f>
        <v>1588088.74794904</v>
      </c>
      <c r="V36" s="25">
        <f>IF(A36&gt;$C$1,0,IF($C$1=55,$F$50,IF($C$1=56,$F$51,IF($C$1=60,$F$55,IF($C$1=65,$F$60,0))))/F36)</f>
        <v>0</v>
      </c>
      <c r="W36" s="25"/>
      <c r="X36" s="9">
        <f t="shared" si="9"/>
        <v>27</v>
      </c>
      <c r="Y36" s="22">
        <v>0.00311</v>
      </c>
      <c r="Z36" s="22">
        <v>0.00199</v>
      </c>
      <c r="AA36" s="22">
        <v>0.00171</v>
      </c>
      <c r="AB36" s="22">
        <v>0.00068</v>
      </c>
      <c r="AC36" s="22">
        <v>0.000513</v>
      </c>
      <c r="AD36" s="22">
        <v>0.00202</v>
      </c>
      <c r="AE36" s="22">
        <v>0.00137</v>
      </c>
      <c r="AF36" s="22">
        <v>0.00172</v>
      </c>
      <c r="AG36" s="22">
        <v>0.00137</v>
      </c>
      <c r="AH36" s="22">
        <v>0.00311</v>
      </c>
      <c r="AI36" s="22">
        <v>0.00199</v>
      </c>
      <c r="AJ36" s="22">
        <v>0.00171</v>
      </c>
      <c r="AK36" s="22">
        <v>0.00068</v>
      </c>
      <c r="AL36" s="22">
        <v>0.000513</v>
      </c>
      <c r="AM36" s="22">
        <v>0.00202</v>
      </c>
      <c r="AN36" s="22">
        <v>0.00137</v>
      </c>
      <c r="AO36" s="22">
        <v>0.00172</v>
      </c>
      <c r="AP36" s="28">
        <v>0.00135</v>
      </c>
      <c r="AQ36" s="28">
        <f t="shared" si="8"/>
        <v>0.001195</v>
      </c>
      <c r="AR36" s="28">
        <v>0.00104</v>
      </c>
      <c r="AS36" s="28">
        <v>0.000513</v>
      </c>
      <c r="AT36" s="28">
        <v>0.000284</v>
      </c>
      <c r="AU36" s="28">
        <v>0.00079</v>
      </c>
      <c r="AV36" s="28">
        <v>0.00046</v>
      </c>
      <c r="AX36" s="30">
        <f t="shared" si="10"/>
        <v>27</v>
      </c>
    </row>
    <row r="37" s="1" customFormat="1" ht="14.4" spans="1:50">
      <c r="A37" s="12">
        <v>42</v>
      </c>
      <c r="B37" s="18">
        <v>0.00216</v>
      </c>
      <c r="C37" s="14">
        <f>$E$3*B37</f>
        <v>0.000108</v>
      </c>
      <c r="D37" s="17">
        <v>0.02</v>
      </c>
      <c r="E37" s="14">
        <f>IF(A37=$C$1,1,0)</f>
        <v>0</v>
      </c>
      <c r="F37" s="16">
        <f t="shared" si="7"/>
        <v>4059815.28526834</v>
      </c>
      <c r="G37" s="16">
        <f>ROUND(IF($A37&gt;=$C$1,0,+$F37*(1-0.5*C37)*(1-0.5*D37)*(1-0.5*E37)*B37),12)</f>
        <v>8681.0402045315</v>
      </c>
      <c r="H37" s="16">
        <f>ROUND(IF($A37&gt;=$C$1,0,+$F37*(1-0.5*B37)*(1-0.5*D37)*(1-0.5*E37)*C37),12)</f>
        <v>433.606648814567</v>
      </c>
      <c r="I37" s="16">
        <f>ROUND(IF($A37&gt;=$C$1,0,+$F37*(1-0.5*B37)*(1-0.5*C37)*(1-0.5*E37)*D37),12)</f>
        <v>81104.2338300656</v>
      </c>
      <c r="J37" s="16">
        <f>ROUND(IF($A37&gt;$C$1,0,+$F37*(1-0.5*B37)*(1-0.5*C37)*(1-0.5*D37)*E37),12)</f>
        <v>0</v>
      </c>
      <c r="K37" s="16">
        <f>IF(A37&gt;$C$1,0,+F37*$C$2^A37*$C$3^A37)</f>
        <v>2131965.05062065</v>
      </c>
      <c r="L37" s="16">
        <f>IF(A37=$C$1,+J37*$C$2^(A37)*$C$3^A37,+J37*$C$2^(A37+0.5)*$C$3^A37)</f>
        <v>0</v>
      </c>
      <c r="M37" s="16">
        <f>+G37*$C$2^(A37+0.5)*$C$3^A37</f>
        <v>4414.89979615966</v>
      </c>
      <c r="N37" s="16">
        <f>+H37*$C$2^(A37+0.5)*$C$3^A37</f>
        <v>220.518493217624</v>
      </c>
      <c r="O37" s="16">
        <f>+I37*$C$2^(A37+0.5)*$C$3^A37</f>
        <v>41247.0230488198</v>
      </c>
      <c r="P37" s="16">
        <f>+SUM(M37:$M$60)</f>
        <v>137504.550119281</v>
      </c>
      <c r="Q37" s="16">
        <f>+SUM(N37:$N$60)</f>
        <v>6855.32793741493</v>
      </c>
      <c r="R37" s="16">
        <f>+SUM(O37:$O$60)</f>
        <v>269353.997962341</v>
      </c>
      <c r="S37" s="16">
        <f>+SUM(P37:$P$60)</f>
        <v>1441736.04753701</v>
      </c>
      <c r="T37" s="16">
        <f>+SUM(Q37:$Q$60)</f>
        <v>71843.2761877824</v>
      </c>
      <c r="U37" s="16">
        <f>+SUM(R37:$R$60)</f>
        <v>1275903.56571356</v>
      </c>
      <c r="V37" s="25">
        <f>IF(A37&gt;$C$1,0,IF($C$1=55,$F$50,IF($C$1=56,$F$51,IF($C$1=60,$F$55,IF($C$1=65,$F$60,0))))/F37)</f>
        <v>0</v>
      </c>
      <c r="W37" s="25"/>
      <c r="X37" s="9">
        <f t="shared" si="9"/>
        <v>28</v>
      </c>
      <c r="Y37" s="22">
        <v>0.00325</v>
      </c>
      <c r="Z37" s="22">
        <v>0.00203</v>
      </c>
      <c r="AA37" s="22">
        <v>0.0017</v>
      </c>
      <c r="AB37" s="22">
        <v>0.00072</v>
      </c>
      <c r="AC37" s="22">
        <v>0.000542</v>
      </c>
      <c r="AD37" s="22">
        <v>0.00187</v>
      </c>
      <c r="AE37" s="22">
        <v>0.00137</v>
      </c>
      <c r="AF37" s="22">
        <v>0.00182</v>
      </c>
      <c r="AG37" s="22">
        <v>0.00137</v>
      </c>
      <c r="AH37" s="22">
        <v>0.00325</v>
      </c>
      <c r="AI37" s="22">
        <v>0.00203</v>
      </c>
      <c r="AJ37" s="22">
        <v>0.0017</v>
      </c>
      <c r="AK37" s="22">
        <v>0.00072</v>
      </c>
      <c r="AL37" s="22">
        <v>0.000542</v>
      </c>
      <c r="AM37" s="22">
        <v>0.00187</v>
      </c>
      <c r="AN37" s="22">
        <v>0.00137</v>
      </c>
      <c r="AO37" s="22">
        <v>0.00182</v>
      </c>
      <c r="AP37" s="28">
        <v>0.00136</v>
      </c>
      <c r="AQ37" s="28">
        <f t="shared" si="8"/>
        <v>0.0012</v>
      </c>
      <c r="AR37" s="28">
        <v>0.00104</v>
      </c>
      <c r="AS37" s="28">
        <v>0.000542</v>
      </c>
      <c r="AT37" s="28">
        <v>0.000302</v>
      </c>
      <c r="AU37" s="28">
        <v>0.00075</v>
      </c>
      <c r="AV37" s="28">
        <v>0.00048</v>
      </c>
      <c r="AX37" s="30">
        <f t="shared" si="10"/>
        <v>28</v>
      </c>
    </row>
    <row r="38" s="1" customFormat="1" ht="14.4" spans="1:50">
      <c r="A38" s="12">
        <v>43</v>
      </c>
      <c r="B38" s="18">
        <v>0.00241</v>
      </c>
      <c r="C38" s="14">
        <f>$E$3*B38</f>
        <v>0.0001205</v>
      </c>
      <c r="D38" s="17">
        <v>0.02</v>
      </c>
      <c r="E38" s="14">
        <f>IF(A38=$C$1,1,0)</f>
        <v>0</v>
      </c>
      <c r="F38" s="16">
        <f t="shared" si="7"/>
        <v>3969596.40458493</v>
      </c>
      <c r="G38" s="16">
        <f>ROUND(IF($A38&gt;=$C$1,0,+$F38*(1-0.5*C38)*(1-0.5*D38)*(1-0.5*E38)*B38),12)</f>
        <v>9470.48943033047</v>
      </c>
      <c r="H38" s="16">
        <f>ROUND(IF($A38&gt;=$C$1,0,+$F38*(1-0.5*B38)*(1-0.5*D38)*(1-0.5*E38)*C38),12)</f>
        <v>472.982371716242</v>
      </c>
      <c r="I38" s="16">
        <f>ROUND(IF($A38&gt;=$C$1,0,+$F38*(1-0.5*B38)*(1-0.5*C38)*(1-0.5*E38)*D38),12)</f>
        <v>79291.4832186339</v>
      </c>
      <c r="J38" s="16">
        <f>ROUND(IF($A38&gt;$C$1,0,+$F38*(1-0.5*B38)*(1-0.5*C38)*(1-0.5*D38)*E38),12)</f>
        <v>0</v>
      </c>
      <c r="K38" s="16">
        <f>IF(A38&gt;$C$1,0,+F38*$C$2^A38*$C$3^A38)</f>
        <v>2052863.21518561</v>
      </c>
      <c r="L38" s="16">
        <f>IF(A38=$C$1,+J38*$C$2^(A38)*$C$3^A38,+J38*$C$2^(A38+0.5)*$C$3^A38)</f>
        <v>0</v>
      </c>
      <c r="M38" s="16">
        <f>+G38*$C$2^(A38+0.5)*$C$3^A38</f>
        <v>4743.08993640283</v>
      </c>
      <c r="N38" s="16">
        <f>+H38*$C$2^(A38+0.5)*$C$3^A38</f>
        <v>236.882997852094</v>
      </c>
      <c r="O38" s="16">
        <f>+I38*$C$2^(A38+0.5)*$C$3^A38</f>
        <v>39711.425567119</v>
      </c>
      <c r="P38" s="16">
        <f>+SUM(M38:$M$60)</f>
        <v>133089.650323121</v>
      </c>
      <c r="Q38" s="16">
        <f>+SUM(N38:$N$60)</f>
        <v>6634.80944419731</v>
      </c>
      <c r="R38" s="16">
        <f>+SUM(O38:$O$60)</f>
        <v>228106.974913521</v>
      </c>
      <c r="S38" s="16">
        <f>+SUM(P38:$P$60)</f>
        <v>1304231.49741773</v>
      </c>
      <c r="T38" s="16">
        <f>+SUM(Q38:$Q$60)</f>
        <v>64987.9482503675</v>
      </c>
      <c r="U38" s="16">
        <f>+SUM(R38:$R$60)</f>
        <v>1006549.56775122</v>
      </c>
      <c r="V38" s="25">
        <f>IF(A38&gt;$C$1,0,IF($C$1=55,$F$50,IF($C$1=56,$F$51,IF($C$1=60,$F$55,IF($C$1=65,$F$60,0))))/F38)</f>
        <v>0</v>
      </c>
      <c r="W38" s="25"/>
      <c r="X38" s="9">
        <f t="shared" si="9"/>
        <v>29</v>
      </c>
      <c r="Y38" s="22">
        <v>0.0034</v>
      </c>
      <c r="Z38" s="22">
        <v>0.00208</v>
      </c>
      <c r="AA38" s="22">
        <v>0.00171</v>
      </c>
      <c r="AB38" s="22">
        <v>0.00076</v>
      </c>
      <c r="AC38" s="22">
        <v>0.000572</v>
      </c>
      <c r="AD38" s="22">
        <v>0.00176</v>
      </c>
      <c r="AE38" s="22">
        <v>0.00137</v>
      </c>
      <c r="AF38" s="22">
        <v>0.00194</v>
      </c>
      <c r="AG38" s="22">
        <v>0.00137</v>
      </c>
      <c r="AH38" s="22">
        <v>0.0034</v>
      </c>
      <c r="AI38" s="22">
        <v>0.00208</v>
      </c>
      <c r="AJ38" s="22">
        <v>0.00171</v>
      </c>
      <c r="AK38" s="22">
        <v>0.00076</v>
      </c>
      <c r="AL38" s="22">
        <v>0.000572</v>
      </c>
      <c r="AM38" s="22">
        <v>0.00176</v>
      </c>
      <c r="AN38" s="22">
        <v>0.00137</v>
      </c>
      <c r="AO38" s="22">
        <v>0.00194</v>
      </c>
      <c r="AP38" s="28">
        <v>0.00137</v>
      </c>
      <c r="AQ38" s="28">
        <f t="shared" si="8"/>
        <v>0.001205</v>
      </c>
      <c r="AR38" s="28">
        <v>0.00104</v>
      </c>
      <c r="AS38" s="28">
        <v>0.000572</v>
      </c>
      <c r="AT38" s="28">
        <v>0.00032</v>
      </c>
      <c r="AU38" s="28">
        <v>0.00074</v>
      </c>
      <c r="AV38" s="28">
        <v>0.00051</v>
      </c>
      <c r="AX38" s="30">
        <f t="shared" si="10"/>
        <v>29</v>
      </c>
    </row>
    <row r="39" s="1" customFormat="1" ht="14.4" spans="1:50">
      <c r="A39" s="12">
        <v>44</v>
      </c>
      <c r="B39" s="19">
        <v>0.0027</v>
      </c>
      <c r="C39" s="14">
        <f>$E$3*B39</f>
        <v>0.000135</v>
      </c>
      <c r="D39" s="17">
        <v>0.02</v>
      </c>
      <c r="E39" s="14">
        <f>IF(A39=$C$1,1,0)</f>
        <v>0</v>
      </c>
      <c r="F39" s="16">
        <f t="shared" si="7"/>
        <v>3880361.44956425</v>
      </c>
      <c r="G39" s="16">
        <f>ROUND(IF($A39&gt;=$C$1,0,+$F39*(1-0.5*C39)*(1-0.5*D39)*(1-0.5*E39)*B39),12)</f>
        <v>10371.5060307698</v>
      </c>
      <c r="H39" s="16">
        <f>ROUND(IF($A39&gt;=$C$1,0,+$F39*(1-0.5*B39)*(1-0.5*D39)*(1-0.5*E39)*C39),12)</f>
        <v>517.910183818821</v>
      </c>
      <c r="I39" s="16">
        <f>ROUND(IF($A39&gt;=$C$1,0,+$F39*(1-0.5*B39)*(1-0.5*C39)*(1-0.5*E39)*D39),12)</f>
        <v>77497.2278161486</v>
      </c>
      <c r="J39" s="16">
        <f>ROUND(IF($A39&gt;$C$1,0,+$F39*(1-0.5*B39)*(1-0.5*C39)*(1-0.5*D39)*E39),12)</f>
        <v>0</v>
      </c>
      <c r="K39" s="16">
        <f>IF(A39&gt;$C$1,0,+F39*$C$2^A39*$C$3^A39)</f>
        <v>1976176.32954191</v>
      </c>
      <c r="L39" s="16">
        <f>IF(A39=$C$1,+J39*$C$2^(A39)*$C$3^A39,+J39*$C$2^(A39+0.5)*$C$3^A39)</f>
        <v>0</v>
      </c>
      <c r="M39" s="16">
        <f>+G39*$C$2^(A39+0.5)*$C$3^A39</f>
        <v>5115.294152684</v>
      </c>
      <c r="N39" s="16">
        <f>+H39*$C$2^(A39+0.5)*$C$3^A39</f>
        <v>255.436667253934</v>
      </c>
      <c r="O39" s="16">
        <f>+I39*$C$2^(A39+0.5)*$C$3^A39</f>
        <v>38222.1362183156</v>
      </c>
      <c r="P39" s="16">
        <f>+SUM(M39:$M$60)</f>
        <v>128346.560386718</v>
      </c>
      <c r="Q39" s="16">
        <f>+SUM(N39:$N$60)</f>
        <v>6397.92644634522</v>
      </c>
      <c r="R39" s="16">
        <f>+SUM(O39:$O$60)</f>
        <v>188395.549346402</v>
      </c>
      <c r="S39" s="16">
        <f>+SUM(P39:$P$60)</f>
        <v>1171141.84709461</v>
      </c>
      <c r="T39" s="16">
        <f>+SUM(Q39:$Q$60)</f>
        <v>58353.1388061702</v>
      </c>
      <c r="U39" s="16">
        <f>+SUM(R39:$R$60)</f>
        <v>778442.592837695</v>
      </c>
      <c r="V39" s="25">
        <f>IF(A39&gt;$C$1,0,IF($C$1=55,$F$50,IF($C$1=56,$F$51,IF($C$1=60,$F$55,IF($C$1=65,$F$60,0))))/F39)</f>
        <v>0</v>
      </c>
      <c r="W39" s="25"/>
      <c r="X39" s="9">
        <f t="shared" si="9"/>
        <v>30</v>
      </c>
      <c r="Y39" s="22">
        <v>0.00356</v>
      </c>
      <c r="Z39" s="22">
        <v>0.00213</v>
      </c>
      <c r="AA39" s="22">
        <v>0.00173</v>
      </c>
      <c r="AB39" s="22">
        <v>0.00081</v>
      </c>
      <c r="AC39" s="22">
        <v>0.000607</v>
      </c>
      <c r="AD39" s="22">
        <v>0.00173</v>
      </c>
      <c r="AE39" s="22">
        <v>0.00137</v>
      </c>
      <c r="AF39" s="22">
        <v>0.00207</v>
      </c>
      <c r="AG39" s="22">
        <v>0.00137</v>
      </c>
      <c r="AH39" s="22">
        <v>0.00356</v>
      </c>
      <c r="AI39" s="22">
        <v>0.00213</v>
      </c>
      <c r="AJ39" s="22">
        <v>0.00173</v>
      </c>
      <c r="AK39" s="22">
        <v>0.00081</v>
      </c>
      <c r="AL39" s="22">
        <v>0.000607</v>
      </c>
      <c r="AM39" s="22">
        <v>0.00173</v>
      </c>
      <c r="AN39" s="22">
        <v>0.00137</v>
      </c>
      <c r="AO39" s="22">
        <v>0.00207</v>
      </c>
      <c r="AP39" s="28">
        <v>0.00137</v>
      </c>
      <c r="AQ39" s="28">
        <f t="shared" si="8"/>
        <v>0.001205</v>
      </c>
      <c r="AR39" s="28">
        <v>0.00104</v>
      </c>
      <c r="AS39" s="28">
        <v>0.000607</v>
      </c>
      <c r="AT39" s="28">
        <v>0.000342</v>
      </c>
      <c r="AU39" s="28">
        <v>0.00076</v>
      </c>
      <c r="AV39" s="28">
        <v>0.00054</v>
      </c>
      <c r="AX39" s="30">
        <f t="shared" si="10"/>
        <v>30</v>
      </c>
    </row>
    <row r="40" s="1" customFormat="1" ht="14.4" spans="1:50">
      <c r="A40" s="12">
        <v>45</v>
      </c>
      <c r="B40" s="18">
        <v>0.00302</v>
      </c>
      <c r="C40" s="14">
        <f>$E$3*B40</f>
        <v>0.000151</v>
      </c>
      <c r="D40" s="17">
        <v>0.02</v>
      </c>
      <c r="E40" s="14">
        <f>IF(A40=$C$1,1,0)</f>
        <v>0</v>
      </c>
      <c r="F40" s="16">
        <f t="shared" si="7"/>
        <v>3791974.80553351</v>
      </c>
      <c r="G40" s="16">
        <f>ROUND(IF($A40&gt;=$C$1,0,+$F40*(1-0.5*C40)*(1-0.5*D40)*(1-0.5*E40)*B40),12)</f>
        <v>11336.3903114904</v>
      </c>
      <c r="H40" s="16">
        <f>ROUND(IF($A40&gt;=$C$1,0,+$F40*(1-0.5*B40)*(1-0.5*D40)*(1-0.5*E40)*C40),12)</f>
        <v>566.00635158555</v>
      </c>
      <c r="I40" s="16">
        <f>ROUND(IF($A40&gt;=$C$1,0,+$F40*(1-0.5*B40)*(1-0.5*C40)*(1-0.5*E40)*D40),12)</f>
        <v>75719.2612356686</v>
      </c>
      <c r="J40" s="16">
        <f>ROUND(IF($A40&gt;$C$1,0,+$F40*(1-0.5*B40)*(1-0.5*C40)*(1-0.5*D40)*E40),12)</f>
        <v>0</v>
      </c>
      <c r="K40" s="16">
        <f>IF(A40&gt;$C$1,0,+F40*$C$2^A40*$C$3^A40)</f>
        <v>1901773.56976366</v>
      </c>
      <c r="L40" s="16">
        <f>IF(A40=$C$1,+J40*$C$2^(A40)*$C$3^A40,+J40*$C$2^(A40+0.5)*$C$3^A40)</f>
        <v>0</v>
      </c>
      <c r="M40" s="16">
        <f>+G40*$C$2^(A40+0.5)*$C$3^A40</f>
        <v>5506.09158916051</v>
      </c>
      <c r="N40" s="16">
        <f>+H40*$C$2^(A40+0.5)*$C$3^A40</f>
        <v>274.909625219749</v>
      </c>
      <c r="O40" s="16">
        <f>+I40*$C$2^(A40+0.5)*$C$3^A40</f>
        <v>36776.8907007887</v>
      </c>
      <c r="P40" s="16">
        <f>+SUM(M40:$M$60)</f>
        <v>123231.266234034</v>
      </c>
      <c r="Q40" s="16">
        <f>+SUM(N40:$N$60)</f>
        <v>6142.48977909128</v>
      </c>
      <c r="R40" s="16">
        <f>+SUM(O40:$O$60)</f>
        <v>150173.413128086</v>
      </c>
      <c r="S40" s="16">
        <f>+SUM(P40:$P$60)</f>
        <v>1042795.28670789</v>
      </c>
      <c r="T40" s="16">
        <f>+SUM(Q40:$Q$60)</f>
        <v>51955.2123598249</v>
      </c>
      <c r="U40" s="16">
        <f>+SUM(R40:$R$60)</f>
        <v>590047.043491293</v>
      </c>
      <c r="V40" s="25">
        <f>IF(A40&gt;$C$1,0,IF($C$1=55,$F$50,IF($C$1=56,$F$51,IF($C$1=60,$F$55,IF($C$1=65,$F$60,0))))/F40)</f>
        <v>0</v>
      </c>
      <c r="W40" s="25"/>
      <c r="X40" s="9">
        <f t="shared" si="9"/>
        <v>31</v>
      </c>
      <c r="Y40" s="22">
        <v>0.00373</v>
      </c>
      <c r="Z40" s="22">
        <v>0.00219</v>
      </c>
      <c r="AA40" s="22">
        <v>0.00178</v>
      </c>
      <c r="AB40" s="22">
        <v>0.00086</v>
      </c>
      <c r="AC40" s="22">
        <v>0.000645</v>
      </c>
      <c r="AD40" s="22">
        <v>0.00177</v>
      </c>
      <c r="AE40" s="22">
        <v>0.00139</v>
      </c>
      <c r="AF40" s="22">
        <v>0.00221</v>
      </c>
      <c r="AG40" s="22">
        <v>0.00139</v>
      </c>
      <c r="AH40" s="22">
        <v>0.00373</v>
      </c>
      <c r="AI40" s="22">
        <v>0.00219</v>
      </c>
      <c r="AJ40" s="22">
        <v>0.00178</v>
      </c>
      <c r="AK40" s="22">
        <v>0.00086</v>
      </c>
      <c r="AL40" s="22">
        <v>0.000645</v>
      </c>
      <c r="AM40" s="22">
        <v>0.00177</v>
      </c>
      <c r="AN40" s="22">
        <v>0.00139</v>
      </c>
      <c r="AO40" s="22">
        <v>0.00221</v>
      </c>
      <c r="AP40" s="28">
        <v>0.00139</v>
      </c>
      <c r="AQ40" s="28">
        <f t="shared" si="8"/>
        <v>0.001225</v>
      </c>
      <c r="AR40" s="28">
        <v>0.00106</v>
      </c>
      <c r="AS40" s="28">
        <v>0.000645</v>
      </c>
      <c r="AT40" s="28">
        <v>0.000364</v>
      </c>
      <c r="AU40" s="28">
        <v>0.0008</v>
      </c>
      <c r="AV40" s="28">
        <v>0.00057</v>
      </c>
      <c r="AX40" s="30">
        <f t="shared" si="10"/>
        <v>31</v>
      </c>
    </row>
    <row r="41" s="1" customFormat="1" ht="14.4" spans="1:50">
      <c r="A41" s="12">
        <v>46</v>
      </c>
      <c r="B41" s="18">
        <v>0.00338</v>
      </c>
      <c r="C41" s="14">
        <f>$E$3*B41</f>
        <v>0.000169</v>
      </c>
      <c r="D41" s="17">
        <v>0.01</v>
      </c>
      <c r="E41" s="14">
        <f>IF(A41=$C$1,1,0)</f>
        <v>0</v>
      </c>
      <c r="F41" s="16">
        <f t="shared" si="7"/>
        <v>3704353.14763477</v>
      </c>
      <c r="G41" s="16">
        <f>ROUND(IF($A41&gt;=$C$1,0,+$F41*(1-0.5*C41)*(1-0.5*D41)*(1-0.5*E41)*B41),12)</f>
        <v>12457.0573605095</v>
      </c>
      <c r="H41" s="16">
        <f>ROUND(IF($A41&gt;=$C$1,0,+$F41*(1-0.5*B41)*(1-0.5*D41)*(1-0.5*E41)*C41),12)</f>
        <v>621.852793239541</v>
      </c>
      <c r="I41" s="16">
        <f>ROUND(IF($A41&gt;=$C$1,0,+$F41*(1-0.5*B41)*(1-0.5*C41)*(1-0.5*E41)*D41),12)</f>
        <v>36977.8030197444</v>
      </c>
      <c r="J41" s="16">
        <f>ROUND(IF($A41&gt;$C$1,0,+$F41*(1-0.5*B41)*(1-0.5*C41)*(1-0.5*D41)*E41),12)</f>
        <v>0</v>
      </c>
      <c r="K41" s="16">
        <f>IF(A41&gt;$C$1,0,+F41*$C$2^A41*$C$3^A41)</f>
        <v>1829555.54632428</v>
      </c>
      <c r="L41" s="16">
        <f>IF(A41=$C$1,+J41*$C$2^(A41)*$C$3^A41,+J41*$C$2^(A41+0.5)*$C$3^A41)</f>
        <v>0</v>
      </c>
      <c r="M41" s="16">
        <f>+G41*$C$2^(A41+0.5)*$C$3^A41</f>
        <v>5958.32183655288</v>
      </c>
      <c r="N41" s="16">
        <f>+H41*$C$2^(A41+0.5)*$C$3^A41</f>
        <v>297.437747122087</v>
      </c>
      <c r="O41" s="16">
        <f>+I41*$C$2^(A41+0.5)*$C$3^A41</f>
        <v>17686.8135727427</v>
      </c>
      <c r="P41" s="16">
        <f>+SUM(M41:$M$60)</f>
        <v>117725.174644874</v>
      </c>
      <c r="Q41" s="16">
        <f>+SUM(N41:$N$60)</f>
        <v>5867.58015387153</v>
      </c>
      <c r="R41" s="16">
        <f>+SUM(O41:$O$60)</f>
        <v>113396.522427298</v>
      </c>
      <c r="S41" s="16">
        <f>+SUM(P41:$P$60)</f>
        <v>919564.020473853</v>
      </c>
      <c r="T41" s="16">
        <f>+SUM(Q41:$Q$60)</f>
        <v>45812.7225807337</v>
      </c>
      <c r="U41" s="16">
        <f>+SUM(R41:$R$60)</f>
        <v>439873.630363206</v>
      </c>
      <c r="V41" s="25">
        <f>IF(A41&gt;$C$1,0,IF($C$1=55,$F$50,IF($C$1=56,$F$51,IF($C$1=60,$F$55,IF($C$1=65,$F$60,0))))/F41)</f>
        <v>0</v>
      </c>
      <c r="W41" s="25"/>
      <c r="X41" s="9">
        <f t="shared" si="9"/>
        <v>32</v>
      </c>
      <c r="Y41" s="22">
        <v>0.00392</v>
      </c>
      <c r="Z41" s="22">
        <v>0.00225</v>
      </c>
      <c r="AA41" s="22">
        <v>0.00183</v>
      </c>
      <c r="AB41" s="22">
        <v>0.00092</v>
      </c>
      <c r="AC41" s="22">
        <v>0.000687</v>
      </c>
      <c r="AD41" s="22">
        <v>0.00183</v>
      </c>
      <c r="AE41" s="22">
        <v>0.00142</v>
      </c>
      <c r="AF41" s="22">
        <v>0.00238</v>
      </c>
      <c r="AG41" s="22">
        <v>0.00142</v>
      </c>
      <c r="AH41" s="22">
        <v>0.00392</v>
      </c>
      <c r="AI41" s="22">
        <v>0.00225</v>
      </c>
      <c r="AJ41" s="22">
        <v>0.00183</v>
      </c>
      <c r="AK41" s="22">
        <v>0.00092</v>
      </c>
      <c r="AL41" s="22">
        <v>0.000687</v>
      </c>
      <c r="AM41" s="22">
        <v>0.00183</v>
      </c>
      <c r="AN41" s="22">
        <v>0.00142</v>
      </c>
      <c r="AO41" s="22">
        <v>0.00238</v>
      </c>
      <c r="AP41" s="28">
        <v>0.00142</v>
      </c>
      <c r="AQ41" s="28">
        <f t="shared" si="8"/>
        <v>0.001255</v>
      </c>
      <c r="AR41" s="28">
        <v>0.00109</v>
      </c>
      <c r="AS41" s="28">
        <v>0.000687</v>
      </c>
      <c r="AT41" s="28">
        <v>0.000388</v>
      </c>
      <c r="AU41" s="28">
        <v>0.00083</v>
      </c>
      <c r="AV41" s="28">
        <v>0.0006</v>
      </c>
      <c r="AX41" s="30">
        <f t="shared" si="10"/>
        <v>32</v>
      </c>
    </row>
    <row r="42" s="1" customFormat="1" ht="14.4" spans="1:50">
      <c r="A42" s="12">
        <v>47</v>
      </c>
      <c r="B42" s="18">
        <v>0.00377</v>
      </c>
      <c r="C42" s="14">
        <f>$E$3*B42</f>
        <v>0.0001885</v>
      </c>
      <c r="D42" s="17">
        <v>0.01</v>
      </c>
      <c r="E42" s="14">
        <f>IF(A42=$C$1,1,0)</f>
        <v>0</v>
      </c>
      <c r="F42" s="16">
        <f t="shared" si="7"/>
        <v>3654296.43446128</v>
      </c>
      <c r="G42" s="16">
        <f>ROUND(IF($A42&gt;=$C$1,0,+$F42*(1-0.5*C42)*(1-0.5*D42)*(1-0.5*E42)*B42),12)</f>
        <v>13706.5221086533</v>
      </c>
      <c r="H42" s="16">
        <f>ROUND(IF($A42&gt;=$C$1,0,+$F42*(1-0.5*B42)*(1-0.5*D42)*(1-0.5*E42)*C42),12)</f>
        <v>684.098742030361</v>
      </c>
      <c r="I42" s="16">
        <f>ROUND(IF($A42&gt;=$C$1,0,+$F42*(1-0.5*B42)*(1-0.5*C42)*(1-0.5*E42)*D42),12)</f>
        <v>36470.6431747024</v>
      </c>
      <c r="J42" s="16">
        <f>ROUND(IF($A42&gt;$C$1,0,+$F42*(1-0.5*B42)*(1-0.5*C42)*(1-0.5*D42)*E42),12)</f>
        <v>0</v>
      </c>
      <c r="K42" s="16">
        <f>IF(A42&gt;$C$1,0,+F42*$C$2^A42*$C$3^A42)</f>
        <v>1777365.89934317</v>
      </c>
      <c r="L42" s="16">
        <f>IF(A42=$C$1,+J42*$C$2^(A42)*$C$3^A42,+J42*$C$2^(A42+0.5)*$C$3^A42)</f>
        <v>0</v>
      </c>
      <c r="M42" s="16">
        <f>+G42*$C$2^(A42+0.5)*$C$3^A42</f>
        <v>6456.17980503328</v>
      </c>
      <c r="N42" s="16">
        <f>+H42*$C$2^(A42+0.5)*$C$3^A42</f>
        <v>322.230865564119</v>
      </c>
      <c r="O42" s="16">
        <f>+I42*$C$2^(A42+0.5)*$C$3^A42</f>
        <v>17178.7582637346</v>
      </c>
      <c r="P42" s="16">
        <f>+SUM(M42:$M$60)</f>
        <v>111766.852808321</v>
      </c>
      <c r="Q42" s="16">
        <f>+SUM(N42:$N$60)</f>
        <v>5570.14240674945</v>
      </c>
      <c r="R42" s="16">
        <f>+SUM(O42:$O$60)</f>
        <v>95709.7088545551</v>
      </c>
      <c r="S42" s="16">
        <f>+SUM(P42:$P$60)</f>
        <v>801838.84582898</v>
      </c>
      <c r="T42" s="16">
        <f>+SUM(Q42:$Q$60)</f>
        <v>39945.1424268621</v>
      </c>
      <c r="U42" s="16">
        <f>+SUM(R42:$R$60)</f>
        <v>326477.107935909</v>
      </c>
      <c r="V42" s="25">
        <f>IF(A42&gt;$C$1,0,IF($C$1=55,$F$50,IF($C$1=56,$F$51,IF($C$1=60,$F$55,IF($C$1=65,$F$60,0))))/F42)</f>
        <v>0</v>
      </c>
      <c r="W42" s="25"/>
      <c r="X42" s="9">
        <f t="shared" si="9"/>
        <v>33</v>
      </c>
      <c r="Y42" s="22">
        <v>0.00412</v>
      </c>
      <c r="Z42" s="22">
        <v>0.00232</v>
      </c>
      <c r="AA42" s="22">
        <v>0.00191</v>
      </c>
      <c r="AB42" s="22">
        <v>0.00098</v>
      </c>
      <c r="AC42" s="22">
        <v>0.000734</v>
      </c>
      <c r="AD42" s="22">
        <v>0.00188</v>
      </c>
      <c r="AE42" s="22">
        <v>0.00147</v>
      </c>
      <c r="AF42" s="22">
        <v>0.00256</v>
      </c>
      <c r="AG42" s="22">
        <v>0.00147</v>
      </c>
      <c r="AH42" s="22">
        <v>0.00412</v>
      </c>
      <c r="AI42" s="22">
        <v>0.00232</v>
      </c>
      <c r="AJ42" s="22">
        <v>0.00191</v>
      </c>
      <c r="AK42" s="22">
        <v>0.00098</v>
      </c>
      <c r="AL42" s="22">
        <v>0.000734</v>
      </c>
      <c r="AM42" s="22">
        <v>0.00188</v>
      </c>
      <c r="AN42" s="22">
        <v>0.00147</v>
      </c>
      <c r="AO42" s="22">
        <v>0.00256</v>
      </c>
      <c r="AP42" s="28">
        <v>0.00147</v>
      </c>
      <c r="AQ42" s="28">
        <f t="shared" si="8"/>
        <v>0.001295</v>
      </c>
      <c r="AR42" s="28">
        <v>0.00112</v>
      </c>
      <c r="AS42" s="28">
        <v>0.000734</v>
      </c>
      <c r="AT42" s="28">
        <v>0.000414</v>
      </c>
      <c r="AU42" s="28">
        <v>0.00084</v>
      </c>
      <c r="AV42" s="28">
        <v>0.00062</v>
      </c>
      <c r="AX42" s="30">
        <f t="shared" si="10"/>
        <v>33</v>
      </c>
    </row>
    <row r="43" s="1" customFormat="1" ht="14.4" spans="1:50">
      <c r="A43" s="12">
        <v>48</v>
      </c>
      <c r="B43" s="18">
        <v>0.00418</v>
      </c>
      <c r="C43" s="14">
        <f>$E$3*B43</f>
        <v>0.000209</v>
      </c>
      <c r="D43" s="17">
        <v>0.01</v>
      </c>
      <c r="E43" s="14">
        <f>IF(A43=$C$1,1,0)</f>
        <v>0</v>
      </c>
      <c r="F43" s="16">
        <f t="shared" si="7"/>
        <v>3603435.17043589</v>
      </c>
      <c r="G43" s="16">
        <f>ROUND(IF($A43&gt;=$C$1,0,+$F43*(1-0.5*C43)*(1-0.5*D43)*(1-0.5*E43)*B43),12)</f>
        <v>14985.4810709257</v>
      </c>
      <c r="H43" s="16">
        <f>ROUND(IF($A43&gt;=$C$1,0,+$F43*(1-0.5*B43)*(1-0.5*D43)*(1-0.5*E43)*C43),12)</f>
        <v>747.786214433781</v>
      </c>
      <c r="I43" s="16">
        <f>ROUND(IF($A43&gt;=$C$1,0,+$F43*(1-0.5*B43)*(1-0.5*C43)*(1-0.5*E43)*D43),12)</f>
        <v>35955.2821896263</v>
      </c>
      <c r="J43" s="16">
        <f>ROUND(IF($A43&gt;$C$1,0,+$F43*(1-0.5*B43)*(1-0.5*C43)*(1-0.5*D43)*E43),12)</f>
        <v>0</v>
      </c>
      <c r="K43" s="16">
        <f>IF(A43&gt;$C$1,0,+F43*$C$2^A43*$C$3^A43)</f>
        <v>1725955.6619396</v>
      </c>
      <c r="L43" s="16">
        <f>IF(A43=$C$1,+J43*$C$2^(A43)*$C$3^A43,+J43*$C$2^(A43+0.5)*$C$3^A43)</f>
        <v>0</v>
      </c>
      <c r="M43" s="16">
        <f>+G43*$C$2^(A43+0.5)*$C$3^A43</f>
        <v>6951.18565617528</v>
      </c>
      <c r="N43" s="16">
        <f>+H43*$C$2^(A43+0.5)*$C$3^A43</f>
        <v>346.869131731959</v>
      </c>
      <c r="O43" s="16">
        <f>+I43*$C$2^(A43+0.5)*$C$3^A43</f>
        <v>16678.2661589139</v>
      </c>
      <c r="P43" s="16">
        <f>+SUM(M43:$M$60)</f>
        <v>105310.673003287</v>
      </c>
      <c r="Q43" s="16">
        <f>+SUM(N43:$N$60)</f>
        <v>5247.91154118533</v>
      </c>
      <c r="R43" s="16">
        <f>+SUM(O43:$O$60)</f>
        <v>78530.9505908205</v>
      </c>
      <c r="S43" s="16">
        <f>+SUM(P43:$P$60)</f>
        <v>690071.993020659</v>
      </c>
      <c r="T43" s="16">
        <f>+SUM(Q43:$Q$60)</f>
        <v>34375.0000201127</v>
      </c>
      <c r="U43" s="16">
        <f>+SUM(R43:$R$60)</f>
        <v>230767.399081353</v>
      </c>
      <c r="V43" s="25">
        <f>IF(A43&gt;$C$1,0,IF($C$1=55,$F$50,IF($C$1=56,$F$51,IF($C$1=60,$F$55,IF($C$1=65,$F$60,0))))/F43)</f>
        <v>0</v>
      </c>
      <c r="W43" s="25"/>
      <c r="X43" s="9">
        <f t="shared" si="9"/>
        <v>34</v>
      </c>
      <c r="Y43" s="22">
        <v>0.00435</v>
      </c>
      <c r="Z43" s="22">
        <v>0.0024</v>
      </c>
      <c r="AA43" s="22">
        <v>0.002</v>
      </c>
      <c r="AB43" s="22">
        <v>0.00105</v>
      </c>
      <c r="AC43" s="22">
        <v>0.000785</v>
      </c>
      <c r="AD43" s="22">
        <v>0.00192</v>
      </c>
      <c r="AE43" s="22">
        <v>0.00155</v>
      </c>
      <c r="AF43" s="22">
        <v>0.00275</v>
      </c>
      <c r="AG43" s="22">
        <v>0.00155</v>
      </c>
      <c r="AH43" s="22">
        <v>0.00435</v>
      </c>
      <c r="AI43" s="22">
        <v>0.0024</v>
      </c>
      <c r="AJ43" s="22">
        <v>0.002</v>
      </c>
      <c r="AK43" s="22">
        <v>0.00105</v>
      </c>
      <c r="AL43" s="22">
        <v>0.000785</v>
      </c>
      <c r="AM43" s="22">
        <v>0.00192</v>
      </c>
      <c r="AN43" s="22">
        <v>0.00155</v>
      </c>
      <c r="AO43" s="22">
        <v>0.00275</v>
      </c>
      <c r="AP43" s="28">
        <v>0.00155</v>
      </c>
      <c r="AQ43" s="28">
        <f t="shared" si="8"/>
        <v>0.00135</v>
      </c>
      <c r="AR43" s="28">
        <v>0.00115</v>
      </c>
      <c r="AS43" s="28">
        <v>0.000785</v>
      </c>
      <c r="AT43" s="28">
        <v>0.000443</v>
      </c>
      <c r="AU43" s="28">
        <v>0.00086</v>
      </c>
      <c r="AV43" s="28">
        <v>0.00064</v>
      </c>
      <c r="AX43" s="30">
        <f t="shared" si="10"/>
        <v>34</v>
      </c>
    </row>
    <row r="44" s="1" customFormat="1" ht="14.4" spans="1:50">
      <c r="A44" s="12">
        <v>49</v>
      </c>
      <c r="B44" s="18">
        <v>0.00461</v>
      </c>
      <c r="C44" s="14">
        <f>$E$3*B44</f>
        <v>0.0002305</v>
      </c>
      <c r="D44" s="17">
        <v>0.01</v>
      </c>
      <c r="E44" s="14">
        <f>IF(A44=$C$1,1,0)</f>
        <v>0</v>
      </c>
      <c r="F44" s="16">
        <f t="shared" si="7"/>
        <v>3551746.62096091</v>
      </c>
      <c r="G44" s="16">
        <f>ROUND(IF($A44&gt;=$C$1,0,+$F44*(1-0.5*C44)*(1-0.5*D44)*(1-0.5*E44)*B44),12)</f>
        <v>16289.8065464168</v>
      </c>
      <c r="H44" s="16">
        <f>ROUND(IF($A44&gt;=$C$1,0,+$F44*(1-0.5*B44)*(1-0.5*D44)*(1-0.5*E44)*C44),12)</f>
        <v>812.706591551044</v>
      </c>
      <c r="I44" s="16">
        <f>ROUND(IF($A44&gt;=$C$1,0,+$F44*(1-0.5*B44)*(1-0.5*C44)*(1-0.5*E44)*D44),12)</f>
        <v>35431.5144972745</v>
      </c>
      <c r="J44" s="16">
        <f>ROUND(IF($A44&gt;$C$1,0,+$F44*(1-0.5*B44)*(1-0.5*C44)*(1-0.5*D44)*E44),12)</f>
        <v>0</v>
      </c>
      <c r="K44" s="16">
        <f>IF(A44&gt;$C$1,0,+F44*$C$2^A44*$C$3^A44)</f>
        <v>1675308.33952884</v>
      </c>
      <c r="L44" s="16">
        <f>IF(A44=$C$1,+J44*$C$2^(A44)*$C$3^A44,+J44*$C$2^(A44+0.5)*$C$3^A44)</f>
        <v>0</v>
      </c>
      <c r="M44" s="16">
        <f>+G44*$C$2^(A44+0.5)*$C$3^A44</f>
        <v>7441.21714307998</v>
      </c>
      <c r="N44" s="16">
        <f>+H44*$C$2^(A44+0.5)*$C$3^A44</f>
        <v>371.246042984714</v>
      </c>
      <c r="O44" s="16">
        <f>+I44*$C$2^(A44+0.5)*$C$3^A44</f>
        <v>16185.1887148654</v>
      </c>
      <c r="P44" s="16">
        <f>+SUM(M44:$M$60)</f>
        <v>98359.4873471122</v>
      </c>
      <c r="Q44" s="16">
        <f>+SUM(N44:$N$60)</f>
        <v>4901.04240945337</v>
      </c>
      <c r="R44" s="16">
        <f>+SUM(O44:$O$60)</f>
        <v>61852.6844319066</v>
      </c>
      <c r="S44" s="16">
        <f>+SUM(P44:$P$60)</f>
        <v>584761.320017371</v>
      </c>
      <c r="T44" s="16">
        <f>+SUM(Q44:$Q$60)</f>
        <v>29127.0884789274</v>
      </c>
      <c r="U44" s="16">
        <f>+SUM(R44:$R$60)</f>
        <v>152236.448490533</v>
      </c>
      <c r="V44" s="25">
        <f>IF(A44&gt;$C$1,0,IF($C$1=55,$F$50,IF($C$1=56,$F$51,IF($C$1=60,$F$55,IF($C$1=65,$F$60,0))))/F44)</f>
        <v>0</v>
      </c>
      <c r="W44" s="25"/>
      <c r="X44" s="9">
        <f t="shared" si="9"/>
        <v>35</v>
      </c>
      <c r="Y44" s="22">
        <v>0.0045</v>
      </c>
      <c r="Z44" s="22">
        <v>0.00251</v>
      </c>
      <c r="AA44" s="22">
        <v>0.00211</v>
      </c>
      <c r="AB44" s="22">
        <v>0.00112</v>
      </c>
      <c r="AC44" s="22">
        <v>0.00086</v>
      </c>
      <c r="AD44" s="22">
        <v>0.00197</v>
      </c>
      <c r="AE44" s="22">
        <v>0.00164</v>
      </c>
      <c r="AF44" s="22">
        <v>0.00298</v>
      </c>
      <c r="AG44" s="22">
        <v>0.00164</v>
      </c>
      <c r="AH44" s="22">
        <v>0.0045</v>
      </c>
      <c r="AI44" s="22">
        <v>0.00251</v>
      </c>
      <c r="AJ44" s="22">
        <v>0.00211</v>
      </c>
      <c r="AK44" s="22">
        <v>0.00112</v>
      </c>
      <c r="AL44" s="22">
        <v>0.00086</v>
      </c>
      <c r="AM44" s="22">
        <v>0.00197</v>
      </c>
      <c r="AN44" s="22">
        <v>0.00164</v>
      </c>
      <c r="AO44" s="22">
        <v>0.00298</v>
      </c>
      <c r="AP44" s="28">
        <v>0.00164</v>
      </c>
      <c r="AQ44" s="28">
        <f t="shared" si="8"/>
        <v>0.00142</v>
      </c>
      <c r="AR44" s="28">
        <v>0.0012</v>
      </c>
      <c r="AS44" s="28">
        <v>0.00086</v>
      </c>
      <c r="AT44" s="28">
        <v>0.000476</v>
      </c>
      <c r="AU44" s="28">
        <v>0.00091</v>
      </c>
      <c r="AV44" s="28">
        <v>0.00067</v>
      </c>
      <c r="AX44" s="30">
        <f t="shared" si="10"/>
        <v>35</v>
      </c>
    </row>
    <row r="45" s="1" customFormat="1" ht="14.4" spans="1:50">
      <c r="A45" s="12">
        <v>50</v>
      </c>
      <c r="B45" s="1">
        <v>0.00508</v>
      </c>
      <c r="C45" s="14">
        <f>$E$3*B45</f>
        <v>0.000254</v>
      </c>
      <c r="D45" s="17">
        <v>0.01</v>
      </c>
      <c r="E45" s="14">
        <f>IF(A45=$C$1,1,0)</f>
        <v>0</v>
      </c>
      <c r="F45" s="16">
        <f t="shared" si="7"/>
        <v>3499212.59332566</v>
      </c>
      <c r="G45" s="16">
        <f>ROUND(IF($A45&gt;=$C$1,0,+$F45*(1-0.5*C45)*(1-0.5*D45)*(1-0.5*E45)*B45),12)</f>
        <v>17684.8737099872</v>
      </c>
      <c r="H45" s="16">
        <f>ROUND(IF($A45&gt;=$C$1,0,+$F45*(1-0.5*B45)*(1-0.5*D45)*(1-0.5*E45)*C45),12)</f>
        <v>882.109734474469</v>
      </c>
      <c r="I45" s="16">
        <f>ROUND(IF($A45&gt;=$C$1,0,+$F45*(1-0.5*B45)*(1-0.5*C45)*(1-0.5*E45)*D45),12)</f>
        <v>34898.8132211526</v>
      </c>
      <c r="J45" s="16">
        <f>ROUND(IF($A45&gt;$C$1,0,+$F45*(1-0.5*B45)*(1-0.5*C45)*(1-0.5*D45)*E45),12)</f>
        <v>0</v>
      </c>
      <c r="K45" s="16">
        <f>IF(A45&gt;$C$1,0,+F45*$C$2^A45*$C$3^A45)</f>
        <v>1625410.10594318</v>
      </c>
      <c r="L45" s="16">
        <f>IF(A45=$C$1,+J45*$C$2^(A45)*$C$3^A45,+J45*$C$2^(A45+0.5)*$C$3^A45)</f>
        <v>0</v>
      </c>
      <c r="M45" s="16">
        <f>+G45*$C$2^(A45+0.5)*$C$3^A45</f>
        <v>7955.54371519564</v>
      </c>
      <c r="N45" s="16">
        <f>+H45*$C$2^(A45+0.5)*$C$3^A45</f>
        <v>396.817227495844</v>
      </c>
      <c r="O45" s="16">
        <f>+I45*$C$2^(A45+0.5)*$C$3^A45</f>
        <v>15699.2375937938</v>
      </c>
      <c r="P45" s="16">
        <f>+SUM(M45:$M$60)</f>
        <v>90918.2702040322</v>
      </c>
      <c r="Q45" s="16">
        <f>+SUM(N45:$N$60)</f>
        <v>4529.79636646865</v>
      </c>
      <c r="R45" s="16">
        <f>+SUM(O45:$O$60)</f>
        <v>45667.4957170412</v>
      </c>
      <c r="S45" s="16">
        <f>+SUM(P45:$P$60)</f>
        <v>486401.832670259</v>
      </c>
      <c r="T45" s="16">
        <f>+SUM(Q45:$Q$60)</f>
        <v>24226.046069474</v>
      </c>
      <c r="U45" s="16">
        <f>+SUM(R45:$R$60)</f>
        <v>90383.7640586262</v>
      </c>
      <c r="V45" s="25">
        <f>IF(A45&gt;$C$1,0,IF($C$1=55,$F$50,IF($C$1=56,$F$51,IF($C$1=60,$F$55,IF($C$1=65,$F$60,0))))/F45)</f>
        <v>0</v>
      </c>
      <c r="W45" s="25"/>
      <c r="X45" s="9">
        <f t="shared" si="9"/>
        <v>36</v>
      </c>
      <c r="Y45" s="22">
        <v>0.00486</v>
      </c>
      <c r="Z45" s="22">
        <v>0.00264</v>
      </c>
      <c r="AA45" s="22">
        <v>0.00224</v>
      </c>
      <c r="AB45" s="22">
        <v>0.0012</v>
      </c>
      <c r="AC45" s="22">
        <v>0.000907</v>
      </c>
      <c r="AD45" s="22">
        <v>0.00207</v>
      </c>
      <c r="AE45" s="22">
        <v>0.00175</v>
      </c>
      <c r="AF45" s="22">
        <v>0.00322</v>
      </c>
      <c r="AG45" s="22">
        <v>0.00175</v>
      </c>
      <c r="AH45" s="22">
        <v>0.00486</v>
      </c>
      <c r="AI45" s="22">
        <v>0.00264</v>
      </c>
      <c r="AJ45" s="22">
        <v>0.00224</v>
      </c>
      <c r="AK45" s="22">
        <v>0.0012</v>
      </c>
      <c r="AL45" s="22">
        <v>0.000907</v>
      </c>
      <c r="AM45" s="22">
        <v>0.00207</v>
      </c>
      <c r="AN45" s="22">
        <v>0.00175</v>
      </c>
      <c r="AO45" s="22">
        <v>0.00322</v>
      </c>
      <c r="AP45" s="28">
        <v>0.00175</v>
      </c>
      <c r="AQ45" s="28">
        <f t="shared" si="8"/>
        <v>0.0015</v>
      </c>
      <c r="AR45" s="28">
        <v>0.00125</v>
      </c>
      <c r="AS45" s="28">
        <v>0.000907</v>
      </c>
      <c r="AT45" s="28">
        <v>0.000502</v>
      </c>
      <c r="AU45" s="28">
        <v>0.00099</v>
      </c>
      <c r="AV45" s="28">
        <v>0.00074</v>
      </c>
      <c r="AX45" s="30">
        <f t="shared" si="10"/>
        <v>36</v>
      </c>
    </row>
    <row r="46" s="1" customFormat="1" ht="14.4" spans="1:50">
      <c r="A46" s="12">
        <v>51</v>
      </c>
      <c r="B46" s="1">
        <v>0.00556</v>
      </c>
      <c r="C46" s="14">
        <f>$E$3*B46</f>
        <v>0.000278</v>
      </c>
      <c r="D46" s="17">
        <v>0.01</v>
      </c>
      <c r="E46" s="14">
        <f>IF(A46=$C$1,1,0)</f>
        <v>0</v>
      </c>
      <c r="F46" s="16">
        <f t="shared" si="7"/>
        <v>3445746.79666005</v>
      </c>
      <c r="G46" s="16">
        <f>ROUND(IF($A46&gt;=$C$1,0,+$F46*(1-0.5*C46)*(1-0.5*D46)*(1-0.5*E46)*B46),12)</f>
        <v>19059.9107325832</v>
      </c>
      <c r="H46" s="16">
        <f>ROUND(IF($A46&gt;=$C$1,0,+$F46*(1-0.5*B46)*(1-0.5*D46)*(1-0.5*E46)*C46),12)</f>
        <v>950.478325524577</v>
      </c>
      <c r="I46" s="16">
        <f>ROUND(IF($A46&gt;=$C$1,0,+$F46*(1-0.5*B46)*(1-0.5*C46)*(1-0.5*E46)*D46),12)</f>
        <v>34356.8999326608</v>
      </c>
      <c r="J46" s="16">
        <f>ROUND(IF($A46&gt;$C$1,0,+$F46*(1-0.5*B46)*(1-0.5*C46)*(1-0.5*D46)*E46),12)</f>
        <v>0</v>
      </c>
      <c r="K46" s="16">
        <f>IF(A46&gt;$C$1,0,+F46*$C$2^A46*$C$3^A46)</f>
        <v>1576216.39528294</v>
      </c>
      <c r="L46" s="16">
        <f>IF(A46=$C$1,+J46*$C$2^(A46)*$C$3^A46,+J46*$C$2^(A46+0.5)*$C$3^A46)</f>
        <v>0</v>
      </c>
      <c r="M46" s="16">
        <f>+G46*$C$2^(A46+0.5)*$C$3^A46</f>
        <v>8443.61880623554</v>
      </c>
      <c r="N46" s="16">
        <f>+H46*$C$2^(A46+0.5)*$C$3^A46</f>
        <v>421.065805444666</v>
      </c>
      <c r="O46" s="16">
        <f>+I46*$C$2^(A46+0.5)*$C$3^A46</f>
        <v>15220.2479049098</v>
      </c>
      <c r="P46" s="16">
        <f>+SUM(M46:$M$60)</f>
        <v>82962.7264888365</v>
      </c>
      <c r="Q46" s="16">
        <f>+SUM(N46:$N$60)</f>
        <v>4132.97913897281</v>
      </c>
      <c r="R46" s="16">
        <f>+SUM(O46:$O$60)</f>
        <v>29968.2581232474</v>
      </c>
      <c r="S46" s="16">
        <f>+SUM(P46:$P$60)</f>
        <v>395483.562466227</v>
      </c>
      <c r="T46" s="16">
        <f>+SUM(Q46:$Q$60)</f>
        <v>19696.2497030053</v>
      </c>
      <c r="U46" s="16">
        <f>+SUM(R46:$R$60)</f>
        <v>44716.268341585</v>
      </c>
      <c r="V46" s="25">
        <f>IF(A46&gt;$C$1,0,IF($C$1=55,$F$50,IF($C$1=56,$F$51,IF($C$1=60,$F$55,IF($C$1=65,$F$60,0))))/F46)</f>
        <v>0</v>
      </c>
      <c r="W46" s="25"/>
      <c r="X46" s="9">
        <f t="shared" si="9"/>
        <v>37</v>
      </c>
      <c r="Y46" s="22">
        <v>0.00515</v>
      </c>
      <c r="Z46" s="22">
        <v>0.0028</v>
      </c>
      <c r="AA46" s="22">
        <v>0.0024</v>
      </c>
      <c r="AB46" s="22">
        <v>0.00129</v>
      </c>
      <c r="AC46" s="22">
        <v>0.000966</v>
      </c>
      <c r="AD46" s="22">
        <v>0.00225</v>
      </c>
      <c r="AE46" s="22">
        <v>0.00188</v>
      </c>
      <c r="AF46" s="22">
        <v>0.00347</v>
      </c>
      <c r="AG46" s="22">
        <v>0.00188</v>
      </c>
      <c r="AH46" s="22">
        <v>0.00515</v>
      </c>
      <c r="AI46" s="22">
        <v>0.0028</v>
      </c>
      <c r="AJ46" s="22">
        <v>0.0024</v>
      </c>
      <c r="AK46" s="22">
        <v>0.00129</v>
      </c>
      <c r="AL46" s="22">
        <v>0.000966</v>
      </c>
      <c r="AM46" s="22">
        <v>0.00225</v>
      </c>
      <c r="AN46" s="22">
        <v>0.00188</v>
      </c>
      <c r="AO46" s="22">
        <v>0.00347</v>
      </c>
      <c r="AP46" s="28">
        <v>0.00188</v>
      </c>
      <c r="AQ46" s="28">
        <f t="shared" si="8"/>
        <v>0.001595</v>
      </c>
      <c r="AR46" s="28">
        <v>0.00131</v>
      </c>
      <c r="AS46" s="28">
        <v>0.000966</v>
      </c>
      <c r="AT46" s="28">
        <v>0.000536</v>
      </c>
      <c r="AU46" s="28">
        <v>0.00109</v>
      </c>
      <c r="AV46" s="28">
        <v>0.00084</v>
      </c>
      <c r="AX46" s="30">
        <f t="shared" si="10"/>
        <v>37</v>
      </c>
    </row>
    <row r="47" s="1" customFormat="1" ht="14.4" spans="1:50">
      <c r="A47" s="12">
        <v>52</v>
      </c>
      <c r="B47" s="1">
        <v>0.00609</v>
      </c>
      <c r="C47" s="14">
        <f>$E$3*B47</f>
        <v>0.0003045</v>
      </c>
      <c r="D47" s="17">
        <v>0.01</v>
      </c>
      <c r="E47" s="14">
        <f>IF(A47=$C$1,1,0)</f>
        <v>0</v>
      </c>
      <c r="F47" s="16">
        <f t="shared" si="7"/>
        <v>3391379.50766928</v>
      </c>
      <c r="G47" s="16">
        <f>ROUND(IF($A47&gt;=$C$1,0,+$F47*(1-0.5*C47)*(1-0.5*D47)*(1-0.5*E47)*B47),12)</f>
        <v>20547.1049226172</v>
      </c>
      <c r="H47" s="16">
        <f>ROUND(IF($A47&gt;=$C$1,0,+$F47*(1-0.5*B47)*(1-0.5*D47)*(1-0.5*E47)*C47),12)</f>
        <v>1024.3829117047</v>
      </c>
      <c r="I47" s="16">
        <f>ROUND(IF($A47&gt;=$C$1,0,+$F47*(1-0.5*B47)*(1-0.5*C47)*(1-0.5*E47)*D47),12)</f>
        <v>33805.3799178616</v>
      </c>
      <c r="J47" s="16">
        <f>ROUND(IF($A47&gt;$C$1,0,+$F47*(1-0.5*B47)*(1-0.5*C47)*(1-0.5*D47)*E47),12)</f>
        <v>0</v>
      </c>
      <c r="K47" s="16">
        <f>IF(A47&gt;$C$1,0,+F47*$C$2^A47*$C$3^A47)</f>
        <v>1527737.44606937</v>
      </c>
      <c r="L47" s="16">
        <f>IF(A47=$C$1,+J47*$C$2^(A47)*$C$3^A47,+J47*$C$2^(A47+0.5)*$C$3^A47)</f>
        <v>0</v>
      </c>
      <c r="M47" s="16">
        <f>+G47*$C$2^(A47+0.5)*$C$3^A47</f>
        <v>8963.92568556531</v>
      </c>
      <c r="N47" s="16">
        <f>+H47*$C$2^(A47+0.5)*$C$3^A47</f>
        <v>446.899567051722</v>
      </c>
      <c r="O47" s="16">
        <f>+I47*$C$2^(A47+0.5)*$C$3^A47</f>
        <v>14748.0102183376</v>
      </c>
      <c r="P47" s="16">
        <f>+SUM(M47:$M$60)</f>
        <v>74519.107682601</v>
      </c>
      <c r="Q47" s="16">
        <f>+SUM(N47:$N$60)</f>
        <v>3711.91333352814</v>
      </c>
      <c r="R47" s="16">
        <f>+SUM(O47:$O$60)</f>
        <v>14748.0102183376</v>
      </c>
      <c r="S47" s="16">
        <f>+SUM(P47:$P$60)</f>
        <v>312520.83597739</v>
      </c>
      <c r="T47" s="16">
        <f>+SUM(Q47:$Q$60)</f>
        <v>15563.2705640325</v>
      </c>
      <c r="U47" s="16">
        <f>+SUM(R47:$R$60)</f>
        <v>14748.0102183376</v>
      </c>
      <c r="V47" s="25">
        <f>IF(A47&gt;$C$1,0,IF($C$1=55,$F$50,IF($C$1=56,$F$51,IF($C$1=60,$F$55,IF($C$1=65,$F$60,0))))/F47)</f>
        <v>0</v>
      </c>
      <c r="W47" s="25"/>
      <c r="X47" s="9">
        <f t="shared" si="9"/>
        <v>38</v>
      </c>
      <c r="Y47" s="22">
        <v>0.00546</v>
      </c>
      <c r="Z47" s="22">
        <v>0.00301</v>
      </c>
      <c r="AA47" s="22">
        <v>0.00258</v>
      </c>
      <c r="AB47" s="22">
        <v>0.0014</v>
      </c>
      <c r="AC47" s="22">
        <v>0.001039</v>
      </c>
      <c r="AD47" s="22">
        <v>0.00253</v>
      </c>
      <c r="AE47" s="22">
        <v>0.00201</v>
      </c>
      <c r="AF47" s="22">
        <v>0.00374</v>
      </c>
      <c r="AG47" s="22">
        <v>0.00201</v>
      </c>
      <c r="AH47" s="22">
        <v>0.00546</v>
      </c>
      <c r="AI47" s="22">
        <v>0.00301</v>
      </c>
      <c r="AJ47" s="22">
        <v>0.00258</v>
      </c>
      <c r="AK47" s="22">
        <v>0.0014</v>
      </c>
      <c r="AL47" s="22">
        <v>0.001039</v>
      </c>
      <c r="AM47" s="22">
        <v>0.00253</v>
      </c>
      <c r="AN47" s="22">
        <v>0.00201</v>
      </c>
      <c r="AO47" s="22">
        <v>0.00374</v>
      </c>
      <c r="AP47" s="28">
        <v>0.00201</v>
      </c>
      <c r="AQ47" s="28">
        <f t="shared" si="8"/>
        <v>0.0017</v>
      </c>
      <c r="AR47" s="28">
        <v>0.00139</v>
      </c>
      <c r="AS47" s="28">
        <v>0.001039</v>
      </c>
      <c r="AT47" s="28">
        <v>0.000573</v>
      </c>
      <c r="AU47" s="28">
        <v>0.0012</v>
      </c>
      <c r="AV47" s="28">
        <v>0.00093</v>
      </c>
      <c r="AX47" s="30">
        <f t="shared" si="10"/>
        <v>38</v>
      </c>
    </row>
    <row r="48" s="1" customFormat="1" ht="14.4" spans="1:50">
      <c r="A48" s="12">
        <v>53</v>
      </c>
      <c r="B48" s="1">
        <v>0.00667</v>
      </c>
      <c r="C48" s="14">
        <f>$E$3*B48</f>
        <v>0.0003335</v>
      </c>
      <c r="D48" s="17"/>
      <c r="E48" s="14">
        <f>IF(A48=$C$1,1,0)</f>
        <v>0</v>
      </c>
      <c r="F48" s="16">
        <f t="shared" si="7"/>
        <v>3336002.6399171</v>
      </c>
      <c r="G48" s="16">
        <f>ROUND(IF($A48&gt;=$C$1,0,+$F48*(1-0.5*C48)*(1-0.5*D48)*(1-0.5*E48)*B48),12)</f>
        <v>22247.4272310509</v>
      </c>
      <c r="H48" s="16">
        <f>ROUND(IF($A48&gt;=$C$1,0,+$F48*(1-0.5*B48)*(1-0.5*D48)*(1-0.5*E48)*C48),12)</f>
        <v>1108.84650321618</v>
      </c>
      <c r="I48" s="16">
        <f>ROUND(IF($A48&gt;=$C$1,0,+$F48*(1-0.5*B48)*(1-0.5*C48)*(1-0.5*E48)*D48),12)</f>
        <v>0</v>
      </c>
      <c r="J48" s="16">
        <f>ROUND(IF($A48&gt;$C$1,0,+$F48*(1-0.5*B48)*(1-0.5*C48)*(1-0.5*D48)*E48),12)</f>
        <v>0</v>
      </c>
      <c r="K48" s="16">
        <f>IF(A48&gt;$C$1,0,+F48*$C$2^A48*$C$3^A48)</f>
        <v>1479921.12736738</v>
      </c>
      <c r="L48" s="16">
        <f>IF(A48=$C$1,+J48*$C$2^(A48)*$C$3^A48,+J48*$C$2^(A48+0.5)*$C$3^A48)</f>
        <v>0</v>
      </c>
      <c r="M48" s="16">
        <f>+G48*$C$2^(A48+0.5)*$C$3^A48</f>
        <v>9558.00506276807</v>
      </c>
      <c r="N48" s="16">
        <f>+H48*$C$2^(A48+0.5)*$C$3^A48</f>
        <v>476.385893141869</v>
      </c>
      <c r="O48" s="16">
        <f>+I48*$C$2^(A48+0.5)*$C$3^A48</f>
        <v>0</v>
      </c>
      <c r="P48" s="16">
        <f>+SUM(M48:$M$60)</f>
        <v>65555.1819970357</v>
      </c>
      <c r="Q48" s="16">
        <f>+SUM(N48:$N$60)</f>
        <v>3265.01376647642</v>
      </c>
      <c r="R48" s="16">
        <f>+SUM(O48:$O$60)</f>
        <v>0</v>
      </c>
      <c r="S48" s="16">
        <f>+SUM(P48:$P$60)</f>
        <v>238001.728294789</v>
      </c>
      <c r="T48" s="16">
        <f>+SUM(Q48:$Q$60)</f>
        <v>11851.3572305044</v>
      </c>
      <c r="U48" s="16">
        <f>+SUM(R48:$R$60)</f>
        <v>0</v>
      </c>
      <c r="V48" s="25">
        <f>IF(A48&gt;$C$1,0,IF($C$1=55,$F$50,IF($C$1=56,$F$51,IF($C$1=60,$F$55,IF($C$1=65,$F$60,0))))/F48)</f>
        <v>0</v>
      </c>
      <c r="W48" s="25"/>
      <c r="X48" s="9">
        <f t="shared" si="9"/>
        <v>39</v>
      </c>
      <c r="Y48" s="22">
        <v>0.00581</v>
      </c>
      <c r="Z48" s="22">
        <v>0.00325</v>
      </c>
      <c r="AA48" s="22">
        <v>0.00279</v>
      </c>
      <c r="AB48" s="22">
        <v>0.00151</v>
      </c>
      <c r="AC48" s="22">
        <v>0.001128</v>
      </c>
      <c r="AD48" s="22">
        <v>0.00286</v>
      </c>
      <c r="AE48" s="22">
        <v>0.00214</v>
      </c>
      <c r="AF48" s="22">
        <v>0.00404</v>
      </c>
      <c r="AG48" s="22">
        <v>0.00214</v>
      </c>
      <c r="AH48" s="22">
        <v>0.00581</v>
      </c>
      <c r="AI48" s="22">
        <v>0.00325</v>
      </c>
      <c r="AJ48" s="22">
        <v>0.00279</v>
      </c>
      <c r="AK48" s="22">
        <v>0.00151</v>
      </c>
      <c r="AL48" s="22">
        <v>0.001128</v>
      </c>
      <c r="AM48" s="22">
        <v>0.00286</v>
      </c>
      <c r="AN48" s="22">
        <v>0.00214</v>
      </c>
      <c r="AO48" s="22">
        <v>0.00404</v>
      </c>
      <c r="AP48" s="28">
        <v>0.00214</v>
      </c>
      <c r="AQ48" s="28">
        <f t="shared" si="8"/>
        <v>0.001825</v>
      </c>
      <c r="AR48" s="28">
        <v>0.00151</v>
      </c>
      <c r="AS48" s="28">
        <v>0.001128</v>
      </c>
      <c r="AT48" s="28">
        <v>0.000617</v>
      </c>
      <c r="AU48" s="28">
        <v>0.00135</v>
      </c>
      <c r="AV48" s="28">
        <v>0.00104</v>
      </c>
      <c r="AX48" s="30">
        <f t="shared" si="10"/>
        <v>39</v>
      </c>
    </row>
    <row r="49" s="1" customFormat="1" ht="14.4" spans="1:50">
      <c r="A49" s="12">
        <v>54</v>
      </c>
      <c r="B49" s="1">
        <v>0.00727</v>
      </c>
      <c r="C49" s="14">
        <f>$E$3*B49</f>
        <v>0.0003635</v>
      </c>
      <c r="D49" s="17"/>
      <c r="E49" s="14">
        <f>IF(A49=$C$1,1,0)</f>
        <v>0</v>
      </c>
      <c r="F49" s="16">
        <f t="shared" si="7"/>
        <v>3312646.36618283</v>
      </c>
      <c r="G49" s="16">
        <f>ROUND(IF($A49&gt;=$C$1,0,+$F49*(1-0.5*C49)*(1-0.5*D49)*(1-0.5*E49)*B49),12)</f>
        <v>24078.562007971</v>
      </c>
      <c r="H49" s="16">
        <f>ROUND(IF($A49&gt;=$C$1,0,+$F49*(1-0.5*B49)*(1-0.5*D49)*(1-0.5*E49)*C49),12)</f>
        <v>1199.76987992928</v>
      </c>
      <c r="I49" s="16">
        <f>ROUND(IF($A49&gt;=$C$1,0,+$F49*(1-0.5*B49)*(1-0.5*C49)*(1-0.5*E49)*D49),12)</f>
        <v>0</v>
      </c>
      <c r="J49" s="16">
        <f>ROUND(IF($A49&gt;$C$1,0,+$F49*(1-0.5*B49)*(1-0.5*C49)*(1-0.5*D49)*E49),12)</f>
        <v>0</v>
      </c>
      <c r="K49" s="16">
        <f>IF(A49&gt;$C$1,0,+F49*$C$2^A49*$C$3^A49)</f>
        <v>1447195.19992433</v>
      </c>
      <c r="L49" s="16">
        <f>IF(A49=$C$1,+J49*$C$2^(A49)*$C$3^A49,+J49*$C$2^(A49+0.5)*$C$3^A49)</f>
        <v>0</v>
      </c>
      <c r="M49" s="16">
        <f>+G49*$C$2^(A49+0.5)*$C$3^A49</f>
        <v>10187.2710337894</v>
      </c>
      <c r="N49" s="16">
        <f>+H49*$C$2^(A49+0.5)*$C$3^A49</f>
        <v>507.604272255561</v>
      </c>
      <c r="O49" s="16">
        <f>+I49*$C$2^(A49+0.5)*$C$3^A49</f>
        <v>0</v>
      </c>
      <c r="P49" s="16">
        <f>+SUM(M49:$M$60)</f>
        <v>55997.1769342676</v>
      </c>
      <c r="Q49" s="16">
        <f>+SUM(N49:$N$60)</f>
        <v>2788.62787333455</v>
      </c>
      <c r="R49" s="16">
        <f>+SUM(O49:$O$60)</f>
        <v>0</v>
      </c>
      <c r="S49" s="16">
        <f>+SUM(P49:$P$60)</f>
        <v>172446.546297754</v>
      </c>
      <c r="T49" s="16">
        <f>+SUM(Q49:$Q$60)</f>
        <v>8586.34346402795</v>
      </c>
      <c r="U49" s="16">
        <f>+SUM(R49:$R$60)</f>
        <v>0</v>
      </c>
      <c r="V49" s="25">
        <f>IF(A49&gt;$C$1,0,IF($C$1=55,$F$50,IF($C$1=56,$F$51,IF($C$1=60,$F$55,IF($C$1=65,$F$60,0))))/F49)</f>
        <v>0</v>
      </c>
      <c r="W49" s="25"/>
      <c r="X49" s="9">
        <f t="shared" si="9"/>
        <v>40</v>
      </c>
      <c r="Y49" s="22">
        <v>0.00618</v>
      </c>
      <c r="Z49" s="22">
        <v>0.00353</v>
      </c>
      <c r="AA49" s="22">
        <v>0.00302</v>
      </c>
      <c r="AB49" s="22">
        <v>0.00163</v>
      </c>
      <c r="AC49" s="22">
        <v>0.001238</v>
      </c>
      <c r="AD49" s="22">
        <v>0.00322</v>
      </c>
      <c r="AE49" s="22">
        <v>0.00227</v>
      </c>
      <c r="AF49" s="22">
        <v>0.00436</v>
      </c>
      <c r="AG49" s="22">
        <v>0.00227</v>
      </c>
      <c r="AH49" s="22">
        <v>0.00618</v>
      </c>
      <c r="AI49" s="22">
        <v>0.00353</v>
      </c>
      <c r="AJ49" s="22">
        <v>0.00302</v>
      </c>
      <c r="AK49" s="22">
        <v>0.00163</v>
      </c>
      <c r="AL49" s="22">
        <v>0.001238</v>
      </c>
      <c r="AM49" s="22">
        <v>0.00322</v>
      </c>
      <c r="AN49" s="22">
        <v>0.00227</v>
      </c>
      <c r="AO49" s="22">
        <v>0.00436</v>
      </c>
      <c r="AP49" s="28">
        <v>0.00227</v>
      </c>
      <c r="AQ49" s="28">
        <f t="shared" si="8"/>
        <v>0.001955</v>
      </c>
      <c r="AR49" s="28">
        <v>0.00164</v>
      </c>
      <c r="AS49" s="28">
        <v>0.001238</v>
      </c>
      <c r="AT49" s="28">
        <v>0.000665</v>
      </c>
      <c r="AU49" s="28">
        <v>0.00153</v>
      </c>
      <c r="AV49" s="28">
        <v>0.00114</v>
      </c>
      <c r="AX49" s="30">
        <f t="shared" si="10"/>
        <v>40</v>
      </c>
    </row>
    <row r="50" s="1" customFormat="1" ht="14.4" spans="1:50">
      <c r="A50" s="12">
        <v>55</v>
      </c>
      <c r="B50" s="1">
        <v>0.00789</v>
      </c>
      <c r="C50" s="14">
        <f>$E$3*B50</f>
        <v>0.0003945</v>
      </c>
      <c r="D50" s="17"/>
      <c r="E50" s="14">
        <f>IF(A50=$C$1,1,0)</f>
        <v>0</v>
      </c>
      <c r="F50" s="16">
        <f t="shared" si="7"/>
        <v>3287368.03429493</v>
      </c>
      <c r="G50" s="16">
        <f>ROUND(IF($A50&gt;=$C$1,0,+$F50*(1-0.5*C50)*(1-0.5*D50)*(1-0.5*E50)*B50),12)</f>
        <v>25932.2176514968</v>
      </c>
      <c r="H50" s="16">
        <f>ROUND(IF($A50&gt;=$C$1,0,+$F50*(1-0.5*B50)*(1-0.5*D50)*(1-0.5*E50)*C50),12)</f>
        <v>1291.75055043916</v>
      </c>
      <c r="I50" s="16">
        <f>ROUND(IF($A50&gt;=$C$1,0,+$F50*(1-0.5*B50)*(1-0.5*C50)*(1-0.5*E50)*D50),12)</f>
        <v>0</v>
      </c>
      <c r="J50" s="16">
        <f>ROUND(IF($A50&gt;$C$1,0,+$F50*(1-0.5*B50)*(1-0.5*C50)*(1-0.5*D50)*E50),12)</f>
        <v>0</v>
      </c>
      <c r="K50" s="16">
        <f>IF(A50&gt;$C$1,0,+F50*$C$2^A50*$C$3^A50)</f>
        <v>1414295.68875639</v>
      </c>
      <c r="L50" s="16">
        <f>IF(A50=$C$1,+J50*$C$2^(A50)*$C$3^A50,+J50*$C$2^(A50+0.5)*$C$3^A50)</f>
        <v>0</v>
      </c>
      <c r="M50" s="16">
        <f>+G50*$C$2^(A50+0.5)*$C$3^A50</f>
        <v>10804.5535028012</v>
      </c>
      <c r="N50" s="16">
        <f>+H50*$C$2^(A50+0.5)*$C$3^A50</f>
        <v>538.202637431869</v>
      </c>
      <c r="O50" s="16">
        <f>+I50*$C$2^(A50+0.5)*$C$3^A50</f>
        <v>0</v>
      </c>
      <c r="P50" s="16">
        <f>+SUM(M50:$M$60)</f>
        <v>45809.9059004782</v>
      </c>
      <c r="Q50" s="16">
        <f>+SUM(N50:$N$60)</f>
        <v>2281.02360107899</v>
      </c>
      <c r="R50" s="16">
        <f>+SUM(O50:$O$60)</f>
        <v>0</v>
      </c>
      <c r="S50" s="16">
        <f>+SUM(P50:$P$60)</f>
        <v>116449.369363486</v>
      </c>
      <c r="T50" s="16">
        <f>+SUM(Q50:$Q$60)</f>
        <v>5797.7155906934</v>
      </c>
      <c r="U50" s="16">
        <f>+SUM(R50:$R$60)</f>
        <v>0</v>
      </c>
      <c r="V50" s="25">
        <f>IF(A50&gt;$C$1,0,IF($C$1=55,$F$50,IF($C$1=56,$F$51,IF($C$1=60,$F$55,IF($C$1=65,$F$60,0))))/F50)</f>
        <v>0</v>
      </c>
      <c r="W50" s="25"/>
      <c r="X50" s="9">
        <f t="shared" si="9"/>
        <v>41</v>
      </c>
      <c r="Y50" s="22">
        <v>0.00659</v>
      </c>
      <c r="Z50" s="22">
        <v>0.00384</v>
      </c>
      <c r="AA50" s="22">
        <v>0.00329</v>
      </c>
      <c r="AB50" s="22">
        <v>0.00179</v>
      </c>
      <c r="AC50" s="22">
        <v>0.00137</v>
      </c>
      <c r="AD50" s="22">
        <v>0.00359</v>
      </c>
      <c r="AE50" s="22">
        <v>0.00242</v>
      </c>
      <c r="AF50" s="22">
        <v>0.0047</v>
      </c>
      <c r="AG50" s="22">
        <v>0.00242</v>
      </c>
      <c r="AH50" s="22">
        <v>0.00659</v>
      </c>
      <c r="AI50" s="22">
        <v>0.00384</v>
      </c>
      <c r="AJ50" s="22">
        <v>0.00329</v>
      </c>
      <c r="AK50" s="22">
        <v>0.00179</v>
      </c>
      <c r="AL50" s="22">
        <v>0.00137</v>
      </c>
      <c r="AM50" s="22">
        <v>0.00359</v>
      </c>
      <c r="AN50" s="22">
        <v>0.00242</v>
      </c>
      <c r="AO50" s="22">
        <v>0.0047</v>
      </c>
      <c r="AP50" s="28">
        <v>0.00242</v>
      </c>
      <c r="AQ50" s="28">
        <f t="shared" si="8"/>
        <v>0.00211</v>
      </c>
      <c r="AR50" s="28">
        <v>0.0018</v>
      </c>
      <c r="AS50" s="28">
        <v>0.00137</v>
      </c>
      <c r="AT50" s="28">
        <v>0.000716</v>
      </c>
      <c r="AU50" s="28">
        <v>0.00175</v>
      </c>
      <c r="AV50" s="28">
        <v>0.00126</v>
      </c>
      <c r="AX50" s="30">
        <f t="shared" si="10"/>
        <v>41</v>
      </c>
    </row>
    <row r="51" s="1" customFormat="1" ht="14.4" spans="1:50">
      <c r="A51" s="12">
        <v>56</v>
      </c>
      <c r="B51" s="1">
        <v>0.00847</v>
      </c>
      <c r="C51" s="14">
        <f>$E$3*B51</f>
        <v>0.0004235</v>
      </c>
      <c r="D51" s="17"/>
      <c r="E51" s="14">
        <f>IF(A51=$C$1,1,0)</f>
        <v>0</v>
      </c>
      <c r="F51" s="16">
        <f t="shared" si="7"/>
        <v>3260144.06609299</v>
      </c>
      <c r="G51" s="16">
        <f>ROUND(IF($A51&gt;=$C$1,0,+$F51*(1-0.5*C51)*(1-0.5*D51)*(1-0.5*E51)*B51),12)</f>
        <v>27607.5730980719</v>
      </c>
      <c r="H51" s="16">
        <f>ROUND(IF($A51&gt;=$C$1,0,+$F51*(1-0.5*B51)*(1-0.5*D51)*(1-0.5*E51)*C51),12)</f>
        <v>1374.8238702546</v>
      </c>
      <c r="I51" s="16">
        <f>ROUND(IF($A51&gt;=$C$1,0,+$F51*(1-0.5*B51)*(1-0.5*C51)*(1-0.5*E51)*D51),12)</f>
        <v>0</v>
      </c>
      <c r="J51" s="16">
        <f>ROUND(IF($A51&gt;$C$1,0,+$F51*(1-0.5*B51)*(1-0.5*C51)*(1-0.5*D51)*E51),12)</f>
        <v>0</v>
      </c>
      <c r="K51" s="16">
        <f>IF(A51&gt;$C$1,0,+F51*$C$2^A51*$C$3^A51)</f>
        <v>1381238.05167073</v>
      </c>
      <c r="L51" s="16">
        <f>IF(A51=$C$1,+J51*$C$2^(A51)*$C$3^A51,+J51*$C$2^(A51+0.5)*$C$3^A51)</f>
        <v>0</v>
      </c>
      <c r="M51" s="16">
        <f>+G51*$C$2^(A51+0.5)*$C$3^A51</f>
        <v>11327.5307467288</v>
      </c>
      <c r="N51" s="16">
        <f>+H51*$C$2^(A51+0.5)*$C$3^A51</f>
        <v>564.097380321104</v>
      </c>
      <c r="O51" s="16">
        <f>+I51*$C$2^(A51+0.5)*$C$3^A51</f>
        <v>0</v>
      </c>
      <c r="P51" s="16">
        <f>+SUM(M51:$M$60)</f>
        <v>35005.352397677</v>
      </c>
      <c r="Q51" s="16">
        <f>+SUM(N51:$N$60)</f>
        <v>1742.82096364712</v>
      </c>
      <c r="R51" s="16">
        <f>+SUM(O51:$O$60)</f>
        <v>0</v>
      </c>
      <c r="S51" s="16">
        <f>+SUM(P51:$P$60)</f>
        <v>70639.4634630078</v>
      </c>
      <c r="T51" s="16">
        <f>+SUM(Q51:$Q$60)</f>
        <v>3516.69198961441</v>
      </c>
      <c r="U51" s="16">
        <f>+SUM(R51:$R$60)</f>
        <v>0</v>
      </c>
      <c r="V51" s="25">
        <f>IF(A51&gt;$C$1,0,IF($C$1=55,$F$50,IF($C$1=56,$F$51,IF($C$1=60,$F$55,IF($C$1=65,$F$60,0))))/F51)</f>
        <v>0</v>
      </c>
      <c r="W51" s="26"/>
      <c r="X51" s="9">
        <f t="shared" si="9"/>
        <v>42</v>
      </c>
      <c r="Y51" s="22">
        <v>0.00703</v>
      </c>
      <c r="Z51" s="22">
        <v>0.00417</v>
      </c>
      <c r="AA51" s="22">
        <v>0.00356</v>
      </c>
      <c r="AB51" s="22">
        <v>0.002</v>
      </c>
      <c r="AC51" s="22">
        <v>0.001527</v>
      </c>
      <c r="AD51" s="22">
        <v>0.00395</v>
      </c>
      <c r="AE51" s="22">
        <v>0.00259</v>
      </c>
      <c r="AF51" s="22">
        <v>0.00507</v>
      </c>
      <c r="AG51" s="22">
        <v>0.00259</v>
      </c>
      <c r="AH51" s="22">
        <v>0.00703</v>
      </c>
      <c r="AI51" s="22">
        <v>0.00417</v>
      </c>
      <c r="AJ51" s="22">
        <v>0.00356</v>
      </c>
      <c r="AK51" s="22">
        <v>0.002</v>
      </c>
      <c r="AL51" s="22">
        <v>0.001527</v>
      </c>
      <c r="AM51" s="22">
        <v>0.00395</v>
      </c>
      <c r="AN51" s="22">
        <v>0.00259</v>
      </c>
      <c r="AO51" s="22">
        <v>0.00507</v>
      </c>
      <c r="AP51" s="28">
        <v>0.00259</v>
      </c>
      <c r="AQ51" s="28">
        <f t="shared" si="8"/>
        <v>0.002275</v>
      </c>
      <c r="AR51" s="28">
        <v>0.00196</v>
      </c>
      <c r="AS51" s="28">
        <v>0.001527</v>
      </c>
      <c r="AT51" s="28">
        <v>0.000775</v>
      </c>
      <c r="AU51" s="28">
        <v>0.00196</v>
      </c>
      <c r="AV51" s="28">
        <v>0.00141</v>
      </c>
      <c r="AX51" s="30">
        <f t="shared" si="10"/>
        <v>42</v>
      </c>
    </row>
    <row r="52" s="1" customFormat="1" ht="14.4" spans="1:50">
      <c r="A52" s="12">
        <v>57</v>
      </c>
      <c r="B52" s="1">
        <v>0.00898</v>
      </c>
      <c r="C52" s="14">
        <f>$E$3*B52</f>
        <v>0.000449</v>
      </c>
      <c r="D52" s="17"/>
      <c r="E52" s="14">
        <f>IF(A52=$C$1,1,0)</f>
        <v>0</v>
      </c>
      <c r="F52" s="16">
        <f t="shared" si="7"/>
        <v>3231161.66912467</v>
      </c>
      <c r="G52" s="16">
        <f>ROUND(IF($A52&gt;=$C$1,0,+$F52*(1-0.5*C52)*(1-0.5*D52)*(1-0.5*E52)*B52),12)</f>
        <v>29009.3177345029</v>
      </c>
      <c r="H52" s="16">
        <f>ROUND(IF($A52&gt;=$C$1,0,+$F52*(1-0.5*B52)*(1-0.5*D52)*(1-0.5*E52)*C52),12)</f>
        <v>1444.2775352004</v>
      </c>
      <c r="I52" s="16">
        <f>ROUND(IF($A52&gt;=$C$1,0,+$F52*(1-0.5*B52)*(1-0.5*C52)*(1-0.5*E52)*D52),12)</f>
        <v>0</v>
      </c>
      <c r="J52" s="16">
        <f>ROUND(IF($A52&gt;$C$1,0,+$F52*(1-0.5*B52)*(1-0.5*C52)*(1-0.5*D52)*E52),12)</f>
        <v>0</v>
      </c>
      <c r="K52" s="16">
        <f>IF(A52&gt;$C$1,0,+F52*$C$2^A52*$C$3^A52)</f>
        <v>1348125.37404446</v>
      </c>
      <c r="L52" s="16">
        <f>IF(A52=$C$1,+J52*$C$2^(A52)*$C$3^A52,+J52*$C$2^(A52+0.5)*$C$3^A52)</f>
        <v>0</v>
      </c>
      <c r="M52" s="16">
        <f>+G52*$C$2^(A52+0.5)*$C$3^A52</f>
        <v>11721.5322365655</v>
      </c>
      <c r="N52" s="16">
        <f>+H52*$C$2^(A52+0.5)*$C$3^A52</f>
        <v>583.57614068475</v>
      </c>
      <c r="O52" s="16">
        <f>+I52*$C$2^(A52+0.5)*$C$3^A52</f>
        <v>0</v>
      </c>
      <c r="P52" s="16">
        <f>+SUM(M52:$M$60)</f>
        <v>23677.8216509482</v>
      </c>
      <c r="Q52" s="16">
        <f>+SUM(N52:$N$60)</f>
        <v>1178.72358332602</v>
      </c>
      <c r="R52" s="16">
        <f>+SUM(O52:$O$60)</f>
        <v>0</v>
      </c>
      <c r="S52" s="16">
        <f>+SUM(P52:$P$60)</f>
        <v>35634.1110653308</v>
      </c>
      <c r="T52" s="16">
        <f>+SUM(Q52:$Q$60)</f>
        <v>1773.87102596729</v>
      </c>
      <c r="U52" s="16">
        <f>+SUM(R52:$R$60)</f>
        <v>0</v>
      </c>
      <c r="V52" s="25">
        <f>IF(A52&gt;$C$1,0,IF($C$1=55,$F$50,IF($C$1=56,$F$51,IF($C$1=60,$F$55,IF($C$1=65,$F$60,0))))/F52)</f>
        <v>0</v>
      </c>
      <c r="W52" s="26"/>
      <c r="X52" s="9">
        <f t="shared" si="9"/>
        <v>43</v>
      </c>
      <c r="Y52" s="22">
        <v>0.00751</v>
      </c>
      <c r="Z52" s="22">
        <v>0.00453</v>
      </c>
      <c r="AA52" s="22">
        <v>0.00387</v>
      </c>
      <c r="AB52" s="22">
        <v>0.00226</v>
      </c>
      <c r="AC52" s="22">
        <v>0.001715</v>
      </c>
      <c r="AD52" s="22">
        <v>0.00431</v>
      </c>
      <c r="AE52" s="22">
        <v>0.0028</v>
      </c>
      <c r="AF52" s="22">
        <v>0.00547</v>
      </c>
      <c r="AG52" s="22">
        <v>0.0028</v>
      </c>
      <c r="AH52" s="22">
        <v>0.00751</v>
      </c>
      <c r="AI52" s="22">
        <v>0.00453</v>
      </c>
      <c r="AJ52" s="22">
        <v>0.00387</v>
      </c>
      <c r="AK52" s="22">
        <v>0.00226</v>
      </c>
      <c r="AL52" s="22">
        <v>0.001715</v>
      </c>
      <c r="AM52" s="22">
        <v>0.00431</v>
      </c>
      <c r="AN52" s="22">
        <v>0.0028</v>
      </c>
      <c r="AO52" s="22">
        <v>0.00547</v>
      </c>
      <c r="AP52" s="28">
        <v>0.0028</v>
      </c>
      <c r="AQ52" s="28">
        <f t="shared" si="8"/>
        <v>0.002465</v>
      </c>
      <c r="AR52" s="28">
        <v>0.00213</v>
      </c>
      <c r="AS52" s="28">
        <v>0.001715</v>
      </c>
      <c r="AT52" s="28">
        <v>0.000842</v>
      </c>
      <c r="AU52" s="28">
        <v>0.00219</v>
      </c>
      <c r="AV52" s="28">
        <v>0.00158</v>
      </c>
      <c r="AX52" s="30">
        <f t="shared" si="10"/>
        <v>43</v>
      </c>
    </row>
    <row r="53" s="1" customFormat="1" ht="13.8" spans="1:50">
      <c r="A53" s="12">
        <v>58</v>
      </c>
      <c r="B53" s="1">
        <v>0.00939</v>
      </c>
      <c r="C53" s="14">
        <f>$E$3*B53</f>
        <v>0.0004695</v>
      </c>
      <c r="D53" s="20"/>
      <c r="E53" s="14">
        <f>IF(A53=$C$1,1,0)</f>
        <v>0</v>
      </c>
      <c r="F53" s="16">
        <f t="shared" si="7"/>
        <v>3200708.07385496</v>
      </c>
      <c r="G53" s="16">
        <f>ROUND(IF($A53&gt;=$C$1,0,+$F53*(1-0.5*C53)*(1-0.5*D53)*(1-0.5*E53)*B53),12)</f>
        <v>30047.5934846891</v>
      </c>
      <c r="H53" s="16">
        <f>ROUND(IF($A53&gt;=$C$1,0,+$F53*(1-0.5*B53)*(1-0.5*D53)*(1-0.5*E53)*C53),12)</f>
        <v>1495.67711186594</v>
      </c>
      <c r="I53" s="16">
        <f>ROUND(IF($A53&gt;=$C$1,0,+$F53*(1-0.5*B53)*(1-0.5*C53)*(1-0.5*E53)*D53),12)</f>
        <v>0</v>
      </c>
      <c r="J53" s="16">
        <f>ROUND(IF($A53&gt;$C$1,0,+$F53*(1-0.5*B53)*(1-0.5*C53)*(1-0.5*D53)*E53),12)</f>
        <v>0</v>
      </c>
      <c r="K53" s="16">
        <f>IF(A53&gt;$C$1,0,+F53*$C$2^A53*$C$3^A53)</f>
        <v>1315096.16903855</v>
      </c>
      <c r="L53" s="16">
        <f>IF(A53=$C$1,+J53*$C$2^(A53)*$C$3^A53,+J53*$C$2^(A53+0.5)*$C$3^A53)</f>
        <v>0</v>
      </c>
      <c r="M53" s="16">
        <f>+G53*$C$2^(A53+0.5)*$C$3^A53</f>
        <v>11956.2894143827</v>
      </c>
      <c r="N53" s="16">
        <f>+H53*$C$2^(A53+0.5)*$C$3^A53</f>
        <v>595.147442641269</v>
      </c>
      <c r="O53" s="16">
        <f>+I53*$C$2^(A53+0.5)*$C$3^A53</f>
        <v>0</v>
      </c>
      <c r="P53" s="16">
        <f>+SUM(M53:$M$60)</f>
        <v>11956.2894143827</v>
      </c>
      <c r="Q53" s="16">
        <f>+SUM(N53:$N$60)</f>
        <v>595.147442641269</v>
      </c>
      <c r="R53" s="16">
        <f>+SUM(O53:$O$60)</f>
        <v>0</v>
      </c>
      <c r="S53" s="16">
        <f>+SUM(P53:$P$60)</f>
        <v>11956.2894143827</v>
      </c>
      <c r="T53" s="16">
        <f>+SUM(Q53:$Q$60)</f>
        <v>595.147442641269</v>
      </c>
      <c r="U53" s="16">
        <f>+SUM(R53:$R$60)</f>
        <v>0</v>
      </c>
      <c r="V53" s="25">
        <f>IF(A53&gt;$C$1,0,IF($C$1=55,$F$50,IF($C$1=56,$F$51,IF($C$1=60,$F$55,IF($C$1=65,$F$60,0))))/F53)</f>
        <v>0</v>
      </c>
      <c r="W53" s="26"/>
      <c r="X53" s="9">
        <f t="shared" si="9"/>
        <v>44</v>
      </c>
      <c r="Y53" s="22">
        <v>0.00804</v>
      </c>
      <c r="Z53" s="22">
        <v>0.00492</v>
      </c>
      <c r="AA53" s="22">
        <v>0.00419</v>
      </c>
      <c r="AB53" s="22">
        <v>0.00257</v>
      </c>
      <c r="AC53" s="22">
        <v>0.001932</v>
      </c>
      <c r="AD53" s="22">
        <v>0.00467</v>
      </c>
      <c r="AE53" s="22">
        <v>0.00305</v>
      </c>
      <c r="AF53" s="22">
        <v>0.0059</v>
      </c>
      <c r="AG53" s="22">
        <v>0.00305</v>
      </c>
      <c r="AH53" s="22">
        <v>0.00804</v>
      </c>
      <c r="AI53" s="22">
        <v>0.00492</v>
      </c>
      <c r="AJ53" s="22">
        <v>0.00419</v>
      </c>
      <c r="AK53" s="22">
        <v>0.00257</v>
      </c>
      <c r="AL53" s="22">
        <v>0.001932</v>
      </c>
      <c r="AM53" s="22">
        <v>0.00467</v>
      </c>
      <c r="AN53" s="22">
        <v>0.00305</v>
      </c>
      <c r="AO53" s="22">
        <v>0.0059</v>
      </c>
      <c r="AP53" s="28">
        <v>0.00305</v>
      </c>
      <c r="AQ53" s="28">
        <f t="shared" si="8"/>
        <v>0.00267</v>
      </c>
      <c r="AR53" s="28">
        <v>0.00229</v>
      </c>
      <c r="AS53" s="28">
        <v>0.001932</v>
      </c>
      <c r="AT53" s="28">
        <v>0.000919</v>
      </c>
      <c r="AU53" s="28">
        <v>0.00246</v>
      </c>
      <c r="AV53" s="28">
        <v>0.00175</v>
      </c>
      <c r="AX53" s="30">
        <f t="shared" si="10"/>
        <v>44</v>
      </c>
    </row>
    <row r="54" s="1" customFormat="1" ht="13.8" spans="1:50">
      <c r="A54" s="12">
        <v>59</v>
      </c>
      <c r="B54" s="1"/>
      <c r="C54" s="14">
        <f>$E$3*B54</f>
        <v>0</v>
      </c>
      <c r="D54" s="20"/>
      <c r="E54" s="14">
        <f>IF(A54=$C$1,1,0)</f>
        <v>1</v>
      </c>
      <c r="F54" s="16">
        <f t="shared" si="7"/>
        <v>3169164.80325841</v>
      </c>
      <c r="G54" s="16">
        <f>ROUND(IF($A54&gt;=$C$1,0,+$F54*(1-0.5*C54)*(1-0.5*D54)*(1-0.5*E54)*B54),12)</f>
        <v>0</v>
      </c>
      <c r="H54" s="16">
        <f>ROUND(IF($A54&gt;=$C$1,0,+$F54*(1-0.5*B54)*(1-0.5*D54)*(1-0.5*E54)*C54),12)</f>
        <v>0</v>
      </c>
      <c r="I54" s="16">
        <f>ROUND(IF($A54&gt;=$C$1,0,+$F54*(1-0.5*B54)*(1-0.5*C54)*(1-0.5*E54)*D54),12)</f>
        <v>0</v>
      </c>
      <c r="J54" s="16">
        <f>ROUND(IF($A54&gt;$C$1,0,+$F54*(1-0.5*B54)*(1-0.5*C54)*(1-0.5*D54)*E54),12)</f>
        <v>3169164.80325841</v>
      </c>
      <c r="K54" s="16">
        <f>IF(A54&gt;$C$1,0,+F54*$C$2^A54*$C$3^A54)</f>
        <v>1282319.13760406</v>
      </c>
      <c r="L54" s="16">
        <f>IF(A54=$C$1,+J54*$C$2^(A54)*$C$3^A54,+J54*$C$2^(A54+0.5)*$C$3^A54)</f>
        <v>1282319.13760406</v>
      </c>
      <c r="M54" s="16">
        <f>+G54*$C$2^(A54+0.5)*$C$3^A54</f>
        <v>0</v>
      </c>
      <c r="N54" s="16">
        <f>+H54*$C$2^(A54+0.5)*$C$3^A54</f>
        <v>0</v>
      </c>
      <c r="O54" s="16">
        <f>+I54*$C$2^(A54+0.5)*$C$3^A54</f>
        <v>0</v>
      </c>
      <c r="P54" s="16">
        <f>+SUM(M54:$M$60)</f>
        <v>0</v>
      </c>
      <c r="Q54" s="16">
        <f>+SUM(N54:$N$60)</f>
        <v>0</v>
      </c>
      <c r="R54" s="16">
        <f>+SUM(O54:$O$60)</f>
        <v>0</v>
      </c>
      <c r="S54" s="16">
        <f>+SUM(P54:$P$60)</f>
        <v>0</v>
      </c>
      <c r="T54" s="16">
        <f>+SUM(Q54:$Q$60)</f>
        <v>0</v>
      </c>
      <c r="U54" s="16">
        <f>+SUM(R54:$R$60)</f>
        <v>0</v>
      </c>
      <c r="V54" s="25">
        <f>IF(A54&gt;$C$1,0,IF($C$1=55,$F$50,IF($C$1=56,$F$51,IF($C$1=60,$F$55,IF($C$1=65,$F$60,0))))/F54)</f>
        <v>0</v>
      </c>
      <c r="W54" s="26"/>
      <c r="X54" s="9">
        <f t="shared" si="9"/>
        <v>45</v>
      </c>
      <c r="Y54" s="22">
        <v>0.00861</v>
      </c>
      <c r="Z54" s="22">
        <v>0.00535</v>
      </c>
      <c r="AA54" s="22">
        <v>0.00455</v>
      </c>
      <c r="AB54" s="22">
        <v>0.00292</v>
      </c>
      <c r="AC54" s="22">
        <v>0.002183</v>
      </c>
      <c r="AD54" s="22">
        <v>0.00507</v>
      </c>
      <c r="AE54" s="22">
        <v>0.00338</v>
      </c>
      <c r="AF54" s="22">
        <v>0.00635</v>
      </c>
      <c r="AG54" s="22">
        <v>0.00338</v>
      </c>
      <c r="AH54" s="22">
        <v>0.00861</v>
      </c>
      <c r="AI54" s="22">
        <v>0.00535</v>
      </c>
      <c r="AJ54" s="22">
        <v>0.00455</v>
      </c>
      <c r="AK54" s="22">
        <v>0.00292</v>
      </c>
      <c r="AL54" s="22">
        <v>0.002183</v>
      </c>
      <c r="AM54" s="22">
        <v>0.00507</v>
      </c>
      <c r="AN54" s="22">
        <v>0.00338</v>
      </c>
      <c r="AO54" s="22">
        <v>0.00635</v>
      </c>
      <c r="AP54" s="28">
        <v>0.00338</v>
      </c>
      <c r="AQ54" s="28">
        <f t="shared" si="8"/>
        <v>0.002915</v>
      </c>
      <c r="AR54" s="28">
        <v>0.00245</v>
      </c>
      <c r="AS54" s="28">
        <v>0.002183</v>
      </c>
      <c r="AT54" s="28">
        <v>0.00101</v>
      </c>
      <c r="AU54" s="28">
        <v>0.00279</v>
      </c>
      <c r="AV54" s="28">
        <v>0.00193</v>
      </c>
      <c r="AX54" s="30">
        <f t="shared" si="10"/>
        <v>45</v>
      </c>
    </row>
    <row r="55" s="1" customFormat="1" ht="13.8" spans="1:50">
      <c r="A55" s="12">
        <v>60</v>
      </c>
      <c r="B55" s="21">
        <f>IF(A55&gt;=$C$1,0,VLOOKUP(A55,$X$9:$AV$120,$C$4+1))</f>
        <v>0</v>
      </c>
      <c r="C55" s="14">
        <f>$E$3*B55</f>
        <v>0</v>
      </c>
      <c r="D55" s="20"/>
      <c r="E55" s="14">
        <f>IF(A55=$C$1,1,0)</f>
        <v>0</v>
      </c>
      <c r="F55" s="16">
        <f t="shared" si="7"/>
        <v>0</v>
      </c>
      <c r="G55" s="16">
        <f>ROUND(IF($A55&gt;=$C$1,0,+$F55*(1-0.5*C55)*(1-0.5*D55)*(1-0.5*E55)*B55),12)</f>
        <v>0</v>
      </c>
      <c r="H55" s="16">
        <f>ROUND(IF($A55&gt;=$C$1,0,+$F55*(1-0.5*B55)*(1-0.5*D55)*(1-0.5*E55)*C55),12)</f>
        <v>0</v>
      </c>
      <c r="I55" s="16">
        <f>ROUND(IF($A55&gt;=$C$1,0,+$F55*(1-0.5*B55)*(1-0.5*C55)*(1-0.5*E55)*D55),12)</f>
        <v>0</v>
      </c>
      <c r="J55" s="16">
        <f>ROUND(IF($A55&gt;$C$1,0,+$F55*(1-0.5*B55)*(1-0.5*C55)*(1-0.5*D55)*E55),12)</f>
        <v>0</v>
      </c>
      <c r="K55" s="16">
        <f>IF(A55&gt;$C$1,0,+F55*$C$2^A55*$C$3^A55)</f>
        <v>0</v>
      </c>
      <c r="L55" s="16">
        <f>IF(A55=$C$1,+J55*$C$2^(A55)*$C$3^A55,+J55*$C$2^(A55+0.5)*$C$3^A55)</f>
        <v>0</v>
      </c>
      <c r="M55" s="16">
        <f>+G55*$C$2^(A55+0.5)*$C$3^A55</f>
        <v>0</v>
      </c>
      <c r="N55" s="16">
        <f>+H55*$C$2^(A55+0.5)*$C$3^A55</f>
        <v>0</v>
      </c>
      <c r="O55" s="16">
        <f>+I55*$C$2^(A55+0.5)*$C$3^A55</f>
        <v>0</v>
      </c>
      <c r="P55" s="16">
        <f>+SUM(M55:$M$60)</f>
        <v>0</v>
      </c>
      <c r="Q55" s="16">
        <f>+SUM(N55:$N$60)</f>
        <v>0</v>
      </c>
      <c r="R55" s="16">
        <f>+SUM(O55:$O$60)</f>
        <v>0</v>
      </c>
      <c r="S55" s="16">
        <f>+SUM(P55:$P$60)</f>
        <v>0</v>
      </c>
      <c r="T55" s="16">
        <f>+SUM(Q55:$Q$60)</f>
        <v>0</v>
      </c>
      <c r="U55" s="16">
        <f>+SUM(R55:$R$60)</f>
        <v>0</v>
      </c>
      <c r="V55" s="25">
        <f>IF(A55&gt;$C$1,0,IF($C$1=55,$F$50,IF($C$1=56,$F$51,IF($C$1=60,$F$55,IF($C$1=65,$F$60,0))))/F55)</f>
        <v>0</v>
      </c>
      <c r="W55" s="26"/>
      <c r="X55" s="9">
        <f t="shared" si="9"/>
        <v>46</v>
      </c>
      <c r="Y55" s="22">
        <v>0.00923</v>
      </c>
      <c r="Z55" s="22">
        <v>0.00583</v>
      </c>
      <c r="AA55" s="22">
        <v>0.00492</v>
      </c>
      <c r="AB55" s="22">
        <v>0.00332</v>
      </c>
      <c r="AC55" s="22">
        <v>0.002471</v>
      </c>
      <c r="AD55" s="22">
        <v>0.00553</v>
      </c>
      <c r="AE55" s="22">
        <v>0.00379</v>
      </c>
      <c r="AF55" s="22">
        <v>0.00686</v>
      </c>
      <c r="AG55" s="22">
        <v>0.00379</v>
      </c>
      <c r="AH55" s="22">
        <v>0.00923</v>
      </c>
      <c r="AI55" s="22">
        <v>0.00583</v>
      </c>
      <c r="AJ55" s="22">
        <v>0.00492</v>
      </c>
      <c r="AK55" s="22">
        <v>0.00332</v>
      </c>
      <c r="AL55" s="22">
        <v>0.002471</v>
      </c>
      <c r="AM55" s="22">
        <v>0.00553</v>
      </c>
      <c r="AN55" s="22">
        <v>0.00379</v>
      </c>
      <c r="AO55" s="22">
        <v>0.00686</v>
      </c>
      <c r="AP55" s="28">
        <v>0.00379</v>
      </c>
      <c r="AQ55" s="28">
        <f t="shared" si="8"/>
        <v>0.00321</v>
      </c>
      <c r="AR55" s="28">
        <v>0.00263</v>
      </c>
      <c r="AS55" s="28">
        <v>0.002471</v>
      </c>
      <c r="AT55" s="28">
        <v>0.001117</v>
      </c>
      <c r="AU55" s="28">
        <v>0.00318</v>
      </c>
      <c r="AV55" s="28">
        <v>0.00214</v>
      </c>
      <c r="AX55" s="30">
        <f t="shared" si="10"/>
        <v>46</v>
      </c>
    </row>
    <row r="56" s="1" customFormat="1" ht="13.8" spans="1:50">
      <c r="A56" s="12">
        <f t="shared" ref="A56:A60" si="11">A55+1</f>
        <v>61</v>
      </c>
      <c r="B56" s="21">
        <f>IF(A56&gt;=$C$1,0,VLOOKUP(A56,$X$9:$AV$120,$C$4+1))</f>
        <v>0</v>
      </c>
      <c r="C56" s="14">
        <f>$E$3*B56</f>
        <v>0</v>
      </c>
      <c r="D56" s="20"/>
      <c r="E56" s="14">
        <f>IF(A56=$C$1,1,0)</f>
        <v>0</v>
      </c>
      <c r="F56" s="16">
        <f t="shared" si="7"/>
        <v>0</v>
      </c>
      <c r="G56" s="16">
        <f>ROUND(IF($A56&gt;=$C$1,0,+$F56*(1-0.5*C56)*(1-0.5*D56)*(1-0.5*E56)*B56),12)</f>
        <v>0</v>
      </c>
      <c r="H56" s="16">
        <f>ROUND(IF($A56&gt;=$C$1,0,+$F56*(1-0.5*B56)*(1-0.5*D56)*(1-0.5*E56)*C56),12)</f>
        <v>0</v>
      </c>
      <c r="I56" s="16">
        <f>ROUND(IF($A56&gt;=$C$1,0,+$F56*(1-0.5*B56)*(1-0.5*C56)*(1-0.5*E56)*D56),12)</f>
        <v>0</v>
      </c>
      <c r="J56" s="16">
        <f>ROUND(IF($A56&gt;$C$1,0,+$F56*(1-0.5*B56)*(1-0.5*C56)*(1-0.5*D56)*E56),12)</f>
        <v>0</v>
      </c>
      <c r="K56" s="16">
        <f>IF(A56&gt;$C$1,0,+F56*$C$2^A56*$C$3^A56)</f>
        <v>0</v>
      </c>
      <c r="L56" s="16">
        <f>IF(A56=$C$1,+J56*$C$2^(A56)*$C$3^A56,+J56*$C$2^(A56+0.5)*$C$3^A56)</f>
        <v>0</v>
      </c>
      <c r="M56" s="16">
        <f>+G56*$C$2^(A56+0.5)*$C$3^A56</f>
        <v>0</v>
      </c>
      <c r="N56" s="16">
        <f>+H56*$C$2^(A56+0.5)*$C$3^A56</f>
        <v>0</v>
      </c>
      <c r="O56" s="16">
        <f>+I56*$C$2^(A56+0.5)*$C$3^A56</f>
        <v>0</v>
      </c>
      <c r="P56" s="16">
        <f>+SUM(M56:$M$60)</f>
        <v>0</v>
      </c>
      <c r="Q56" s="16">
        <f>+SUM(N56:$N$60)</f>
        <v>0</v>
      </c>
      <c r="R56" s="16">
        <f>+SUM(O56:$O$60)</f>
        <v>0</v>
      </c>
      <c r="S56" s="16">
        <f>+SUM(P56:$P$60)</f>
        <v>0</v>
      </c>
      <c r="T56" s="16">
        <f>+SUM(Q56:$Q$60)</f>
        <v>0</v>
      </c>
      <c r="U56" s="16">
        <f>+SUM(R56:$R$60)</f>
        <v>0</v>
      </c>
      <c r="V56" s="25">
        <f>IF(A56&gt;$C$1,0,IF($C$1=55,$F$50,IF($C$1=56,$F$51,IF($C$1=60,$F$55,IF($C$1=65,$F$60,0))))/F56)</f>
        <v>0</v>
      </c>
      <c r="W56" s="26"/>
      <c r="X56" s="9">
        <f t="shared" si="9"/>
        <v>47</v>
      </c>
      <c r="Y56" s="22">
        <v>0.00991</v>
      </c>
      <c r="Z56" s="22">
        <v>0.00636</v>
      </c>
      <c r="AA56" s="22">
        <v>0.00532</v>
      </c>
      <c r="AB56" s="22">
        <v>0.00375</v>
      </c>
      <c r="AC56" s="22">
        <v>0.00279</v>
      </c>
      <c r="AD56" s="22">
        <v>0.00606</v>
      </c>
      <c r="AE56" s="22">
        <v>0.00429</v>
      </c>
      <c r="AF56" s="22">
        <v>0.0074</v>
      </c>
      <c r="AG56" s="22">
        <v>0.00429</v>
      </c>
      <c r="AH56" s="22">
        <v>0.00991</v>
      </c>
      <c r="AI56" s="22">
        <v>0.00636</v>
      </c>
      <c r="AJ56" s="22">
        <v>0.00532</v>
      </c>
      <c r="AK56" s="22">
        <v>0.00375</v>
      </c>
      <c r="AL56" s="22">
        <v>0.00279</v>
      </c>
      <c r="AM56" s="22">
        <v>0.00606</v>
      </c>
      <c r="AN56" s="22">
        <v>0.00429</v>
      </c>
      <c r="AO56" s="22">
        <v>0.0074</v>
      </c>
      <c r="AP56" s="28">
        <v>0.00429</v>
      </c>
      <c r="AQ56" s="28">
        <f t="shared" si="8"/>
        <v>0.00357</v>
      </c>
      <c r="AR56" s="28">
        <v>0.00285</v>
      </c>
      <c r="AS56" s="28">
        <v>0.00279</v>
      </c>
      <c r="AT56" s="28">
        <v>0.001237</v>
      </c>
      <c r="AU56" s="28">
        <v>0.00363</v>
      </c>
      <c r="AV56" s="28">
        <v>0.00239</v>
      </c>
      <c r="AX56" s="30">
        <f t="shared" si="10"/>
        <v>47</v>
      </c>
    </row>
    <row r="57" s="1" customFormat="1" ht="13.8" spans="1:50">
      <c r="A57" s="12">
        <f t="shared" si="11"/>
        <v>62</v>
      </c>
      <c r="B57" s="21">
        <f>IF(A57&gt;=$C$1,0,VLOOKUP(A57,$X$9:$AV$120,$C$4+1))</f>
        <v>0</v>
      </c>
      <c r="C57" s="14">
        <f>$E$3*B57</f>
        <v>0</v>
      </c>
      <c r="D57" s="20"/>
      <c r="E57" s="14">
        <f>IF(A57=$C$1,1,0)</f>
        <v>0</v>
      </c>
      <c r="F57" s="16">
        <f t="shared" si="7"/>
        <v>0</v>
      </c>
      <c r="G57" s="16">
        <f>ROUND(IF($A57&gt;=$C$1,0,+$F57*(1-0.5*C57)*(1-0.5*D57)*(1-0.5*E57)*B57),12)</f>
        <v>0</v>
      </c>
      <c r="H57" s="16">
        <f>ROUND(IF($A57&gt;=$C$1,0,+$F57*(1-0.5*B57)*(1-0.5*D57)*(1-0.5*E57)*C57),12)</f>
        <v>0</v>
      </c>
      <c r="I57" s="16">
        <f>ROUND(IF($A57&gt;=$C$1,0,+$F57*(1-0.5*B57)*(1-0.5*C57)*(1-0.5*E57)*D57),12)</f>
        <v>0</v>
      </c>
      <c r="J57" s="16">
        <f>ROUND(IF($A57&gt;$C$1,0,+$F57*(1-0.5*B57)*(1-0.5*C57)*(1-0.5*D57)*E57),12)</f>
        <v>0</v>
      </c>
      <c r="K57" s="16">
        <f>IF(A57&gt;$C$1,0,+F57*$C$2^A57*$C$3^A57)</f>
        <v>0</v>
      </c>
      <c r="L57" s="16">
        <f>IF(A57=$C$1,+J57*$C$2^(A57)*$C$3^A57,+J57*$C$2^(A57+0.5)*$C$3^A57)</f>
        <v>0</v>
      </c>
      <c r="M57" s="16">
        <f>+G57*$C$2^(A57+0.5)*$C$3^A57</f>
        <v>0</v>
      </c>
      <c r="N57" s="16">
        <f>+H57*$C$2^(A57+0.5)*$C$3^A57</f>
        <v>0</v>
      </c>
      <c r="O57" s="16">
        <f>+I57*$C$2^(A57+0.5)*$C$3^A57</f>
        <v>0</v>
      </c>
      <c r="P57" s="16">
        <f>+SUM(M57:$M$60)</f>
        <v>0</v>
      </c>
      <c r="Q57" s="16">
        <f>+SUM(N57:$N$60)</f>
        <v>0</v>
      </c>
      <c r="R57" s="16">
        <f>+SUM(O57:$O$60)</f>
        <v>0</v>
      </c>
      <c r="S57" s="16">
        <f>+SUM(P57:$P$60)</f>
        <v>0</v>
      </c>
      <c r="T57" s="16">
        <f>+SUM(Q57:$Q$60)</f>
        <v>0</v>
      </c>
      <c r="U57" s="16">
        <f>+SUM(R57:$R$60)</f>
        <v>0</v>
      </c>
      <c r="V57" s="25">
        <f>IF(A57&gt;$C$1,0,IF($C$1=55,$F$50,IF($C$1=56,$F$51,IF($C$1=60,$F$55,IF($C$1=65,$F$60,0))))/F57)</f>
        <v>0</v>
      </c>
      <c r="W57" s="26"/>
      <c r="X57" s="9">
        <f t="shared" si="9"/>
        <v>48</v>
      </c>
      <c r="Y57" s="22">
        <v>0.01064</v>
      </c>
      <c r="Z57" s="22">
        <v>0.00695</v>
      </c>
      <c r="AA57" s="22">
        <v>0.00574</v>
      </c>
      <c r="AB57" s="22">
        <v>0.00423</v>
      </c>
      <c r="AC57" s="22">
        <v>0.003138</v>
      </c>
      <c r="AD57" s="22">
        <v>0.00668</v>
      </c>
      <c r="AE57" s="22">
        <v>0.00485</v>
      </c>
      <c r="AF57" s="22">
        <v>0.00798</v>
      </c>
      <c r="AG57" s="22">
        <v>0.00485</v>
      </c>
      <c r="AH57" s="22">
        <v>0.01064</v>
      </c>
      <c r="AI57" s="22">
        <v>0.00695</v>
      </c>
      <c r="AJ57" s="22">
        <v>0.00574</v>
      </c>
      <c r="AK57" s="22">
        <v>0.00423</v>
      </c>
      <c r="AL57" s="22">
        <v>0.003138</v>
      </c>
      <c r="AM57" s="22">
        <v>0.00668</v>
      </c>
      <c r="AN57" s="22">
        <v>0.00485</v>
      </c>
      <c r="AO57" s="22">
        <v>0.00798</v>
      </c>
      <c r="AP57" s="28">
        <v>0.00485</v>
      </c>
      <c r="AQ57" s="28">
        <f t="shared" si="8"/>
        <v>0.00399</v>
      </c>
      <c r="AR57" s="28">
        <v>0.00313</v>
      </c>
      <c r="AS57" s="28">
        <v>0.003138</v>
      </c>
      <c r="AT57" s="28">
        <v>0.001366</v>
      </c>
      <c r="AU57" s="28">
        <v>0.00414</v>
      </c>
      <c r="AV57" s="28">
        <v>0.00268</v>
      </c>
      <c r="AX57" s="30">
        <f t="shared" si="10"/>
        <v>48</v>
      </c>
    </row>
    <row r="58" s="1" customFormat="1" ht="13.8" spans="1:50">
      <c r="A58" s="12">
        <f t="shared" si="11"/>
        <v>63</v>
      </c>
      <c r="B58" s="21">
        <f>IF(A58&gt;=$C$1,0,VLOOKUP(A58,$X$9:$AV$120,$C$4+1))</f>
        <v>0</v>
      </c>
      <c r="C58" s="14">
        <f>$E$3*B58</f>
        <v>0</v>
      </c>
      <c r="D58" s="20"/>
      <c r="E58" s="14">
        <f>IF(A58=$C$1,1,0)</f>
        <v>0</v>
      </c>
      <c r="F58" s="16">
        <f t="shared" si="7"/>
        <v>0</v>
      </c>
      <c r="G58" s="16">
        <f>ROUND(IF($A58&gt;=$C$1,0,+$F58*(1-0.5*C58)*(1-0.5*D58)*(1-0.5*E58)*B58),12)</f>
        <v>0</v>
      </c>
      <c r="H58" s="16">
        <f>ROUND(IF($A58&gt;=$C$1,0,+$F58*(1-0.5*B58)*(1-0.5*D58)*(1-0.5*E58)*C58),12)</f>
        <v>0</v>
      </c>
      <c r="I58" s="16">
        <f>ROUND(IF($A58&gt;=$C$1,0,+$F58*(1-0.5*B58)*(1-0.5*C58)*(1-0.5*E58)*D58),12)</f>
        <v>0</v>
      </c>
      <c r="J58" s="16">
        <f>ROUND(IF($A58&gt;$C$1,0,+$F58*(1-0.5*B58)*(1-0.5*C58)*(1-0.5*D58)*E58),12)</f>
        <v>0</v>
      </c>
      <c r="K58" s="16">
        <f>IF(A58&gt;$C$1,0,+F58*$C$2^A58*$C$3^A58)</f>
        <v>0</v>
      </c>
      <c r="L58" s="16">
        <f>IF(A58=$C$1,+J58*$C$2^(A58)*$C$3^A58,+J58*$C$2^(A58+0.5)*$C$3^A58)</f>
        <v>0</v>
      </c>
      <c r="M58" s="16">
        <f>+G58*$C$2^(A58+0.5)*$C$3^A58</f>
        <v>0</v>
      </c>
      <c r="N58" s="16">
        <f>+H58*$C$2^(A58+0.5)*$C$3^A58</f>
        <v>0</v>
      </c>
      <c r="O58" s="16">
        <f>+I58*$C$2^(A58+0.5)*$C$3^A58</f>
        <v>0</v>
      </c>
      <c r="P58" s="16">
        <f>+SUM(M58:$M$60)</f>
        <v>0</v>
      </c>
      <c r="Q58" s="16">
        <f>+SUM(N58:$N$60)</f>
        <v>0</v>
      </c>
      <c r="R58" s="16">
        <f>+SUM(O58:$O$60)</f>
        <v>0</v>
      </c>
      <c r="S58" s="16">
        <f>+SUM(P58:$P$60)</f>
        <v>0</v>
      </c>
      <c r="T58" s="16">
        <f>+SUM(Q58:$Q$60)</f>
        <v>0</v>
      </c>
      <c r="U58" s="16">
        <f>+SUM(R58:$R$60)</f>
        <v>0</v>
      </c>
      <c r="V58" s="25">
        <f>IF(A58&gt;$C$1,0,IF($C$1=55,$F$50,IF($C$1=56,$F$51,IF($C$1=60,$F$55,IF($C$1=65,$F$60,0))))/F58)</f>
        <v>0</v>
      </c>
      <c r="W58" s="26"/>
      <c r="X58" s="9">
        <f t="shared" si="9"/>
        <v>49</v>
      </c>
      <c r="Y58" s="22">
        <v>0.01145</v>
      </c>
      <c r="Z58" s="22">
        <v>0.0076</v>
      </c>
      <c r="AA58" s="22">
        <v>0.00621</v>
      </c>
      <c r="AB58" s="22">
        <v>0.00474</v>
      </c>
      <c r="AC58" s="22">
        <v>0.003513</v>
      </c>
      <c r="AD58" s="22">
        <v>0.00746</v>
      </c>
      <c r="AE58" s="22">
        <v>0.00546</v>
      </c>
      <c r="AF58" s="22">
        <v>0.00851</v>
      </c>
      <c r="AG58" s="22">
        <v>0.00546</v>
      </c>
      <c r="AH58" s="22">
        <v>0.01145</v>
      </c>
      <c r="AI58" s="22">
        <v>0.0076</v>
      </c>
      <c r="AJ58" s="22">
        <v>0.00621</v>
      </c>
      <c r="AK58" s="22">
        <v>0.00474</v>
      </c>
      <c r="AL58" s="22">
        <v>0.003513</v>
      </c>
      <c r="AM58" s="22">
        <v>0.00746</v>
      </c>
      <c r="AN58" s="22">
        <v>0.00546</v>
      </c>
      <c r="AO58" s="22">
        <v>0.00851</v>
      </c>
      <c r="AP58" s="28">
        <v>0.00546</v>
      </c>
      <c r="AQ58" s="28">
        <f t="shared" si="8"/>
        <v>0.00445</v>
      </c>
      <c r="AR58" s="28">
        <v>0.00344</v>
      </c>
      <c r="AS58" s="28">
        <v>0.003513</v>
      </c>
      <c r="AT58" s="28">
        <v>0.001505</v>
      </c>
      <c r="AU58" s="28">
        <v>0.00471</v>
      </c>
      <c r="AV58" s="28">
        <v>0.00299</v>
      </c>
      <c r="AX58" s="30">
        <f t="shared" si="10"/>
        <v>49</v>
      </c>
    </row>
    <row r="59" s="1" customFormat="1" ht="13.8" spans="1:50">
      <c r="A59" s="12">
        <f t="shared" si="11"/>
        <v>64</v>
      </c>
      <c r="B59" s="21">
        <f>IF(A59&gt;=$C$1,0,VLOOKUP(A59,$X$9:$AV$120,$C$4+1))</f>
        <v>0</v>
      </c>
      <c r="C59" s="14">
        <f>$E$3*B59</f>
        <v>0</v>
      </c>
      <c r="D59" s="20"/>
      <c r="E59" s="14">
        <f>IF(A59=$C$1,1,0)</f>
        <v>0</v>
      </c>
      <c r="F59" s="16">
        <f t="shared" si="7"/>
        <v>0</v>
      </c>
      <c r="G59" s="16">
        <f>ROUND(IF($A59&gt;=$C$1,0,+$F59*(1-0.5*C59)*(1-0.5*D59)*(1-0.5*E59)*B59),12)</f>
        <v>0</v>
      </c>
      <c r="H59" s="16">
        <f>ROUND(IF($A59&gt;=$C$1,0,+$F59*(1-0.5*B59)*(1-0.5*D59)*(1-0.5*E59)*C59),12)</f>
        <v>0</v>
      </c>
      <c r="I59" s="16">
        <f>ROUND(IF($A59&gt;=$C$1,0,+$F59*(1-0.5*B59)*(1-0.5*C59)*(1-0.5*E59)*D59),12)</f>
        <v>0</v>
      </c>
      <c r="J59" s="16">
        <f>ROUND(IF($A59&gt;$C$1,0,+$F59*(1-0.5*B59)*(1-0.5*C59)*(1-0.5*D59)*E59),12)</f>
        <v>0</v>
      </c>
      <c r="K59" s="16">
        <f>IF(A59&gt;$C$1,0,+F59*$C$2^A59*$C$3^A59)</f>
        <v>0</v>
      </c>
      <c r="L59" s="16">
        <f>IF(A59=$C$1,+J59*$C$2^(A59)*$C$3^A59,+J59*$C$2^(A59+0.5)*$C$3^A59)</f>
        <v>0</v>
      </c>
      <c r="M59" s="16">
        <f>+G59*$C$2^(A59+0.5)*$C$3^A59</f>
        <v>0</v>
      </c>
      <c r="N59" s="16">
        <f>+H59*$C$2^(A59+0.5)*$C$3^A59</f>
        <v>0</v>
      </c>
      <c r="O59" s="16">
        <f>+I59*$C$2^(A59+0.5)*$C$3^A59</f>
        <v>0</v>
      </c>
      <c r="P59" s="16">
        <f>+SUM(M59:$M$60)</f>
        <v>0</v>
      </c>
      <c r="Q59" s="16">
        <f>+SUM(N59:$N$60)</f>
        <v>0</v>
      </c>
      <c r="R59" s="16">
        <f>+SUM(O59:$O$60)</f>
        <v>0</v>
      </c>
      <c r="S59" s="16">
        <f>+SUM(P59:$P$60)</f>
        <v>0</v>
      </c>
      <c r="T59" s="16">
        <f>+SUM(Q59:$Q$60)</f>
        <v>0</v>
      </c>
      <c r="U59" s="16">
        <f>+SUM(R59:$R$60)</f>
        <v>0</v>
      </c>
      <c r="V59" s="25">
        <f>IF(A59&gt;$C$1,0,IF($C$1=55,$F$50,IF($C$1=56,$F$51,IF($C$1=60,$F$55,IF($C$1=65,$F$60,0))))/F59)</f>
        <v>0</v>
      </c>
      <c r="W59" s="26"/>
      <c r="X59" s="9">
        <f t="shared" si="9"/>
        <v>50</v>
      </c>
      <c r="Y59" s="22">
        <v>0.01232</v>
      </c>
      <c r="Z59" s="22">
        <v>0.00832</v>
      </c>
      <c r="AA59" s="22">
        <v>0.00671</v>
      </c>
      <c r="AB59" s="22">
        <v>0.00528</v>
      </c>
      <c r="AC59" s="22">
        <v>0.003909</v>
      </c>
      <c r="AD59" s="22">
        <v>0.00842</v>
      </c>
      <c r="AE59" s="22">
        <v>0.00609</v>
      </c>
      <c r="AF59" s="22">
        <v>0.00928</v>
      </c>
      <c r="AG59" s="22">
        <v>0.00609</v>
      </c>
      <c r="AH59" s="22">
        <v>0.01232</v>
      </c>
      <c r="AI59" s="22">
        <v>0.00832</v>
      </c>
      <c r="AJ59" s="22">
        <v>0.00671</v>
      </c>
      <c r="AK59" s="22">
        <v>0.00528</v>
      </c>
      <c r="AL59" s="22">
        <v>0.003909</v>
      </c>
      <c r="AM59" s="22">
        <v>0.00842</v>
      </c>
      <c r="AN59" s="22">
        <v>0.00609</v>
      </c>
      <c r="AO59" s="22">
        <v>0.00928</v>
      </c>
      <c r="AP59" s="28">
        <v>0.00609</v>
      </c>
      <c r="AQ59" s="28">
        <f t="shared" si="8"/>
        <v>0.00494</v>
      </c>
      <c r="AR59" s="28">
        <v>0.00379</v>
      </c>
      <c r="AS59" s="28">
        <v>0.003909</v>
      </c>
      <c r="AT59" s="28">
        <v>0.001647</v>
      </c>
      <c r="AU59" s="28">
        <v>0.00538</v>
      </c>
      <c r="AV59" s="28">
        <v>0.00334</v>
      </c>
      <c r="AX59" s="30">
        <f t="shared" si="10"/>
        <v>50</v>
      </c>
    </row>
    <row r="60" s="1" customFormat="1" ht="13.8" spans="1:50">
      <c r="A60" s="12">
        <f t="shared" si="11"/>
        <v>65</v>
      </c>
      <c r="B60" s="21">
        <f>IF(A60&gt;=$C$1,0,VLOOKUP(A60,$X$9:$AV$120,$C$4+1))</f>
        <v>0</v>
      </c>
      <c r="C60" s="14">
        <f>$E$3*B60</f>
        <v>0</v>
      </c>
      <c r="D60" s="20"/>
      <c r="E60" s="14">
        <f>IF(A60=$C$1,1,0)</f>
        <v>0</v>
      </c>
      <c r="F60" s="16">
        <f t="shared" si="7"/>
        <v>0</v>
      </c>
      <c r="G60" s="16">
        <f>ROUND(IF($A60&gt;=$C$1,0,+$F60*(1-0.5*C60)*(1-0.5*D60)*(1-0.5*E60)*B60),12)</f>
        <v>0</v>
      </c>
      <c r="H60" s="16">
        <f>ROUND(IF($A60&gt;=$C$1,0,+$F60*(1-0.5*B60)*(1-0.5*D60)*(1-0.5*E60)*C60),12)</f>
        <v>0</v>
      </c>
      <c r="I60" s="16">
        <f>ROUND(IF($A60&gt;=$C$1,0,+$F60*(1-0.5*B60)*(1-0.5*C60)*(1-0.5*E60)*D60),12)</f>
        <v>0</v>
      </c>
      <c r="J60" s="16">
        <f>ROUND(IF($A60&gt;$C$1,0,+$F60*(1-0.5*B60)*(1-0.5*C60)*(1-0.5*D60)*E60),12)</f>
        <v>0</v>
      </c>
      <c r="K60" s="16">
        <f>IF(A60&gt;$C$1,0,+F60*$C$2^A60*$C$3^A60)</f>
        <v>0</v>
      </c>
      <c r="L60" s="16">
        <f>IF(A60=$C$1,+J60*$C$2^(A60)*$C$3^A60,+J60*$C$2^(A60+0.5)*$C$3^A60)</f>
        <v>0</v>
      </c>
      <c r="M60" s="16">
        <f>+G60*$C$2^(A60+0.5)*$C$3^A60</f>
        <v>0</v>
      </c>
      <c r="N60" s="16">
        <f>+H60*$C$2^(A60+0.5)*$C$3^A60</f>
        <v>0</v>
      </c>
      <c r="O60" s="16">
        <f>+I60*$C$2^(A60+0.5)*$C$3^A60</f>
        <v>0</v>
      </c>
      <c r="P60" s="16">
        <f>+SUM(M60:$M$60)</f>
        <v>0</v>
      </c>
      <c r="Q60" s="16">
        <f>+SUM(N60:$N$60)</f>
        <v>0</v>
      </c>
      <c r="R60" s="16">
        <f>+SUM(O60:$O$60)</f>
        <v>0</v>
      </c>
      <c r="S60" s="16">
        <f>+SUM(P60:$P$60)</f>
        <v>0</v>
      </c>
      <c r="T60" s="16">
        <f>+SUM(Q60:$Q$60)</f>
        <v>0</v>
      </c>
      <c r="U60" s="16">
        <f>+SUM(R60:$R$60)</f>
        <v>0</v>
      </c>
      <c r="V60" s="25">
        <f>IF(A60&gt;$C$1,0,IF($C$1=55,$F$50,IF($C$1=56,$F$51,IF($C$1=60,$F$55,IF($C$1=65,$F$60,0))))/F60)</f>
        <v>0</v>
      </c>
      <c r="W60" s="26"/>
      <c r="X60" s="9">
        <f t="shared" si="9"/>
        <v>51</v>
      </c>
      <c r="Y60" s="22">
        <v>0.01327</v>
      </c>
      <c r="Z60" s="22">
        <v>0.00911</v>
      </c>
      <c r="AA60" s="22">
        <v>0.0073</v>
      </c>
      <c r="AB60" s="22">
        <v>0.00587</v>
      </c>
      <c r="AC60" s="22">
        <v>0.004324</v>
      </c>
      <c r="AD60" s="22">
        <v>0.00955</v>
      </c>
      <c r="AE60" s="22">
        <v>0.00672</v>
      </c>
      <c r="AF60" s="22">
        <v>0.01002</v>
      </c>
      <c r="AG60" s="22">
        <v>0.00672</v>
      </c>
      <c r="AH60" s="22">
        <v>0.01327</v>
      </c>
      <c r="AI60" s="22">
        <v>0.00911</v>
      </c>
      <c r="AJ60" s="22">
        <v>0.0073</v>
      </c>
      <c r="AK60" s="22">
        <v>0.00587</v>
      </c>
      <c r="AL60" s="22">
        <v>0.004324</v>
      </c>
      <c r="AM60" s="22">
        <v>0.00955</v>
      </c>
      <c r="AN60" s="22">
        <v>0.00672</v>
      </c>
      <c r="AO60" s="22">
        <v>0.01002</v>
      </c>
      <c r="AP60" s="28">
        <v>0.00672</v>
      </c>
      <c r="AQ60" s="28">
        <f t="shared" si="8"/>
        <v>0.00547</v>
      </c>
      <c r="AR60" s="28">
        <v>0.00422</v>
      </c>
      <c r="AS60" s="28">
        <v>0.004324</v>
      </c>
      <c r="AT60" s="28">
        <v>0.001793</v>
      </c>
      <c r="AU60" s="28">
        <v>0.00615</v>
      </c>
      <c r="AV60" s="28">
        <v>0.00374</v>
      </c>
      <c r="AX60" s="30">
        <f t="shared" si="10"/>
        <v>51</v>
      </c>
    </row>
    <row r="61" s="1" customFormat="1" ht="13.8" spans="3:50">
      <c r="C61" s="22"/>
      <c r="D61" s="22"/>
      <c r="E61" s="22"/>
      <c r="F61" s="22"/>
      <c r="G61" s="22"/>
      <c r="X61" s="9">
        <f t="shared" si="9"/>
        <v>52</v>
      </c>
      <c r="Y61" s="22">
        <v>0.0143</v>
      </c>
      <c r="Z61" s="22">
        <v>0.00996</v>
      </c>
      <c r="AA61" s="22">
        <v>0.00796</v>
      </c>
      <c r="AB61" s="22">
        <v>0.00648</v>
      </c>
      <c r="AC61" s="22">
        <v>0.004755</v>
      </c>
      <c r="AD61" s="22">
        <v>0.01078</v>
      </c>
      <c r="AE61" s="22">
        <v>0.0073</v>
      </c>
      <c r="AF61" s="22">
        <v>0.01081</v>
      </c>
      <c r="AG61" s="22">
        <v>0.0073</v>
      </c>
      <c r="AH61" s="22">
        <v>0.0143</v>
      </c>
      <c r="AI61" s="22">
        <v>0.00996</v>
      </c>
      <c r="AJ61" s="22">
        <v>0.00796</v>
      </c>
      <c r="AK61" s="22">
        <v>0.00648</v>
      </c>
      <c r="AL61" s="22">
        <v>0.004755</v>
      </c>
      <c r="AM61" s="22">
        <v>0.01078</v>
      </c>
      <c r="AN61" s="22">
        <v>0.0073</v>
      </c>
      <c r="AO61" s="22">
        <v>0.01081</v>
      </c>
      <c r="AP61" s="28">
        <v>0.0073</v>
      </c>
      <c r="AQ61" s="28">
        <f t="shared" si="8"/>
        <v>0.00601</v>
      </c>
      <c r="AR61" s="28">
        <v>0.00472</v>
      </c>
      <c r="AS61" s="28">
        <v>0.004755</v>
      </c>
      <c r="AT61" s="28">
        <v>0.001949</v>
      </c>
      <c r="AU61" s="28">
        <v>0.00699</v>
      </c>
      <c r="AV61" s="28">
        <v>0.00422</v>
      </c>
      <c r="AX61" s="30">
        <f t="shared" si="10"/>
        <v>52</v>
      </c>
    </row>
    <row r="62" s="1" customFormat="1" ht="13.8" spans="3:50">
      <c r="C62" s="22"/>
      <c r="D62" s="22"/>
      <c r="E62" s="22"/>
      <c r="F62" s="22"/>
      <c r="G62" s="22"/>
      <c r="X62" s="9">
        <f t="shared" si="9"/>
        <v>53</v>
      </c>
      <c r="Y62" s="22">
        <v>0.01543</v>
      </c>
      <c r="Z62" s="22">
        <v>0.01089</v>
      </c>
      <c r="AA62" s="22">
        <v>0.00871</v>
      </c>
      <c r="AB62" s="22">
        <v>0.00713</v>
      </c>
      <c r="AC62" s="22">
        <v>0.0052</v>
      </c>
      <c r="AD62" s="22">
        <v>0.01198</v>
      </c>
      <c r="AE62" s="22">
        <v>0.00784</v>
      </c>
      <c r="AF62" s="22">
        <v>0.01165</v>
      </c>
      <c r="AG62" s="22">
        <v>0.00784</v>
      </c>
      <c r="AH62" s="22">
        <v>0.01543</v>
      </c>
      <c r="AI62" s="22">
        <v>0.01089</v>
      </c>
      <c r="AJ62" s="22">
        <v>0.00871</v>
      </c>
      <c r="AK62" s="22">
        <v>0.00713</v>
      </c>
      <c r="AL62" s="22">
        <v>0.0052</v>
      </c>
      <c r="AM62" s="22">
        <v>0.01198</v>
      </c>
      <c r="AN62" s="22">
        <v>0.00784</v>
      </c>
      <c r="AO62" s="22">
        <v>0.01165</v>
      </c>
      <c r="AP62" s="28">
        <v>0.00784</v>
      </c>
      <c r="AQ62" s="28">
        <f t="shared" si="8"/>
        <v>0.006545</v>
      </c>
      <c r="AR62" s="28">
        <v>0.00525</v>
      </c>
      <c r="AS62" s="28">
        <v>0.0052</v>
      </c>
      <c r="AT62" s="28">
        <v>0.00212</v>
      </c>
      <c r="AU62" s="28">
        <v>0.00784</v>
      </c>
      <c r="AV62" s="28">
        <v>0.00479</v>
      </c>
      <c r="AX62" s="30">
        <f t="shared" si="10"/>
        <v>53</v>
      </c>
    </row>
    <row r="63" s="1" customFormat="1" ht="13.8" spans="3:50">
      <c r="C63" s="22"/>
      <c r="D63" s="22"/>
      <c r="E63" s="22"/>
      <c r="F63" s="22"/>
      <c r="G63" s="22"/>
      <c r="X63" s="9">
        <f t="shared" si="9"/>
        <v>54</v>
      </c>
      <c r="Y63" s="22">
        <v>0.01665</v>
      </c>
      <c r="Z63" s="22">
        <v>0.0119</v>
      </c>
      <c r="AA63" s="22">
        <v>0.00956</v>
      </c>
      <c r="AB63" s="22">
        <v>0.00781</v>
      </c>
      <c r="AC63" s="22">
        <v>0.00566</v>
      </c>
      <c r="AD63" s="22">
        <v>0.01328</v>
      </c>
      <c r="AE63" s="22">
        <v>0.00841</v>
      </c>
      <c r="AF63" s="22">
        <v>0.01257</v>
      </c>
      <c r="AG63" s="22">
        <v>0.00841</v>
      </c>
      <c r="AH63" s="22">
        <v>0.01665</v>
      </c>
      <c r="AI63" s="22">
        <v>0.0119</v>
      </c>
      <c r="AJ63" s="22">
        <v>0.00956</v>
      </c>
      <c r="AK63" s="22">
        <v>0.00781</v>
      </c>
      <c r="AL63" s="22">
        <v>0.00566</v>
      </c>
      <c r="AM63" s="22">
        <v>0.01328</v>
      </c>
      <c r="AN63" s="22">
        <v>0.00841</v>
      </c>
      <c r="AO63" s="22">
        <v>0.01257</v>
      </c>
      <c r="AP63" s="28">
        <v>0.00841</v>
      </c>
      <c r="AQ63" s="28">
        <f t="shared" si="8"/>
        <v>0.00709</v>
      </c>
      <c r="AR63" s="28">
        <v>0.00577</v>
      </c>
      <c r="AS63" s="28">
        <v>0.00566</v>
      </c>
      <c r="AT63" s="28">
        <v>0.002315</v>
      </c>
      <c r="AU63" s="28">
        <v>0.00872</v>
      </c>
      <c r="AV63" s="28">
        <v>0.00542</v>
      </c>
      <c r="AX63" s="30">
        <f t="shared" si="10"/>
        <v>54</v>
      </c>
    </row>
    <row r="64" s="1" customFormat="1" ht="13.8" spans="3:50">
      <c r="C64" s="22"/>
      <c r="D64" s="22"/>
      <c r="E64" s="22"/>
      <c r="F64" s="22"/>
      <c r="G64" s="22"/>
      <c r="X64" s="9">
        <f t="shared" si="9"/>
        <v>55</v>
      </c>
      <c r="Y64" s="22">
        <v>0.01798</v>
      </c>
      <c r="Z64" s="22">
        <v>0.013</v>
      </c>
      <c r="AA64" s="22">
        <v>0.01047</v>
      </c>
      <c r="AB64" s="22">
        <v>0.00852</v>
      </c>
      <c r="AC64" s="22">
        <v>0.006131</v>
      </c>
      <c r="AD64" s="22">
        <v>0.01468</v>
      </c>
      <c r="AE64" s="22">
        <v>0.00908</v>
      </c>
      <c r="AF64" s="22">
        <v>0.01356</v>
      </c>
      <c r="AG64" s="22">
        <v>0.00908</v>
      </c>
      <c r="AH64" s="22">
        <v>0.01798</v>
      </c>
      <c r="AI64" s="22">
        <v>0.013</v>
      </c>
      <c r="AJ64" s="22">
        <v>0.01047</v>
      </c>
      <c r="AK64" s="22">
        <v>0.00852</v>
      </c>
      <c r="AL64" s="22">
        <v>0.006131</v>
      </c>
      <c r="AM64" s="22">
        <v>0.01468</v>
      </c>
      <c r="AN64" s="22">
        <v>0.00908</v>
      </c>
      <c r="AO64" s="22">
        <v>0.01356</v>
      </c>
      <c r="AP64" s="28">
        <v>0.00908</v>
      </c>
      <c r="AQ64" s="28">
        <f t="shared" si="8"/>
        <v>0.00767</v>
      </c>
      <c r="AR64" s="28">
        <v>0.00626</v>
      </c>
      <c r="AS64" s="28">
        <v>0.006131</v>
      </c>
      <c r="AT64" s="28">
        <v>0.002541</v>
      </c>
      <c r="AU64" s="28">
        <v>0.00961</v>
      </c>
      <c r="AV64" s="28">
        <v>0.00607</v>
      </c>
      <c r="AX64" s="30">
        <f t="shared" si="10"/>
        <v>55</v>
      </c>
    </row>
    <row r="65" s="1" customFormat="1" ht="13.8" spans="3:50">
      <c r="C65" s="22"/>
      <c r="D65" s="22"/>
      <c r="E65" s="22"/>
      <c r="F65" s="22"/>
      <c r="G65" s="22"/>
      <c r="X65" s="9">
        <f t="shared" si="9"/>
        <v>56</v>
      </c>
      <c r="Y65" s="22">
        <v>0.01943</v>
      </c>
      <c r="Z65" s="22">
        <v>0.01421</v>
      </c>
      <c r="AA65" s="22">
        <v>0.01146</v>
      </c>
      <c r="AB65" s="22">
        <v>0.00926</v>
      </c>
      <c r="AC65" s="22">
        <v>0.006618</v>
      </c>
      <c r="AD65" s="22">
        <v>0.01619</v>
      </c>
      <c r="AE65" s="22">
        <v>0.00993</v>
      </c>
      <c r="AF65" s="22">
        <v>0.01481</v>
      </c>
      <c r="AG65" s="22">
        <v>0.00993</v>
      </c>
      <c r="AH65" s="22">
        <v>0.01943</v>
      </c>
      <c r="AI65" s="22">
        <v>0.01421</v>
      </c>
      <c r="AJ65" s="22">
        <v>0.01146</v>
      </c>
      <c r="AK65" s="22">
        <v>0.00926</v>
      </c>
      <c r="AL65" s="22">
        <v>0.006618</v>
      </c>
      <c r="AM65" s="22">
        <v>0.01619</v>
      </c>
      <c r="AN65" s="22">
        <v>0.00993</v>
      </c>
      <c r="AO65" s="22">
        <v>0.01481</v>
      </c>
      <c r="AP65" s="28">
        <v>0.00993</v>
      </c>
      <c r="AQ65" s="28">
        <f t="shared" si="8"/>
        <v>0.008335</v>
      </c>
      <c r="AR65" s="28">
        <v>0.00674</v>
      </c>
      <c r="AS65" s="28">
        <v>0.006618</v>
      </c>
      <c r="AT65" s="28">
        <v>0.002803</v>
      </c>
      <c r="AU65" s="28">
        <v>0.01051</v>
      </c>
      <c r="AV65" s="28">
        <v>0.00669</v>
      </c>
      <c r="AX65" s="30">
        <f t="shared" si="10"/>
        <v>56</v>
      </c>
    </row>
    <row r="66" s="1" customFormat="1" ht="13.8" spans="3:50">
      <c r="C66" s="22"/>
      <c r="D66" s="22"/>
      <c r="E66" s="22"/>
      <c r="F66" s="22"/>
      <c r="G66" s="22"/>
      <c r="X66" s="9">
        <f t="shared" si="9"/>
        <v>57</v>
      </c>
      <c r="Y66" s="22">
        <v>0.021453</v>
      </c>
      <c r="Z66" s="22">
        <v>0.015926</v>
      </c>
      <c r="AA66" s="22">
        <v>0.012781</v>
      </c>
      <c r="AB66" s="22">
        <v>0.01054</v>
      </c>
      <c r="AC66" s="22">
        <v>0.00748</v>
      </c>
      <c r="AD66" s="22">
        <v>0.018335</v>
      </c>
      <c r="AE66" s="22">
        <v>0.011417</v>
      </c>
      <c r="AF66" s="22">
        <v>0.016447</v>
      </c>
      <c r="AG66" s="22">
        <v>0.011417</v>
      </c>
      <c r="AH66" s="22">
        <v>0.021</v>
      </c>
      <c r="AI66" s="22">
        <v>0.01554</v>
      </c>
      <c r="AJ66" s="22">
        <v>0.01249</v>
      </c>
      <c r="AK66" s="22">
        <v>0.01004</v>
      </c>
      <c r="AL66" s="22">
        <v>0.007139</v>
      </c>
      <c r="AM66" s="22">
        <v>0.01782</v>
      </c>
      <c r="AN66" s="22">
        <v>0.011</v>
      </c>
      <c r="AO66" s="22">
        <v>0.01576</v>
      </c>
      <c r="AP66" s="28">
        <v>0.011</v>
      </c>
      <c r="AQ66" s="28">
        <f t="shared" si="8"/>
        <v>0.009125</v>
      </c>
      <c r="AR66" s="28">
        <v>0.00725</v>
      </c>
      <c r="AS66" s="28">
        <v>0.007139</v>
      </c>
      <c r="AT66" s="28">
        <v>0.003103</v>
      </c>
      <c r="AU66" s="28">
        <v>0.01142</v>
      </c>
      <c r="AV66" s="28">
        <v>0.00725</v>
      </c>
      <c r="AX66" s="30">
        <f t="shared" si="10"/>
        <v>57</v>
      </c>
    </row>
    <row r="67" s="1" customFormat="1" ht="13.8" spans="3:50">
      <c r="C67" s="22"/>
      <c r="D67" s="22"/>
      <c r="E67" s="22"/>
      <c r="F67" s="22"/>
      <c r="G67" s="22"/>
      <c r="X67" s="9">
        <f t="shared" si="9"/>
        <v>58</v>
      </c>
      <c r="Y67" s="22">
        <v>0.023695</v>
      </c>
      <c r="Z67" s="22">
        <v>0.017842</v>
      </c>
      <c r="AA67" s="22">
        <v>0.014215</v>
      </c>
      <c r="AB67" s="22">
        <v>0.012132</v>
      </c>
      <c r="AC67" s="22">
        <v>0.008521</v>
      </c>
      <c r="AD67" s="22">
        <v>0.020682</v>
      </c>
      <c r="AE67" s="22">
        <v>0.013196</v>
      </c>
      <c r="AF67" s="22">
        <v>0.018488</v>
      </c>
      <c r="AG67" s="22">
        <v>0.013196</v>
      </c>
      <c r="AH67" s="22">
        <v>0.02271</v>
      </c>
      <c r="AI67" s="22">
        <v>0.017</v>
      </c>
      <c r="AJ67" s="22">
        <v>0.01359</v>
      </c>
      <c r="AK67" s="22">
        <v>0.01089</v>
      </c>
      <c r="AL67" s="22">
        <v>0.007719</v>
      </c>
      <c r="AM67" s="22">
        <v>0.01957</v>
      </c>
      <c r="AN67" s="22">
        <v>0.01229</v>
      </c>
      <c r="AO67" s="22">
        <v>0.01699</v>
      </c>
      <c r="AP67" s="28">
        <v>0.01229</v>
      </c>
      <c r="AQ67" s="28">
        <f t="shared" si="8"/>
        <v>0.010075</v>
      </c>
      <c r="AR67" s="28">
        <v>0.00786</v>
      </c>
      <c r="AS67" s="28">
        <v>0.007719</v>
      </c>
      <c r="AT67" s="28">
        <v>0.003443</v>
      </c>
      <c r="AU67" s="28">
        <v>0.01232</v>
      </c>
      <c r="AV67" s="28">
        <v>0.00776</v>
      </c>
      <c r="AX67" s="30">
        <f t="shared" si="10"/>
        <v>58</v>
      </c>
    </row>
    <row r="68" s="1" customFormat="1" ht="13.8" spans="3:50">
      <c r="C68" s="22"/>
      <c r="D68" s="22"/>
      <c r="E68" s="22"/>
      <c r="F68" s="22"/>
      <c r="G68" s="22"/>
      <c r="X68" s="9">
        <f t="shared" si="9"/>
        <v>59</v>
      </c>
      <c r="Y68" s="22">
        <v>0.026174</v>
      </c>
      <c r="Z68" s="22">
        <v>0.01998</v>
      </c>
      <c r="AA68" s="22">
        <v>0.01581</v>
      </c>
      <c r="AB68" s="22">
        <v>0.014129</v>
      </c>
      <c r="AC68" s="22">
        <v>0.009851</v>
      </c>
      <c r="AD68" s="22">
        <v>0.02326</v>
      </c>
      <c r="AE68" s="22">
        <v>0.016466</v>
      </c>
      <c r="AF68" s="22">
        <v>0.020799</v>
      </c>
      <c r="AG68" s="22">
        <v>0.016466</v>
      </c>
      <c r="AH68" s="22">
        <v>0.02457</v>
      </c>
      <c r="AI68" s="22">
        <v>0.01859</v>
      </c>
      <c r="AJ68" s="22">
        <v>0.01477</v>
      </c>
      <c r="AK68" s="22">
        <v>0.01192</v>
      </c>
      <c r="AL68" s="22">
        <v>0.008384</v>
      </c>
      <c r="AM68" s="22">
        <v>0.02146</v>
      </c>
      <c r="AN68" s="22">
        <v>0.01369</v>
      </c>
      <c r="AO68" s="22">
        <v>0.01832</v>
      </c>
      <c r="AP68" s="28">
        <v>0.01369</v>
      </c>
      <c r="AQ68" s="28">
        <f t="shared" si="8"/>
        <v>0.011165</v>
      </c>
      <c r="AR68" s="28">
        <v>0.00864</v>
      </c>
      <c r="AS68" s="28">
        <v>0.008384</v>
      </c>
      <c r="AT68" s="28">
        <v>0.003821</v>
      </c>
      <c r="AU68" s="28">
        <v>0.01322</v>
      </c>
      <c r="AV68" s="28">
        <v>0.00826</v>
      </c>
      <c r="AX68" s="30">
        <f t="shared" si="10"/>
        <v>59</v>
      </c>
    </row>
    <row r="69" s="1" customFormat="1" ht="13.8" spans="3:50">
      <c r="C69" s="22"/>
      <c r="D69" s="22"/>
      <c r="E69" s="22"/>
      <c r="F69" s="22"/>
      <c r="G69" s="22"/>
      <c r="X69" s="9">
        <f t="shared" si="9"/>
        <v>60</v>
      </c>
      <c r="Y69" s="22">
        <v>0.028921</v>
      </c>
      <c r="Z69" s="22">
        <v>0.022362</v>
      </c>
      <c r="AA69" s="22">
        <v>0.017637</v>
      </c>
      <c r="AB69" s="22">
        <v>0.016407</v>
      </c>
      <c r="AC69" s="22">
        <v>0.011577</v>
      </c>
      <c r="AD69" s="22">
        <v>0.026118</v>
      </c>
      <c r="AE69" s="22">
        <v>0.017032</v>
      </c>
      <c r="AF69" s="22">
        <v>0.023305</v>
      </c>
      <c r="AG69" s="22">
        <v>0.017032</v>
      </c>
      <c r="AH69" s="22">
        <v>0.02659</v>
      </c>
      <c r="AI69" s="22">
        <v>0.02034</v>
      </c>
      <c r="AJ69" s="22">
        <v>0.01608</v>
      </c>
      <c r="AK69" s="22">
        <v>0.01312</v>
      </c>
      <c r="AL69" s="22">
        <v>0.009158</v>
      </c>
      <c r="AM69" s="22">
        <v>0.0235</v>
      </c>
      <c r="AN69" s="22">
        <v>0.01505</v>
      </c>
      <c r="AO69" s="22">
        <v>0.01975</v>
      </c>
      <c r="AP69" s="28">
        <v>0.01505</v>
      </c>
      <c r="AQ69" s="28">
        <f t="shared" si="8"/>
        <v>0.012345</v>
      </c>
      <c r="AR69" s="28">
        <v>0.00964</v>
      </c>
      <c r="AS69" s="28">
        <v>0.009158</v>
      </c>
      <c r="AT69" s="28">
        <v>0.004241</v>
      </c>
      <c r="AU69" s="28">
        <v>0.01417</v>
      </c>
      <c r="AV69" s="28">
        <v>0.00877</v>
      </c>
      <c r="AX69" s="30">
        <f t="shared" si="10"/>
        <v>60</v>
      </c>
    </row>
    <row r="70" s="1" customFormat="1" ht="13.8" spans="3:50">
      <c r="C70" s="22"/>
      <c r="D70" s="22"/>
      <c r="E70" s="22"/>
      <c r="F70" s="22"/>
      <c r="G70" s="22"/>
      <c r="X70" s="9">
        <f t="shared" si="9"/>
        <v>61</v>
      </c>
      <c r="Y70" s="22">
        <v>0.032015</v>
      </c>
      <c r="Z70" s="22">
        <v>0.025041</v>
      </c>
      <c r="AA70" s="22">
        <v>0.019795</v>
      </c>
      <c r="AB70" s="22">
        <v>0.019085</v>
      </c>
      <c r="AC70" s="22">
        <v>0.013781</v>
      </c>
      <c r="AD70" s="22">
        <v>0.029265</v>
      </c>
      <c r="AE70" s="22">
        <v>0.019302</v>
      </c>
      <c r="AF70" s="22">
        <v>0.026441</v>
      </c>
      <c r="AG70" s="22">
        <v>0.019302</v>
      </c>
      <c r="AH70" s="22">
        <v>0.02878</v>
      </c>
      <c r="AI70" s="22">
        <v>0.02224</v>
      </c>
      <c r="AJ70" s="22">
        <v>0.01754</v>
      </c>
      <c r="AK70" s="22">
        <v>0.01444</v>
      </c>
      <c r="AL70" s="22">
        <v>0.010064</v>
      </c>
      <c r="AM70" s="22">
        <v>0.0257</v>
      </c>
      <c r="AN70" s="22">
        <v>0.01655</v>
      </c>
      <c r="AO70" s="22">
        <v>0.0213</v>
      </c>
      <c r="AP70" s="28">
        <v>0.01655</v>
      </c>
      <c r="AQ70" s="28">
        <f t="shared" si="8"/>
        <v>0.013675</v>
      </c>
      <c r="AR70" s="28">
        <v>0.0108</v>
      </c>
      <c r="AS70" s="28">
        <v>0.010064</v>
      </c>
      <c r="AT70" s="28">
        <v>0.004703</v>
      </c>
      <c r="AU70" s="28">
        <v>0.01521</v>
      </c>
      <c r="AV70" s="28">
        <v>0.00936</v>
      </c>
      <c r="AX70" s="30">
        <f t="shared" si="10"/>
        <v>61</v>
      </c>
    </row>
    <row r="71" s="1" customFormat="1" ht="13.8" spans="3:50">
      <c r="C71" s="22"/>
      <c r="D71" s="22"/>
      <c r="E71" s="22"/>
      <c r="F71" s="22"/>
      <c r="G71" s="22"/>
      <c r="X71" s="9">
        <f t="shared" si="9"/>
        <v>62</v>
      </c>
      <c r="Y71" s="22">
        <v>0.035419</v>
      </c>
      <c r="Z71" s="22">
        <v>0.028023</v>
      </c>
      <c r="AA71" s="22">
        <v>0.022284</v>
      </c>
      <c r="AB71" s="22">
        <v>0.02252</v>
      </c>
      <c r="AC71" s="22">
        <v>0.016644</v>
      </c>
      <c r="AD71" s="22">
        <v>0.032713</v>
      </c>
      <c r="AE71" s="22">
        <v>0.023905</v>
      </c>
      <c r="AF71" s="22">
        <v>0.029537</v>
      </c>
      <c r="AG71" s="22">
        <v>0.023905</v>
      </c>
      <c r="AH71" s="22">
        <v>0.03118</v>
      </c>
      <c r="AI71" s="22">
        <v>0.02431</v>
      </c>
      <c r="AJ71" s="22">
        <v>0.01919</v>
      </c>
      <c r="AK71" s="22">
        <v>0.01586</v>
      </c>
      <c r="AL71" s="22">
        <v>0.011133</v>
      </c>
      <c r="AM71" s="22">
        <v>0.02807</v>
      </c>
      <c r="AN71" s="22">
        <v>0.01819</v>
      </c>
      <c r="AO71" s="22">
        <v>0.02286</v>
      </c>
      <c r="AP71" s="28">
        <v>0.01819</v>
      </c>
      <c r="AQ71" s="28">
        <f t="shared" si="8"/>
        <v>0.015035</v>
      </c>
      <c r="AR71" s="28">
        <v>0.01188</v>
      </c>
      <c r="AS71" s="28">
        <v>0.011133</v>
      </c>
      <c r="AT71" s="28">
        <v>0.00521</v>
      </c>
      <c r="AU71" s="28">
        <v>0.01639</v>
      </c>
      <c r="AV71" s="28">
        <v>0.01004</v>
      </c>
      <c r="AX71" s="30">
        <f t="shared" si="10"/>
        <v>62</v>
      </c>
    </row>
    <row r="72" s="1" customFormat="1" ht="13.8" spans="3:50">
      <c r="C72" s="22"/>
      <c r="D72" s="22"/>
      <c r="E72" s="22"/>
      <c r="F72" s="22"/>
      <c r="G72" s="22"/>
      <c r="X72" s="9">
        <f t="shared" si="9"/>
        <v>63</v>
      </c>
      <c r="Y72" s="22">
        <v>0.03919</v>
      </c>
      <c r="Z72" s="22">
        <v>0.031351</v>
      </c>
      <c r="AA72" s="22">
        <v>0.025085</v>
      </c>
      <c r="AB72" s="22">
        <v>0.026658</v>
      </c>
      <c r="AC72" s="22">
        <v>0.020089</v>
      </c>
      <c r="AD72" s="22">
        <v>0.036507</v>
      </c>
      <c r="AE72" s="22">
        <v>0.02478</v>
      </c>
      <c r="AF72" s="22">
        <v>0.033177</v>
      </c>
      <c r="AG72" s="22">
        <v>0.02478</v>
      </c>
      <c r="AH72" s="22">
        <v>0.03376</v>
      </c>
      <c r="AI72" s="22">
        <v>0.02657</v>
      </c>
      <c r="AJ72" s="22">
        <v>0.02106</v>
      </c>
      <c r="AK72" s="22">
        <v>0.01741</v>
      </c>
      <c r="AL72" s="22">
        <v>0.012391</v>
      </c>
      <c r="AM72" s="22">
        <v>0.03061</v>
      </c>
      <c r="AN72" s="22">
        <v>0.01999</v>
      </c>
      <c r="AO72" s="22">
        <v>0.02475</v>
      </c>
      <c r="AP72" s="28">
        <v>0.01999</v>
      </c>
      <c r="AQ72" s="28">
        <f t="shared" si="8"/>
        <v>0.01653</v>
      </c>
      <c r="AR72" s="28">
        <v>0.01307</v>
      </c>
      <c r="AS72" s="28">
        <v>0.012391</v>
      </c>
      <c r="AT72" s="28">
        <v>0.005769</v>
      </c>
      <c r="AU72" s="28">
        <v>0.01773</v>
      </c>
      <c r="AV72" s="28">
        <v>0.01104</v>
      </c>
      <c r="AX72" s="30">
        <f t="shared" si="10"/>
        <v>63</v>
      </c>
    </row>
    <row r="73" s="1" customFormat="1" ht="13.8" spans="3:50">
      <c r="C73" s="22"/>
      <c r="D73" s="22"/>
      <c r="E73" s="22"/>
      <c r="F73" s="22"/>
      <c r="G73" s="22"/>
      <c r="X73" s="9">
        <f t="shared" si="9"/>
        <v>64</v>
      </c>
      <c r="Y73" s="22">
        <v>0.043384</v>
      </c>
      <c r="Z73" s="22">
        <v>0.035128</v>
      </c>
      <c r="AA73" s="22">
        <v>0.028155</v>
      </c>
      <c r="AB73" s="22">
        <v>0.031484</v>
      </c>
      <c r="AC73" s="22">
        <v>0.024056</v>
      </c>
      <c r="AD73" s="22">
        <v>0.040707</v>
      </c>
      <c r="AE73" s="22">
        <v>0.028071</v>
      </c>
      <c r="AF73" s="22">
        <v>0.037231</v>
      </c>
      <c r="AG73" s="22">
        <v>0.028071</v>
      </c>
      <c r="AH73" s="22">
        <v>0.03658</v>
      </c>
      <c r="AI73" s="22">
        <v>0.02904</v>
      </c>
      <c r="AJ73" s="22">
        <v>0.02314</v>
      </c>
      <c r="AK73" s="22">
        <v>0.01919</v>
      </c>
      <c r="AL73" s="22">
        <v>0.013868</v>
      </c>
      <c r="AM73" s="22">
        <v>0.03336</v>
      </c>
      <c r="AN73" s="22">
        <v>0.02197</v>
      </c>
      <c r="AO73" s="22">
        <v>0.02688</v>
      </c>
      <c r="AP73" s="28">
        <v>0.02197</v>
      </c>
      <c r="AQ73" s="28">
        <f t="shared" ref="AQ73:AQ109" si="12">(AP73+AR73)/2</f>
        <v>0.01818</v>
      </c>
      <c r="AR73" s="28">
        <v>0.01439</v>
      </c>
      <c r="AS73" s="28">
        <v>0.013868</v>
      </c>
      <c r="AT73" s="28">
        <v>0.006386</v>
      </c>
      <c r="AU73" s="28">
        <v>0.01926</v>
      </c>
      <c r="AV73" s="28">
        <v>0.01214</v>
      </c>
      <c r="AX73" s="30">
        <f t="shared" si="10"/>
        <v>64</v>
      </c>
    </row>
    <row r="74" s="1" customFormat="1" ht="13.8" spans="3:50">
      <c r="C74" s="22"/>
      <c r="D74" s="22"/>
      <c r="E74" s="22"/>
      <c r="F74" s="22"/>
      <c r="G74" s="22"/>
      <c r="X74" s="9">
        <f t="shared" ref="X74:X119" si="13">X73+1</f>
        <v>65</v>
      </c>
      <c r="Y74" s="22">
        <v>0.048051</v>
      </c>
      <c r="Z74" s="22">
        <v>0.039432</v>
      </c>
      <c r="AA74" s="22">
        <v>0.031491</v>
      </c>
      <c r="AB74" s="22">
        <v>0.037257</v>
      </c>
      <c r="AC74" s="22">
        <v>0.028361</v>
      </c>
      <c r="AD74" s="22">
        <v>0.045308</v>
      </c>
      <c r="AE74" s="22">
        <v>0.034648</v>
      </c>
      <c r="AF74" s="22">
        <v>0.041855</v>
      </c>
      <c r="AG74" s="22">
        <v>0.034648</v>
      </c>
      <c r="AH74" s="22">
        <v>0.03964</v>
      </c>
      <c r="AI74" s="22">
        <v>0.03175</v>
      </c>
      <c r="AJ74" s="22">
        <v>0.02542</v>
      </c>
      <c r="AK74" s="22">
        <v>0.02126</v>
      </c>
      <c r="AL74" s="22">
        <v>0.015592</v>
      </c>
      <c r="AM74" s="22">
        <v>0.03632</v>
      </c>
      <c r="AN74" s="22">
        <v>0.02415</v>
      </c>
      <c r="AO74" s="22">
        <v>0.02875</v>
      </c>
      <c r="AP74" s="28">
        <v>0.02415</v>
      </c>
      <c r="AQ74" s="28">
        <f t="shared" si="12"/>
        <v>0.019995</v>
      </c>
      <c r="AR74" s="28">
        <v>0.01584</v>
      </c>
      <c r="AS74" s="28">
        <v>0.015592</v>
      </c>
      <c r="AT74" s="28">
        <v>0.007064</v>
      </c>
      <c r="AU74" s="28">
        <v>0.021</v>
      </c>
      <c r="AV74" s="28">
        <v>0.01334</v>
      </c>
      <c r="AX74" s="30">
        <f t="shared" ref="AX74:AX120" si="14">1+AX73</f>
        <v>65</v>
      </c>
    </row>
    <row r="75" s="1" customFormat="1" ht="13.8" spans="3:50">
      <c r="C75" s="22"/>
      <c r="D75" s="22"/>
      <c r="E75" s="22"/>
      <c r="F75" s="22"/>
      <c r="G75" s="22"/>
      <c r="X75" s="9">
        <f t="shared" si="13"/>
        <v>66</v>
      </c>
      <c r="Y75" s="22">
        <v>0.053204</v>
      </c>
      <c r="Z75" s="22">
        <v>0.044223</v>
      </c>
      <c r="AA75" s="22">
        <v>0.035118</v>
      </c>
      <c r="AB75" s="22">
        <v>0.043381</v>
      </c>
      <c r="AC75" s="22">
        <v>0.033015</v>
      </c>
      <c r="AD75" s="22">
        <v>0.050337</v>
      </c>
      <c r="AE75" s="22">
        <v>0.035992</v>
      </c>
      <c r="AF75" s="22">
        <v>0.047015</v>
      </c>
      <c r="AG75" s="22">
        <v>0.035992</v>
      </c>
      <c r="AH75" s="22">
        <v>0.04296</v>
      </c>
      <c r="AI75" s="22">
        <v>0.03474</v>
      </c>
      <c r="AJ75" s="22">
        <v>0.02785</v>
      </c>
      <c r="AK75" s="22">
        <v>0.02364</v>
      </c>
      <c r="AL75" s="22">
        <v>0.017579</v>
      </c>
      <c r="AM75" s="22">
        <v>0.0395</v>
      </c>
      <c r="AN75" s="22">
        <v>0.02653</v>
      </c>
      <c r="AO75" s="22">
        <v>0.03098</v>
      </c>
      <c r="AP75" s="28">
        <v>0.02653</v>
      </c>
      <c r="AQ75" s="28">
        <f t="shared" si="12"/>
        <v>0.021985</v>
      </c>
      <c r="AR75" s="28">
        <v>0.01744</v>
      </c>
      <c r="AS75" s="28">
        <v>0.017579</v>
      </c>
      <c r="AT75" s="28">
        <v>0.007817</v>
      </c>
      <c r="AU75" s="28">
        <v>0.02288</v>
      </c>
      <c r="AV75" s="28">
        <v>0.01466</v>
      </c>
      <c r="AX75" s="30">
        <f t="shared" si="14"/>
        <v>66</v>
      </c>
    </row>
    <row r="76" s="1" customFormat="1" ht="13.8" spans="3:50">
      <c r="C76" s="22"/>
      <c r="D76" s="22"/>
      <c r="E76" s="22"/>
      <c r="F76" s="22"/>
      <c r="G76" s="22"/>
      <c r="X76" s="9">
        <f t="shared" si="13"/>
        <v>67</v>
      </c>
      <c r="Y76" s="22">
        <v>0.058894</v>
      </c>
      <c r="Z76" s="22">
        <v>0.049421</v>
      </c>
      <c r="AA76" s="22">
        <v>0.039215</v>
      </c>
      <c r="AB76" s="22">
        <v>0.049245</v>
      </c>
      <c r="AC76" s="22">
        <v>0.038425</v>
      </c>
      <c r="AD76" s="22">
        <v>0.055908</v>
      </c>
      <c r="AE76" s="22">
        <v>0.040748</v>
      </c>
      <c r="AF76" s="22">
        <v>0.052755</v>
      </c>
      <c r="AG76" s="22">
        <v>0.040748</v>
      </c>
      <c r="AH76" s="22">
        <v>0.04656</v>
      </c>
      <c r="AI76" s="22">
        <v>0.03804</v>
      </c>
      <c r="AJ76" s="22">
        <v>0.03044</v>
      </c>
      <c r="AK76" s="22">
        <v>0.02632</v>
      </c>
      <c r="AL76" s="22">
        <v>0.019804</v>
      </c>
      <c r="AM76" s="22">
        <v>0.04292</v>
      </c>
      <c r="AN76" s="22">
        <v>0.02915</v>
      </c>
      <c r="AO76" s="22">
        <v>0.03339</v>
      </c>
      <c r="AP76" s="28">
        <v>0.02915</v>
      </c>
      <c r="AQ76" s="28">
        <f t="shared" si="12"/>
        <v>0.024175</v>
      </c>
      <c r="AR76" s="28">
        <v>0.0192</v>
      </c>
      <c r="AS76" s="28">
        <v>0.019804</v>
      </c>
      <c r="AT76" s="28">
        <v>0.008681</v>
      </c>
      <c r="AU76" s="28">
        <v>0.02486</v>
      </c>
      <c r="AV76" s="28">
        <v>0.01612</v>
      </c>
      <c r="AX76" s="30">
        <f t="shared" si="14"/>
        <v>67</v>
      </c>
    </row>
    <row r="77" s="1" customFormat="1" ht="13.8" spans="3:50">
      <c r="C77" s="22"/>
      <c r="D77" s="22"/>
      <c r="E77" s="22"/>
      <c r="F77" s="22"/>
      <c r="G77" s="22"/>
      <c r="X77" s="9">
        <f t="shared" si="13"/>
        <v>68</v>
      </c>
      <c r="Y77" s="22">
        <v>0.065221</v>
      </c>
      <c r="Z77" s="22">
        <v>0.054944</v>
      </c>
      <c r="AA77" s="22">
        <v>0.044068</v>
      </c>
      <c r="AB77" s="22">
        <v>0.055571</v>
      </c>
      <c r="AC77" s="22">
        <v>0.044879</v>
      </c>
      <c r="AD77" s="22">
        <v>0.06202</v>
      </c>
      <c r="AE77" s="22">
        <v>0.050096</v>
      </c>
      <c r="AF77" s="22">
        <v>0.059197</v>
      </c>
      <c r="AG77" s="22">
        <v>0.050096</v>
      </c>
      <c r="AH77" s="22">
        <v>0.05046</v>
      </c>
      <c r="AI77" s="22">
        <v>0.04168</v>
      </c>
      <c r="AJ77" s="22">
        <v>0.03319</v>
      </c>
      <c r="AK77" s="22">
        <v>0.02919</v>
      </c>
      <c r="AL77" s="22">
        <v>0.022229</v>
      </c>
      <c r="AM77" s="22">
        <v>0.04661</v>
      </c>
      <c r="AN77" s="22">
        <v>0.03203</v>
      </c>
      <c r="AO77" s="22">
        <v>0.03588</v>
      </c>
      <c r="AP77" s="28">
        <v>0.03203</v>
      </c>
      <c r="AQ77" s="28">
        <f t="shared" si="12"/>
        <v>0.026585</v>
      </c>
      <c r="AR77" s="28">
        <v>0.02114</v>
      </c>
      <c r="AS77" s="28">
        <v>0.022229</v>
      </c>
      <c r="AT77" s="28">
        <v>0.009702</v>
      </c>
      <c r="AU77" s="28">
        <v>0.02702</v>
      </c>
      <c r="AV77" s="28">
        <v>0.01771</v>
      </c>
      <c r="AX77" s="30">
        <f t="shared" si="14"/>
        <v>68</v>
      </c>
    </row>
    <row r="78" s="1" customFormat="1" ht="13.8" spans="3:50">
      <c r="C78" s="22"/>
      <c r="D78" s="22"/>
      <c r="E78" s="22"/>
      <c r="F78" s="22"/>
      <c r="G78" s="22"/>
      <c r="X78" s="9">
        <f t="shared" si="13"/>
        <v>69</v>
      </c>
      <c r="Y78" s="22">
        <v>0.072236</v>
      </c>
      <c r="Z78" s="22">
        <v>0.060684</v>
      </c>
      <c r="AA78" s="22">
        <v>0.049851</v>
      </c>
      <c r="AB78" s="22">
        <v>0.063855</v>
      </c>
      <c r="AC78" s="22">
        <v>0.052863</v>
      </c>
      <c r="AD78" s="22">
        <v>0.068688</v>
      </c>
      <c r="AE78" s="22">
        <v>0.052143</v>
      </c>
      <c r="AF78" s="22">
        <v>0.06639</v>
      </c>
      <c r="AG78" s="22">
        <v>0.052143</v>
      </c>
      <c r="AH78" s="22">
        <v>0.0547</v>
      </c>
      <c r="AI78" s="22">
        <v>0.04561</v>
      </c>
      <c r="AJ78" s="22">
        <v>0.03617</v>
      </c>
      <c r="AK78" s="22">
        <v>0.03244</v>
      </c>
      <c r="AL78" s="22">
        <v>0.024817</v>
      </c>
      <c r="AM78" s="22">
        <v>0.05057</v>
      </c>
      <c r="AN78" s="22">
        <v>0.03518</v>
      </c>
      <c r="AO78" s="22">
        <v>0.03875</v>
      </c>
      <c r="AP78" s="28">
        <v>0.03518</v>
      </c>
      <c r="AQ78" s="28">
        <f t="shared" si="12"/>
        <v>0.02923</v>
      </c>
      <c r="AR78" s="28">
        <v>0.02328</v>
      </c>
      <c r="AS78" s="28">
        <v>0.024817</v>
      </c>
      <c r="AT78" s="28">
        <v>0.010922</v>
      </c>
      <c r="AU78" s="28">
        <v>0.02921</v>
      </c>
      <c r="AV78" s="28">
        <v>0.01947</v>
      </c>
      <c r="AX78" s="30">
        <f t="shared" si="14"/>
        <v>69</v>
      </c>
    </row>
    <row r="79" s="1" customFormat="1" ht="13.8" spans="3:50">
      <c r="C79" s="22"/>
      <c r="D79" s="22"/>
      <c r="E79" s="22"/>
      <c r="F79" s="22"/>
      <c r="G79" s="22"/>
      <c r="X79" s="9">
        <f t="shared" si="13"/>
        <v>70</v>
      </c>
      <c r="Y79" s="22">
        <v>0.079954</v>
      </c>
      <c r="Z79" s="22">
        <v>0.066691</v>
      </c>
      <c r="AA79" s="22">
        <v>0.056558</v>
      </c>
      <c r="AB79" s="22">
        <v>0.074268</v>
      </c>
      <c r="AC79" s="22">
        <v>0.062195</v>
      </c>
      <c r="AD79" s="22">
        <v>0.076016</v>
      </c>
      <c r="AE79" s="22">
        <v>0.058975</v>
      </c>
      <c r="AF79" s="22">
        <v>0.074411</v>
      </c>
      <c r="AG79" s="22">
        <v>0.058975</v>
      </c>
      <c r="AH79" s="22">
        <v>0.0593</v>
      </c>
      <c r="AI79" s="22">
        <v>0.04979</v>
      </c>
      <c r="AJ79" s="22">
        <v>0.03951</v>
      </c>
      <c r="AK79" s="22">
        <v>0.03611</v>
      </c>
      <c r="AL79" s="22">
        <v>0.02753</v>
      </c>
      <c r="AM79" s="22">
        <v>0.05483</v>
      </c>
      <c r="AN79" s="22">
        <v>0.03863</v>
      </c>
      <c r="AO79" s="22">
        <v>0.04176</v>
      </c>
      <c r="AP79" s="28">
        <v>0.03863</v>
      </c>
      <c r="AQ79" s="28">
        <f t="shared" si="12"/>
        <v>0.032135</v>
      </c>
      <c r="AR79" s="28">
        <v>0.02564</v>
      </c>
      <c r="AS79" s="28">
        <v>0.02753</v>
      </c>
      <c r="AT79" s="28">
        <v>0.012385</v>
      </c>
      <c r="AU79" s="28">
        <v>0.03182</v>
      </c>
      <c r="AV79" s="28">
        <v>0.02121</v>
      </c>
      <c r="AX79" s="30">
        <f t="shared" si="14"/>
        <v>70</v>
      </c>
    </row>
    <row r="80" s="1" customFormat="1" ht="13.8" spans="3:50">
      <c r="C80" s="22"/>
      <c r="D80" s="22"/>
      <c r="E80" s="22"/>
      <c r="F80" s="22"/>
      <c r="G80" s="22"/>
      <c r="X80" s="9">
        <f t="shared" si="13"/>
        <v>71</v>
      </c>
      <c r="Y80" s="22">
        <v>0.088439</v>
      </c>
      <c r="Z80" s="22">
        <v>0.073216</v>
      </c>
      <c r="AA80" s="22">
        <v>0.064014</v>
      </c>
      <c r="AB80" s="22">
        <v>0.086064</v>
      </c>
      <c r="AC80" s="22">
        <v>0.072844</v>
      </c>
      <c r="AD80" s="22">
        <v>0.084079</v>
      </c>
      <c r="AE80" s="22">
        <v>0.072168</v>
      </c>
      <c r="AF80" s="22">
        <v>0.083386</v>
      </c>
      <c r="AG80" s="22">
        <v>0.072168</v>
      </c>
      <c r="AH80" s="22">
        <v>0.06427</v>
      </c>
      <c r="AI80" s="22">
        <v>0.05415</v>
      </c>
      <c r="AJ80" s="22">
        <v>0.0433</v>
      </c>
      <c r="AK80" s="22">
        <v>0.04001</v>
      </c>
      <c r="AL80" s="22">
        <v>0.030354</v>
      </c>
      <c r="AM80" s="22">
        <v>0.05941</v>
      </c>
      <c r="AN80" s="22">
        <v>0.04242</v>
      </c>
      <c r="AO80" s="22">
        <v>0.04498</v>
      </c>
      <c r="AP80" s="28">
        <v>0.04242</v>
      </c>
      <c r="AQ80" s="28">
        <f t="shared" si="12"/>
        <v>0.035325</v>
      </c>
      <c r="AR80" s="28">
        <v>0.02823</v>
      </c>
      <c r="AS80" s="28">
        <v>0.030354</v>
      </c>
      <c r="AT80" s="28">
        <v>0.014128</v>
      </c>
      <c r="AU80" s="28">
        <v>0.03473</v>
      </c>
      <c r="AV80" s="28">
        <v>0.02319</v>
      </c>
      <c r="AX80" s="30">
        <f t="shared" si="14"/>
        <v>71</v>
      </c>
    </row>
    <row r="81" s="1" customFormat="1" ht="13.8" spans="3:50">
      <c r="C81" s="22"/>
      <c r="D81" s="22"/>
      <c r="E81" s="22"/>
      <c r="F81" s="22"/>
      <c r="G81" s="22"/>
      <c r="X81" s="9">
        <f t="shared" si="13"/>
        <v>72</v>
      </c>
      <c r="Y81" s="22">
        <v>0.097895</v>
      </c>
      <c r="Z81" s="22">
        <v>0.080714</v>
      </c>
      <c r="AA81" s="22">
        <v>0.072081</v>
      </c>
      <c r="AB81" s="22">
        <v>0.098843</v>
      </c>
      <c r="AC81" s="22">
        <v>0.084711</v>
      </c>
      <c r="AD81" s="22">
        <v>0.092861</v>
      </c>
      <c r="AE81" s="22">
        <v>0.075255</v>
      </c>
      <c r="AF81" s="22">
        <v>0.093325</v>
      </c>
      <c r="AG81" s="22">
        <v>0.075255</v>
      </c>
      <c r="AH81" s="22">
        <v>0.06966</v>
      </c>
      <c r="AI81" s="22">
        <v>0.05865</v>
      </c>
      <c r="AJ81" s="22">
        <v>0.04765</v>
      </c>
      <c r="AK81" s="22">
        <v>0.04383</v>
      </c>
      <c r="AL81" s="22">
        <v>0.03337</v>
      </c>
      <c r="AM81" s="22">
        <v>0.06434</v>
      </c>
      <c r="AN81" s="22">
        <v>0.04657</v>
      </c>
      <c r="AO81" s="22">
        <v>0.04844</v>
      </c>
      <c r="AP81" s="28">
        <v>0.04657</v>
      </c>
      <c r="AQ81" s="28">
        <f t="shared" si="12"/>
        <v>0.03883</v>
      </c>
      <c r="AR81" s="28">
        <v>0.03109</v>
      </c>
      <c r="AS81" s="28">
        <v>0.03337</v>
      </c>
      <c r="AT81" s="28">
        <v>0.01616</v>
      </c>
      <c r="AU81" s="28">
        <v>0.03861</v>
      </c>
      <c r="AV81" s="28">
        <v>0.02539</v>
      </c>
      <c r="AX81" s="30">
        <f t="shared" si="14"/>
        <v>72</v>
      </c>
    </row>
    <row r="82" s="1" customFormat="1" ht="13.8" spans="3:50">
      <c r="C82" s="22"/>
      <c r="X82" s="9">
        <f t="shared" si="13"/>
        <v>73</v>
      </c>
      <c r="Y82" s="22">
        <v>0.10829</v>
      </c>
      <c r="Z82" s="22">
        <v>0.08938</v>
      </c>
      <c r="AA82" s="22">
        <v>0.08051</v>
      </c>
      <c r="AB82" s="22">
        <v>0.1123</v>
      </c>
      <c r="AC82" s="22">
        <v>0.097525</v>
      </c>
      <c r="AD82" s="22">
        <v>0.10242</v>
      </c>
      <c r="AE82" s="22">
        <v>0.08499</v>
      </c>
      <c r="AF82" s="22">
        <v>0.104475</v>
      </c>
      <c r="AG82" s="22">
        <v>0.08499</v>
      </c>
      <c r="AH82" s="22">
        <v>0.0755</v>
      </c>
      <c r="AI82" s="22">
        <v>0.06326</v>
      </c>
      <c r="AJ82" s="22">
        <v>0.05264</v>
      </c>
      <c r="AK82" s="22">
        <v>0.04749</v>
      </c>
      <c r="AL82" s="22">
        <v>0.03668</v>
      </c>
      <c r="AM82" s="22">
        <v>0.06962</v>
      </c>
      <c r="AN82" s="22">
        <v>0.05112</v>
      </c>
      <c r="AO82" s="22">
        <v>0.052167</v>
      </c>
      <c r="AP82" s="28">
        <v>0.05112</v>
      </c>
      <c r="AQ82" s="28">
        <f t="shared" si="12"/>
        <v>0.042675</v>
      </c>
      <c r="AR82" s="28">
        <v>0.03423</v>
      </c>
      <c r="AS82" s="28">
        <v>0.03668</v>
      </c>
      <c r="AT82" s="28">
        <v>0.018481</v>
      </c>
      <c r="AU82" s="28">
        <v>0.04264</v>
      </c>
      <c r="AV82" s="28">
        <v>0.02778</v>
      </c>
      <c r="AX82" s="30">
        <f t="shared" si="14"/>
        <v>73</v>
      </c>
    </row>
    <row r="83" s="1" customFormat="1" ht="13.8" spans="3:50">
      <c r="C83" s="22"/>
      <c r="X83" s="9">
        <f t="shared" si="13"/>
        <v>74</v>
      </c>
      <c r="Y83" s="22">
        <v>0.119679</v>
      </c>
      <c r="Z83" s="22">
        <v>0.099277</v>
      </c>
      <c r="AA83" s="22">
        <v>0.089368</v>
      </c>
      <c r="AB83" s="22">
        <v>0.126402</v>
      </c>
      <c r="AC83" s="22">
        <v>0.111217</v>
      </c>
      <c r="AD83" s="22">
        <v>0.112976</v>
      </c>
      <c r="AE83" s="22">
        <v>0.10343</v>
      </c>
      <c r="AF83" s="22">
        <v>0.116765</v>
      </c>
      <c r="AG83" s="22">
        <v>0.10343</v>
      </c>
      <c r="AH83" s="22">
        <v>0.08181</v>
      </c>
      <c r="AI83" s="22">
        <v>0.06812</v>
      </c>
      <c r="AJ83" s="22">
        <v>0.05819</v>
      </c>
      <c r="AK83" s="22">
        <v>0.05122</v>
      </c>
      <c r="AL83" s="22">
        <v>0.040388</v>
      </c>
      <c r="AM83" s="22">
        <v>0.0753</v>
      </c>
      <c r="AN83" s="22">
        <v>0.05609</v>
      </c>
      <c r="AO83" s="22">
        <v>0.056167</v>
      </c>
      <c r="AP83" s="28">
        <v>0.05609</v>
      </c>
      <c r="AQ83" s="28">
        <f t="shared" si="12"/>
        <v>0.046885</v>
      </c>
      <c r="AR83" s="28">
        <v>0.03768</v>
      </c>
      <c r="AS83" s="28">
        <v>0.040388</v>
      </c>
      <c r="AT83" s="28">
        <v>0.021092</v>
      </c>
      <c r="AU83" s="28">
        <v>0.04687</v>
      </c>
      <c r="AV83" s="28">
        <v>0.03042</v>
      </c>
      <c r="AX83" s="30">
        <f t="shared" si="14"/>
        <v>74</v>
      </c>
    </row>
    <row r="84" s="1" customFormat="1" ht="13.8" spans="3:50">
      <c r="C84" s="22"/>
      <c r="X84" s="9">
        <f t="shared" si="13"/>
        <v>75</v>
      </c>
      <c r="Y84" s="22">
        <v>0.132166</v>
      </c>
      <c r="Z84" s="22">
        <v>0.110256</v>
      </c>
      <c r="AA84" s="22">
        <v>0.099094</v>
      </c>
      <c r="AB84" s="22">
        <v>0.140969</v>
      </c>
      <c r="AC84" s="22">
        <v>0.125882</v>
      </c>
      <c r="AD84" s="22">
        <v>0.124446</v>
      </c>
      <c r="AE84" s="22">
        <v>0.108025</v>
      </c>
      <c r="AF84" s="22">
        <v>0.130498</v>
      </c>
      <c r="AG84" s="22">
        <v>0.108025</v>
      </c>
      <c r="AH84" s="22">
        <v>0.08864</v>
      </c>
      <c r="AI84" s="22">
        <v>0.07337</v>
      </c>
      <c r="AJ84" s="22">
        <v>0.06419</v>
      </c>
      <c r="AK84" s="22">
        <v>0.05529</v>
      </c>
      <c r="AL84" s="22">
        <v>0.044597</v>
      </c>
      <c r="AM84" s="22">
        <v>0.08139</v>
      </c>
      <c r="AN84" s="22">
        <v>0.06154</v>
      </c>
      <c r="AO84" s="22">
        <v>0.06046</v>
      </c>
      <c r="AP84" s="28">
        <v>0.06154</v>
      </c>
      <c r="AQ84" s="28">
        <f t="shared" si="12"/>
        <v>0.051515</v>
      </c>
      <c r="AR84" s="28">
        <v>0.04149</v>
      </c>
      <c r="AS84" s="28">
        <v>0.044597</v>
      </c>
      <c r="AT84" s="28">
        <v>0.023992</v>
      </c>
      <c r="AU84" s="28">
        <v>0.05155</v>
      </c>
      <c r="AV84" s="28">
        <v>0.0333</v>
      </c>
      <c r="AX84" s="30">
        <f t="shared" si="14"/>
        <v>75</v>
      </c>
    </row>
    <row r="85" s="1" customFormat="1" ht="13.8" spans="3:50">
      <c r="C85" s="22"/>
      <c r="X85" s="9">
        <f t="shared" si="13"/>
        <v>76</v>
      </c>
      <c r="Y85" s="22">
        <v>0.146</v>
      </c>
      <c r="Z85" s="22">
        <v>0.122238</v>
      </c>
      <c r="AA85" s="22">
        <v>0.110354</v>
      </c>
      <c r="AB85" s="22">
        <v>0.156189</v>
      </c>
      <c r="AC85" s="22">
        <v>0.141672</v>
      </c>
      <c r="AD85" s="22">
        <v>0.136886</v>
      </c>
      <c r="AE85" s="22">
        <v>0.121714</v>
      </c>
      <c r="AF85" s="22">
        <v>0.145629</v>
      </c>
      <c r="AG85" s="22">
        <v>0.121714</v>
      </c>
      <c r="AH85" s="22">
        <v>0.09602</v>
      </c>
      <c r="AI85" s="22">
        <v>0.07918</v>
      </c>
      <c r="AJ85" s="22">
        <v>0.07053</v>
      </c>
      <c r="AK85" s="22">
        <v>0.06007</v>
      </c>
      <c r="AL85" s="22">
        <v>0.049388</v>
      </c>
      <c r="AM85" s="22">
        <v>0.08792</v>
      </c>
      <c r="AN85" s="22">
        <v>0.06749</v>
      </c>
      <c r="AO85" s="22">
        <v>0.06508</v>
      </c>
      <c r="AP85" s="28">
        <v>0.06749</v>
      </c>
      <c r="AQ85" s="28">
        <f t="shared" si="12"/>
        <v>0.056575</v>
      </c>
      <c r="AR85" s="28">
        <v>0.04566</v>
      </c>
      <c r="AS85" s="28">
        <v>0.049388</v>
      </c>
      <c r="AT85" s="28">
        <v>0.027185</v>
      </c>
      <c r="AU85" s="28">
        <v>0.05664</v>
      </c>
      <c r="AV85" s="28">
        <v>0.03646</v>
      </c>
      <c r="AX85" s="30">
        <f t="shared" si="14"/>
        <v>76</v>
      </c>
    </row>
    <row r="86" s="1" customFormat="1" ht="13.8" spans="3:50">
      <c r="C86" s="22"/>
      <c r="X86" s="9">
        <f t="shared" si="13"/>
        <v>77</v>
      </c>
      <c r="Y86" s="22">
        <v>0.161095</v>
      </c>
      <c r="Z86" s="22">
        <v>0.134876</v>
      </c>
      <c r="AA86" s="22">
        <v>0.123403</v>
      </c>
      <c r="AB86" s="22">
        <v>0.172501</v>
      </c>
      <c r="AC86" s="22">
        <v>0.158899</v>
      </c>
      <c r="AD86" s="22">
        <v>0.150481</v>
      </c>
      <c r="AE86" s="22">
        <v>0.147105</v>
      </c>
      <c r="AF86" s="22">
        <v>0.162379</v>
      </c>
      <c r="AG86" s="22">
        <v>0.147105</v>
      </c>
      <c r="AH86" s="22">
        <v>0.10399</v>
      </c>
      <c r="AI86" s="22">
        <v>0.0857</v>
      </c>
      <c r="AJ86" s="22">
        <v>0.07712</v>
      </c>
      <c r="AK86" s="22">
        <v>0.06592</v>
      </c>
      <c r="AL86" s="22">
        <v>0.054758</v>
      </c>
      <c r="AM86" s="22">
        <v>0.09492</v>
      </c>
      <c r="AN86" s="22">
        <v>0.074</v>
      </c>
      <c r="AO86" s="22">
        <v>0.07003</v>
      </c>
      <c r="AP86" s="28">
        <v>0.074</v>
      </c>
      <c r="AQ86" s="28">
        <f t="shared" si="12"/>
        <v>0.062125</v>
      </c>
      <c r="AR86" s="28">
        <v>0.05025</v>
      </c>
      <c r="AS86" s="28">
        <v>0.054758</v>
      </c>
      <c r="AT86" s="28">
        <v>0.030672</v>
      </c>
      <c r="AU86" s="28">
        <v>0.06254</v>
      </c>
      <c r="AV86" s="28">
        <v>0.03991</v>
      </c>
      <c r="AX86" s="30">
        <f t="shared" si="14"/>
        <v>77</v>
      </c>
    </row>
    <row r="87" s="1" customFormat="1" ht="13.8" spans="3:50">
      <c r="C87" s="22"/>
      <c r="X87" s="9">
        <f t="shared" si="13"/>
        <v>78</v>
      </c>
      <c r="Y87" s="22">
        <v>0.177531</v>
      </c>
      <c r="Z87" s="22">
        <v>0.148134</v>
      </c>
      <c r="AA87" s="22">
        <v>0.138134</v>
      </c>
      <c r="AB87" s="22">
        <v>0.189841</v>
      </c>
      <c r="AC87" s="22">
        <v>0.177514</v>
      </c>
      <c r="AD87" s="22">
        <v>0.165275</v>
      </c>
      <c r="AE87" s="22">
        <v>0.153826</v>
      </c>
      <c r="AF87" s="22">
        <v>0.180837</v>
      </c>
      <c r="AG87" s="22">
        <v>0.153826</v>
      </c>
      <c r="AH87" s="22">
        <v>0.11259</v>
      </c>
      <c r="AI87" s="22">
        <v>0.09306</v>
      </c>
      <c r="AJ87" s="22">
        <v>0.0839</v>
      </c>
      <c r="AK87" s="22">
        <v>0.0726</v>
      </c>
      <c r="AL87" s="22">
        <v>0.060678</v>
      </c>
      <c r="AM87" s="22">
        <v>0.10242</v>
      </c>
      <c r="AN87" s="22">
        <v>0.08111</v>
      </c>
      <c r="AO87" s="22">
        <v>0.07535</v>
      </c>
      <c r="AP87" s="28">
        <v>0.08111</v>
      </c>
      <c r="AQ87" s="28">
        <f t="shared" si="12"/>
        <v>0.068205</v>
      </c>
      <c r="AR87" s="28">
        <v>0.0553</v>
      </c>
      <c r="AS87" s="28">
        <v>0.060678</v>
      </c>
      <c r="AT87" s="28">
        <v>0.034459</v>
      </c>
      <c r="AU87" s="28">
        <v>0.06942</v>
      </c>
      <c r="AV87" s="28">
        <v>0.04372</v>
      </c>
      <c r="AX87" s="30">
        <f t="shared" si="14"/>
        <v>78</v>
      </c>
    </row>
    <row r="88" s="1" customFormat="1" ht="13.8" spans="3:50">
      <c r="C88" s="22"/>
      <c r="X88" s="9">
        <f t="shared" si="13"/>
        <v>79</v>
      </c>
      <c r="Y88" s="22">
        <v>0.195475</v>
      </c>
      <c r="Z88" s="22">
        <v>0.162171</v>
      </c>
      <c r="AA88" s="22">
        <v>0.154109</v>
      </c>
      <c r="AB88" s="22">
        <v>0.207668</v>
      </c>
      <c r="AC88" s="22">
        <v>0.197103</v>
      </c>
      <c r="AD88" s="22">
        <v>0.181251</v>
      </c>
      <c r="AE88" s="22">
        <v>0.17274</v>
      </c>
      <c r="AF88" s="22">
        <v>0.201097</v>
      </c>
      <c r="AG88" s="22">
        <v>0.17274</v>
      </c>
      <c r="AH88" s="22">
        <v>0.12186</v>
      </c>
      <c r="AI88" s="22">
        <v>0.10119</v>
      </c>
      <c r="AJ88" s="22">
        <v>0.09105</v>
      </c>
      <c r="AK88" s="22">
        <v>0.07969</v>
      </c>
      <c r="AL88" s="22">
        <v>0.067125</v>
      </c>
      <c r="AM88" s="22">
        <v>0.11045</v>
      </c>
      <c r="AN88" s="22">
        <v>0.08887</v>
      </c>
      <c r="AO88" s="22">
        <v>0.08105</v>
      </c>
      <c r="AP88" s="28">
        <v>0.08887</v>
      </c>
      <c r="AQ88" s="28">
        <f t="shared" si="12"/>
        <v>0.07485</v>
      </c>
      <c r="AR88" s="28">
        <v>0.06083</v>
      </c>
      <c r="AS88" s="28">
        <v>0.067125</v>
      </c>
      <c r="AT88" s="28">
        <v>0.038549</v>
      </c>
      <c r="AU88" s="28">
        <v>0.07734</v>
      </c>
      <c r="AV88" s="28">
        <v>0.04789</v>
      </c>
      <c r="AX88" s="30">
        <f t="shared" si="14"/>
        <v>79</v>
      </c>
    </row>
    <row r="89" s="1" customFormat="1" ht="13.8" spans="3:50">
      <c r="C89" s="22"/>
      <c r="X89" s="9">
        <f t="shared" si="13"/>
        <v>80</v>
      </c>
      <c r="Y89" s="22">
        <v>0.215109</v>
      </c>
      <c r="Z89" s="22">
        <v>0.177165</v>
      </c>
      <c r="AA89" s="22">
        <v>0.170841</v>
      </c>
      <c r="AB89" s="22">
        <v>0.228251</v>
      </c>
      <c r="AC89" s="22">
        <v>0.219808</v>
      </c>
      <c r="AD89" s="22">
        <v>0.198519</v>
      </c>
      <c r="AE89" s="22">
        <v>0.206951</v>
      </c>
      <c r="AF89" s="22">
        <v>0.223388</v>
      </c>
      <c r="AG89" s="22">
        <v>0.206951</v>
      </c>
      <c r="AH89" s="22">
        <v>0.13185</v>
      </c>
      <c r="AI89" s="22">
        <v>0.10998</v>
      </c>
      <c r="AJ89" s="22">
        <v>0.09884</v>
      </c>
      <c r="AK89" s="22">
        <v>0.08743</v>
      </c>
      <c r="AL89" s="22">
        <v>0.07407</v>
      </c>
      <c r="AM89" s="22">
        <v>0.11904</v>
      </c>
      <c r="AN89" s="22">
        <v>0.09733</v>
      </c>
      <c r="AO89" s="22">
        <v>0.08716</v>
      </c>
      <c r="AP89" s="28">
        <v>0.09733</v>
      </c>
      <c r="AQ89" s="28">
        <f t="shared" si="12"/>
        <v>0.082115</v>
      </c>
      <c r="AR89" s="28">
        <v>0.0669</v>
      </c>
      <c r="AS89" s="28">
        <v>0.07407</v>
      </c>
      <c r="AT89" s="28">
        <v>0.042945</v>
      </c>
      <c r="AU89" s="28">
        <v>0.08597</v>
      </c>
      <c r="AV89" s="28">
        <v>0.05247</v>
      </c>
      <c r="AX89" s="30">
        <f t="shared" si="14"/>
        <v>80</v>
      </c>
    </row>
    <row r="90" s="1" customFormat="1" ht="13.8" spans="3:50">
      <c r="C90" s="22"/>
      <c r="X90" s="9">
        <f t="shared" si="13"/>
        <v>81</v>
      </c>
      <c r="Y90" s="22">
        <v>0.236359</v>
      </c>
      <c r="Z90" s="22">
        <v>0.193234</v>
      </c>
      <c r="AA90" s="22">
        <v>0.188024</v>
      </c>
      <c r="AB90" s="22">
        <v>0.251776</v>
      </c>
      <c r="AC90" s="22">
        <v>0.244215</v>
      </c>
      <c r="AD90" s="22">
        <v>0.21729</v>
      </c>
      <c r="AE90" s="22">
        <v>0.216551</v>
      </c>
      <c r="AF90" s="22">
        <v>0.247594</v>
      </c>
      <c r="AG90" s="22">
        <v>0.216551</v>
      </c>
      <c r="AH90" s="22">
        <v>0.1426</v>
      </c>
      <c r="AI90" s="22">
        <v>0.11935</v>
      </c>
      <c r="AJ90" s="22">
        <v>0.10748</v>
      </c>
      <c r="AK90" s="22">
        <v>0.09545</v>
      </c>
      <c r="AL90" s="22">
        <v>0.081484</v>
      </c>
      <c r="AM90" s="22">
        <v>0.12823</v>
      </c>
      <c r="AN90" s="22">
        <v>0.10655</v>
      </c>
      <c r="AO90" s="22">
        <v>0.09371</v>
      </c>
      <c r="AP90" s="28">
        <v>0.10655</v>
      </c>
      <c r="AQ90" s="28">
        <f t="shared" si="12"/>
        <v>0.090055</v>
      </c>
      <c r="AR90" s="28">
        <v>0.07356</v>
      </c>
      <c r="AS90" s="28">
        <v>0.081484</v>
      </c>
      <c r="AT90" s="28">
        <v>0.047655</v>
      </c>
      <c r="AU90" s="28">
        <v>0.09577</v>
      </c>
      <c r="AV90" s="28">
        <v>0.05877</v>
      </c>
      <c r="AX90" s="30">
        <f t="shared" si="14"/>
        <v>81</v>
      </c>
    </row>
    <row r="91" s="1" customFormat="1" ht="13.8" spans="3:50">
      <c r="C91" s="22"/>
      <c r="X91" s="9">
        <f t="shared" si="13"/>
        <v>82</v>
      </c>
      <c r="Y91" s="22">
        <v>0.259271</v>
      </c>
      <c r="Z91" s="22">
        <v>0.210788</v>
      </c>
      <c r="AA91" s="22">
        <v>0.205641</v>
      </c>
      <c r="AB91" s="22">
        <v>0.27768</v>
      </c>
      <c r="AC91" s="22">
        <v>0.26891</v>
      </c>
      <c r="AD91" s="22">
        <v>0.237446</v>
      </c>
      <c r="AE91" s="22">
        <v>0.242019</v>
      </c>
      <c r="AF91" s="22">
        <v>0.274711</v>
      </c>
      <c r="AG91" s="22">
        <v>0.242019</v>
      </c>
      <c r="AH91" s="22">
        <v>0.15416</v>
      </c>
      <c r="AI91" s="22">
        <v>0.12917</v>
      </c>
      <c r="AJ91" s="22">
        <v>0.11725</v>
      </c>
      <c r="AK91" s="22">
        <v>0.10369</v>
      </c>
      <c r="AL91" s="22">
        <v>0.08932</v>
      </c>
      <c r="AM91" s="22">
        <v>0.13804</v>
      </c>
      <c r="AN91" s="22">
        <v>0.11658</v>
      </c>
      <c r="AO91" s="22">
        <v>0.10072</v>
      </c>
      <c r="AP91" s="28">
        <v>0.11658</v>
      </c>
      <c r="AQ91" s="28">
        <f t="shared" si="12"/>
        <v>0.098715</v>
      </c>
      <c r="AR91" s="28">
        <v>0.08085</v>
      </c>
      <c r="AS91" s="28">
        <v>0.08932</v>
      </c>
      <c r="AT91" s="28">
        <v>0.052691</v>
      </c>
      <c r="AU91" s="28">
        <v>0.10593</v>
      </c>
      <c r="AV91" s="28">
        <v>0.06579</v>
      </c>
      <c r="AX91" s="30">
        <f t="shared" si="14"/>
        <v>82</v>
      </c>
    </row>
    <row r="92" s="1" customFormat="1" ht="13.8" spans="3:50">
      <c r="C92" s="22"/>
      <c r="X92" s="9">
        <f t="shared" si="13"/>
        <v>83</v>
      </c>
      <c r="Y92" s="22">
        <v>0.28404</v>
      </c>
      <c r="Z92" s="22">
        <v>0.230733</v>
      </c>
      <c r="AA92" s="22">
        <v>0.224007</v>
      </c>
      <c r="AB92" s="22">
        <v>0.306889</v>
      </c>
      <c r="AC92" s="22">
        <v>0.296995</v>
      </c>
      <c r="AD92" s="22">
        <v>0.259025</v>
      </c>
      <c r="AE92" s="22">
        <v>0.286699</v>
      </c>
      <c r="AF92" s="22">
        <v>0.308079</v>
      </c>
      <c r="AG92" s="22">
        <v>0.286699</v>
      </c>
      <c r="AH92" s="22">
        <v>0.16657</v>
      </c>
      <c r="AI92" s="22">
        <v>0.13938</v>
      </c>
      <c r="AJ92" s="22">
        <v>0.12826</v>
      </c>
      <c r="AK92" s="22">
        <v>0.1123</v>
      </c>
      <c r="AL92" s="22">
        <v>0.097525</v>
      </c>
      <c r="AM92" s="22">
        <v>0.14851</v>
      </c>
      <c r="AN92" s="22">
        <v>0.12749</v>
      </c>
      <c r="AO92" s="22">
        <v>0.10823</v>
      </c>
      <c r="AP92" s="28">
        <v>0.12749</v>
      </c>
      <c r="AQ92" s="28">
        <f t="shared" si="12"/>
        <v>0.10816</v>
      </c>
      <c r="AR92" s="28">
        <v>0.08883</v>
      </c>
      <c r="AS92" s="28">
        <v>0.097525</v>
      </c>
      <c r="AT92" s="28">
        <v>0.058071</v>
      </c>
      <c r="AU92" s="28">
        <v>0.11683</v>
      </c>
      <c r="AV92" s="28">
        <v>0.07284</v>
      </c>
      <c r="AX92" s="30">
        <f t="shared" si="14"/>
        <v>83</v>
      </c>
    </row>
    <row r="93" s="1" customFormat="1" ht="13.8" spans="3:50">
      <c r="C93" s="22"/>
      <c r="X93" s="9">
        <f t="shared" si="13"/>
        <v>84</v>
      </c>
      <c r="Y93" s="22">
        <v>0.310752</v>
      </c>
      <c r="Z93" s="22">
        <v>0.254071</v>
      </c>
      <c r="AA93" s="22">
        <v>0.243762</v>
      </c>
      <c r="AB93" s="22">
        <v>0.340475</v>
      </c>
      <c r="AC93" s="22">
        <v>0.329491</v>
      </c>
      <c r="AD93" s="22">
        <v>0.282291</v>
      </c>
      <c r="AE93" s="22">
        <v>0.299951</v>
      </c>
      <c r="AF93" s="22">
        <v>0.351433</v>
      </c>
      <c r="AG93" s="22">
        <v>0.299951</v>
      </c>
      <c r="AH93" s="22">
        <v>0.17988</v>
      </c>
      <c r="AI93" s="22">
        <v>0.15001</v>
      </c>
      <c r="AJ93" s="22">
        <v>0.14025</v>
      </c>
      <c r="AK93" s="22">
        <v>0.12112</v>
      </c>
      <c r="AL93" s="22">
        <v>0.106047</v>
      </c>
      <c r="AM93" s="22">
        <v>0.15968</v>
      </c>
      <c r="AN93" s="22">
        <v>0.13934</v>
      </c>
      <c r="AO93" s="22">
        <v>0.11626</v>
      </c>
      <c r="AP93" s="28">
        <v>0.13934</v>
      </c>
      <c r="AQ93" s="28">
        <f t="shared" si="12"/>
        <v>0.118455</v>
      </c>
      <c r="AR93" s="28">
        <v>0.09757</v>
      </c>
      <c r="AS93" s="28">
        <v>0.106047</v>
      </c>
      <c r="AT93" s="28">
        <v>0.063807</v>
      </c>
      <c r="AU93" s="28">
        <v>0.12888</v>
      </c>
      <c r="AV93" s="28">
        <v>0.08061</v>
      </c>
      <c r="AX93" s="30">
        <f t="shared" si="14"/>
        <v>84</v>
      </c>
    </row>
    <row r="94" s="1" customFormat="1" ht="13.8" spans="3:50">
      <c r="C94" s="22"/>
      <c r="X94" s="9">
        <f t="shared" si="13"/>
        <v>85</v>
      </c>
      <c r="Y94" s="22">
        <v>0.339212</v>
      </c>
      <c r="Z94" s="22">
        <v>0.281739</v>
      </c>
      <c r="AA94" s="22">
        <v>0.266073</v>
      </c>
      <c r="AB94" s="22">
        <v>0.378925</v>
      </c>
      <c r="AC94" s="22">
        <v>0.366702</v>
      </c>
      <c r="AD94" s="22">
        <v>0.307116</v>
      </c>
      <c r="AE94" s="22">
        <v>0.332936</v>
      </c>
      <c r="AF94" s="22">
        <v>0.406091</v>
      </c>
      <c r="AG94" s="22">
        <v>0.332936</v>
      </c>
      <c r="AH94" s="22">
        <v>0.19413</v>
      </c>
      <c r="AI94" s="22">
        <v>0.16114</v>
      </c>
      <c r="AJ94" s="22">
        <v>0.15295</v>
      </c>
      <c r="AK94" s="22">
        <v>0.1301</v>
      </c>
      <c r="AL94" s="22">
        <v>0.114836</v>
      </c>
      <c r="AM94" s="22">
        <v>0.17157</v>
      </c>
      <c r="AN94" s="22">
        <v>0.15219</v>
      </c>
      <c r="AO94" s="22">
        <v>0.12484</v>
      </c>
      <c r="AP94" s="28">
        <v>0.15219</v>
      </c>
      <c r="AQ94" s="28">
        <f t="shared" si="12"/>
        <v>0.12965</v>
      </c>
      <c r="AR94" s="28">
        <v>0.10711</v>
      </c>
      <c r="AS94" s="28">
        <v>0.114836</v>
      </c>
      <c r="AT94" s="28">
        <v>0.069918</v>
      </c>
      <c r="AU94" s="28">
        <v>0.14241</v>
      </c>
      <c r="AV94" s="28">
        <v>0.08925</v>
      </c>
      <c r="AX94" s="30">
        <f t="shared" si="14"/>
        <v>85</v>
      </c>
    </row>
    <row r="95" s="1" customFormat="1" ht="13.8" spans="3:50">
      <c r="C95" s="22"/>
      <c r="X95" s="9">
        <f t="shared" si="13"/>
        <v>86</v>
      </c>
      <c r="Y95" s="22">
        <v>0.369568</v>
      </c>
      <c r="Z95" s="22">
        <v>0.315051</v>
      </c>
      <c r="AA95" s="22">
        <v>0.294501</v>
      </c>
      <c r="AB95" s="22">
        <v>0.429045</v>
      </c>
      <c r="AC95" s="22">
        <v>0.415201</v>
      </c>
      <c r="AD95" s="22">
        <v>0.333457</v>
      </c>
      <c r="AE95" s="22">
        <v>0.388683</v>
      </c>
      <c r="AF95" s="22">
        <v>0.475901</v>
      </c>
      <c r="AG95" s="22">
        <v>0.388683</v>
      </c>
      <c r="AH95" s="22">
        <v>0.20937</v>
      </c>
      <c r="AI95" s="22">
        <v>0.17282</v>
      </c>
      <c r="AJ95" s="22">
        <v>0.16609</v>
      </c>
      <c r="AK95" s="22">
        <v>0.13931</v>
      </c>
      <c r="AL95" s="22">
        <v>0.12417</v>
      </c>
      <c r="AM95" s="22">
        <v>0.18423</v>
      </c>
      <c r="AN95" s="22">
        <v>0.1661</v>
      </c>
      <c r="AO95" s="22">
        <v>0.134</v>
      </c>
      <c r="AP95" s="28">
        <v>0.1661</v>
      </c>
      <c r="AQ95" s="28">
        <f t="shared" si="12"/>
        <v>0.14181</v>
      </c>
      <c r="AR95" s="28">
        <v>0.11752</v>
      </c>
      <c r="AS95" s="28">
        <v>0.12417</v>
      </c>
      <c r="AT95" s="28">
        <v>0.07657</v>
      </c>
      <c r="AU95" s="28">
        <v>0.15738</v>
      </c>
      <c r="AV95" s="28">
        <v>0.09713</v>
      </c>
      <c r="AX95" s="30">
        <f t="shared" si="14"/>
        <v>86</v>
      </c>
    </row>
    <row r="96" s="1" customFormat="1" ht="13.8" spans="3:50">
      <c r="C96" s="22"/>
      <c r="X96" s="9">
        <f t="shared" si="13"/>
        <v>87</v>
      </c>
      <c r="Y96" s="22">
        <v>0.406706</v>
      </c>
      <c r="Z96" s="22">
        <v>0.361394</v>
      </c>
      <c r="AA96" s="22">
        <v>0.341199</v>
      </c>
      <c r="AB96" s="22">
        <v>0.497924</v>
      </c>
      <c r="AC96" s="22">
        <v>0.481864</v>
      </c>
      <c r="AD96" s="22">
        <v>0.361418</v>
      </c>
      <c r="AE96" s="22">
        <v>0.406118</v>
      </c>
      <c r="AF96" s="22">
        <v>0.564311</v>
      </c>
      <c r="AG96" s="22">
        <v>0.406118</v>
      </c>
      <c r="AH96" s="22">
        <v>0.22563</v>
      </c>
      <c r="AI96" s="22">
        <v>0.18513</v>
      </c>
      <c r="AJ96" s="22">
        <v>0.17955</v>
      </c>
      <c r="AK96" s="22">
        <v>0.14871</v>
      </c>
      <c r="AL96" s="22">
        <v>0.13387</v>
      </c>
      <c r="AM96" s="22">
        <v>0.19768</v>
      </c>
      <c r="AN96" s="22">
        <v>0.18115</v>
      </c>
      <c r="AO96" s="22">
        <v>0.14379</v>
      </c>
      <c r="AP96" s="28">
        <v>0.18115</v>
      </c>
      <c r="AQ96" s="28">
        <f t="shared" si="12"/>
        <v>0.155015</v>
      </c>
      <c r="AR96" s="28">
        <v>0.12888</v>
      </c>
      <c r="AS96" s="28">
        <v>0.13387</v>
      </c>
      <c r="AT96" s="28">
        <v>0.08387</v>
      </c>
      <c r="AU96" s="28">
        <v>0.17368</v>
      </c>
      <c r="AV96" s="28">
        <v>0.10893</v>
      </c>
      <c r="AX96" s="30">
        <f t="shared" si="14"/>
        <v>87</v>
      </c>
    </row>
    <row r="97" s="1" customFormat="1" ht="13.8" spans="3:50">
      <c r="C97" s="22"/>
      <c r="X97" s="9">
        <f t="shared" si="13"/>
        <v>88</v>
      </c>
      <c r="Y97" s="22">
        <v>0.494752</v>
      </c>
      <c r="Z97" s="22">
        <v>0.441906</v>
      </c>
      <c r="AA97" s="22">
        <v>0.429562</v>
      </c>
      <c r="AB97" s="22">
        <v>0.594311</v>
      </c>
      <c r="AC97" s="22">
        <v>0.575123</v>
      </c>
      <c r="AD97" s="22">
        <v>0.391026</v>
      </c>
      <c r="AE97" s="22">
        <v>0.44652</v>
      </c>
      <c r="AF97" s="22">
        <v>0.672452</v>
      </c>
      <c r="AG97" s="22">
        <v>0.44652</v>
      </c>
      <c r="AH97" s="22">
        <v>0.243</v>
      </c>
      <c r="AI97" s="22">
        <v>0.19825</v>
      </c>
      <c r="AJ97" s="22">
        <v>0.19327</v>
      </c>
      <c r="AK97" s="22">
        <v>0.15849</v>
      </c>
      <c r="AL97" s="22">
        <v>0.144073</v>
      </c>
      <c r="AM97" s="22">
        <v>0.21195</v>
      </c>
      <c r="AN97" s="22">
        <v>0.19739</v>
      </c>
      <c r="AO97" s="22">
        <v>0.15421</v>
      </c>
      <c r="AP97" s="28">
        <v>0.19739</v>
      </c>
      <c r="AQ97" s="28">
        <f t="shared" si="12"/>
        <v>0.169315</v>
      </c>
      <c r="AR97" s="28">
        <v>0.14124</v>
      </c>
      <c r="AS97" s="28">
        <v>0.144073</v>
      </c>
      <c r="AT97" s="28">
        <v>0.091935</v>
      </c>
      <c r="AU97" s="28">
        <v>0.1911</v>
      </c>
      <c r="AV97" s="28">
        <v>0.12131</v>
      </c>
      <c r="AX97" s="30">
        <f t="shared" si="14"/>
        <v>88</v>
      </c>
    </row>
    <row r="98" s="1" customFormat="1" ht="13.8" spans="3:50">
      <c r="C98" s="22"/>
      <c r="X98" s="9">
        <f t="shared" si="13"/>
        <v>89</v>
      </c>
      <c r="Y98" s="22">
        <v>0.677973</v>
      </c>
      <c r="Z98" s="22">
        <v>0.620574</v>
      </c>
      <c r="AA98" s="22">
        <v>0.610921</v>
      </c>
      <c r="AB98" s="22">
        <v>0.727806</v>
      </c>
      <c r="AC98" s="22">
        <v>0.704364</v>
      </c>
      <c r="AD98" s="22">
        <v>0.422059</v>
      </c>
      <c r="AE98" s="22">
        <v>0.827517</v>
      </c>
      <c r="AF98" s="22">
        <v>0.814704</v>
      </c>
      <c r="AG98" s="22">
        <v>0.827517</v>
      </c>
      <c r="AH98" s="22">
        <v>0.26144</v>
      </c>
      <c r="AI98" s="22">
        <v>0.21246</v>
      </c>
      <c r="AJ98" s="22">
        <v>0.20729</v>
      </c>
      <c r="AK98" s="22">
        <v>0.16871</v>
      </c>
      <c r="AL98" s="22">
        <v>0.154859</v>
      </c>
      <c r="AM98" s="22">
        <v>0.22708</v>
      </c>
      <c r="AN98" s="22">
        <v>0.21489</v>
      </c>
      <c r="AO98" s="22">
        <v>0.16532</v>
      </c>
      <c r="AP98" s="28">
        <v>0.21489</v>
      </c>
      <c r="AQ98" s="28">
        <f t="shared" si="12"/>
        <v>0.18479</v>
      </c>
      <c r="AR98" s="28">
        <v>0.15469</v>
      </c>
      <c r="AS98" s="28">
        <v>0.154859</v>
      </c>
      <c r="AT98" s="28">
        <v>0.101354</v>
      </c>
      <c r="AU98" s="28">
        <v>0.20945</v>
      </c>
      <c r="AV98" s="28">
        <v>0.1345</v>
      </c>
      <c r="AX98" s="30">
        <f t="shared" si="14"/>
        <v>89</v>
      </c>
    </row>
    <row r="99" s="1" customFormat="1" ht="13.8" spans="3:50">
      <c r="C99" s="22"/>
      <c r="X99" s="9">
        <f t="shared" si="13"/>
        <v>90</v>
      </c>
      <c r="Y99" s="22">
        <v>1</v>
      </c>
      <c r="Z99" s="22">
        <v>1</v>
      </c>
      <c r="AA99" s="22">
        <v>1</v>
      </c>
      <c r="AB99" s="22">
        <v>1</v>
      </c>
      <c r="AC99" s="22">
        <v>1</v>
      </c>
      <c r="AD99" s="22">
        <v>1</v>
      </c>
      <c r="AE99" s="22">
        <v>1</v>
      </c>
      <c r="AF99" s="22">
        <v>1</v>
      </c>
      <c r="AG99" s="22">
        <v>1</v>
      </c>
      <c r="AH99" s="22">
        <v>0.28099</v>
      </c>
      <c r="AI99" s="22">
        <v>0.22814</v>
      </c>
      <c r="AJ99" s="22">
        <v>0.22177</v>
      </c>
      <c r="AK99" s="22">
        <v>0.17945</v>
      </c>
      <c r="AL99" s="22">
        <v>0.166307</v>
      </c>
      <c r="AM99" s="22">
        <v>0.2431</v>
      </c>
      <c r="AN99" s="22">
        <v>0.23371</v>
      </c>
      <c r="AO99" s="22">
        <v>0.17714</v>
      </c>
      <c r="AP99" s="28">
        <v>0.23371</v>
      </c>
      <c r="AQ99" s="28">
        <f t="shared" si="12"/>
        <v>0.2015</v>
      </c>
      <c r="AR99" s="28">
        <v>0.16929</v>
      </c>
      <c r="AS99" s="28">
        <v>0.166307</v>
      </c>
      <c r="AT99" s="28">
        <v>0.11175</v>
      </c>
      <c r="AU99" s="28">
        <v>0.22853</v>
      </c>
      <c r="AV99" s="28">
        <v>0.14645</v>
      </c>
      <c r="AX99" s="30">
        <f t="shared" si="14"/>
        <v>90</v>
      </c>
    </row>
    <row r="100" s="1" customFormat="1" ht="13.8" spans="3:50">
      <c r="C100" s="22"/>
      <c r="X100" s="9">
        <f t="shared" si="13"/>
        <v>91</v>
      </c>
      <c r="Y100" s="22">
        <v>0</v>
      </c>
      <c r="Z100" s="22">
        <v>0</v>
      </c>
      <c r="AA100" s="22">
        <v>0</v>
      </c>
      <c r="AB100" s="22">
        <v>0</v>
      </c>
      <c r="AC100" s="22">
        <v>0</v>
      </c>
      <c r="AD100" s="22">
        <v>0</v>
      </c>
      <c r="AE100" s="22">
        <v>0</v>
      </c>
      <c r="AF100" s="22">
        <v>0</v>
      </c>
      <c r="AG100" s="22">
        <v>0</v>
      </c>
      <c r="AH100" s="22">
        <v>0.30173</v>
      </c>
      <c r="AI100" s="22">
        <v>0.24577</v>
      </c>
      <c r="AJ100" s="22">
        <v>0.23698</v>
      </c>
      <c r="AK100" s="22">
        <v>0.19049</v>
      </c>
      <c r="AL100" s="22">
        <v>0.178214</v>
      </c>
      <c r="AM100" s="22">
        <v>0.26002</v>
      </c>
      <c r="AN100" s="22">
        <v>0.25389</v>
      </c>
      <c r="AO100" s="22">
        <v>0.18971</v>
      </c>
      <c r="AP100" s="28">
        <v>0.25389</v>
      </c>
      <c r="AQ100" s="28">
        <f t="shared" si="12"/>
        <v>0.2195</v>
      </c>
      <c r="AR100" s="28">
        <v>0.18511</v>
      </c>
      <c r="AS100" s="28">
        <v>0.178214</v>
      </c>
      <c r="AT100" s="28">
        <v>0.123076</v>
      </c>
      <c r="AU100" s="28">
        <v>0.24638</v>
      </c>
      <c r="AV100" s="28">
        <v>0.15243</v>
      </c>
      <c r="AX100" s="30">
        <f t="shared" si="14"/>
        <v>91</v>
      </c>
    </row>
    <row r="101" s="1" customFormat="1" ht="13.8" spans="3:50">
      <c r="C101" s="22"/>
      <c r="X101" s="9">
        <f t="shared" si="13"/>
        <v>92</v>
      </c>
      <c r="Y101" s="22">
        <v>0</v>
      </c>
      <c r="Z101" s="22">
        <v>0</v>
      </c>
      <c r="AA101" s="22">
        <v>0</v>
      </c>
      <c r="AB101" s="22">
        <v>0</v>
      </c>
      <c r="AC101" s="22">
        <v>0</v>
      </c>
      <c r="AD101" s="22">
        <v>0</v>
      </c>
      <c r="AE101" s="22">
        <v>0</v>
      </c>
      <c r="AF101" s="22">
        <v>0</v>
      </c>
      <c r="AG101" s="22">
        <v>0</v>
      </c>
      <c r="AH101" s="22">
        <v>0.32364</v>
      </c>
      <c r="AI101" s="22">
        <v>0.26593</v>
      </c>
      <c r="AJ101" s="22">
        <v>0.25345</v>
      </c>
      <c r="AK101" s="22">
        <v>0.20168</v>
      </c>
      <c r="AL101" s="22">
        <v>0.19046</v>
      </c>
      <c r="AM101" s="22">
        <v>0.27787</v>
      </c>
      <c r="AN101" s="22">
        <v>0.27548</v>
      </c>
      <c r="AO101" s="22">
        <v>0.20306</v>
      </c>
      <c r="AP101" s="28">
        <v>0.27548</v>
      </c>
      <c r="AQ101" s="28">
        <f t="shared" si="12"/>
        <v>0.238855</v>
      </c>
      <c r="AR101" s="28">
        <v>0.20223</v>
      </c>
      <c r="AS101" s="28">
        <v>0.19046</v>
      </c>
      <c r="AT101" s="28">
        <v>0.13563</v>
      </c>
      <c r="AU101" s="28">
        <v>0.26496</v>
      </c>
      <c r="AV101" s="28">
        <v>0.16454</v>
      </c>
      <c r="AX101" s="30">
        <f t="shared" si="14"/>
        <v>92</v>
      </c>
    </row>
    <row r="102" s="1" customFormat="1" ht="13.8" spans="3:50">
      <c r="C102" s="22"/>
      <c r="X102" s="9">
        <f t="shared" si="13"/>
        <v>93</v>
      </c>
      <c r="Y102" s="22">
        <v>0</v>
      </c>
      <c r="Z102" s="22">
        <v>0</v>
      </c>
      <c r="AA102" s="22">
        <v>0</v>
      </c>
      <c r="AB102" s="22">
        <v>0</v>
      </c>
      <c r="AC102" s="22">
        <v>0</v>
      </c>
      <c r="AD102" s="22">
        <v>0</v>
      </c>
      <c r="AE102" s="22">
        <v>0</v>
      </c>
      <c r="AF102" s="22">
        <v>0</v>
      </c>
      <c r="AG102" s="22">
        <v>0</v>
      </c>
      <c r="AH102" s="22">
        <v>0.34666</v>
      </c>
      <c r="AI102" s="22">
        <v>0.2893</v>
      </c>
      <c r="AJ102" s="22">
        <v>0.27211</v>
      </c>
      <c r="AK102" s="22">
        <v>0.21299</v>
      </c>
      <c r="AL102" s="22">
        <v>0.203007</v>
      </c>
      <c r="AM102" s="22">
        <v>0.29666</v>
      </c>
      <c r="AN102" s="22">
        <v>0.29851</v>
      </c>
      <c r="AO102" s="22">
        <v>0.21722</v>
      </c>
      <c r="AP102" s="28">
        <v>0.29851</v>
      </c>
      <c r="AQ102" s="28">
        <f t="shared" si="12"/>
        <v>0.259605</v>
      </c>
      <c r="AR102" s="28">
        <v>0.2207</v>
      </c>
      <c r="AS102" s="28">
        <v>0.203007</v>
      </c>
      <c r="AT102" s="28">
        <v>0.149577</v>
      </c>
      <c r="AU102" s="28">
        <v>0.2845</v>
      </c>
      <c r="AV102" s="28">
        <v>0.18235</v>
      </c>
      <c r="AX102" s="30">
        <f t="shared" si="14"/>
        <v>93</v>
      </c>
    </row>
    <row r="103" s="1" customFormat="1" ht="13.8" spans="3:50">
      <c r="C103" s="22"/>
      <c r="X103" s="9">
        <f t="shared" si="13"/>
        <v>94</v>
      </c>
      <c r="Y103" s="22">
        <v>0</v>
      </c>
      <c r="Z103" s="22">
        <v>0</v>
      </c>
      <c r="AA103" s="22">
        <v>0</v>
      </c>
      <c r="AB103" s="22">
        <v>0</v>
      </c>
      <c r="AC103" s="22">
        <v>0</v>
      </c>
      <c r="AD103" s="22">
        <v>0</v>
      </c>
      <c r="AE103" s="22">
        <v>0</v>
      </c>
      <c r="AF103" s="22">
        <v>0</v>
      </c>
      <c r="AG103" s="22">
        <v>0</v>
      </c>
      <c r="AH103" s="22">
        <v>0.371</v>
      </c>
      <c r="AI103" s="22">
        <v>0.31666</v>
      </c>
      <c r="AJ103" s="22">
        <v>0.2959</v>
      </c>
      <c r="AK103" s="22">
        <v>0.22653</v>
      </c>
      <c r="AL103" s="22">
        <v>0.217904</v>
      </c>
      <c r="AM103" s="22">
        <v>0.31641</v>
      </c>
      <c r="AN103" s="22">
        <v>0.32301</v>
      </c>
      <c r="AO103" s="22">
        <v>0.2322</v>
      </c>
      <c r="AP103" s="28">
        <v>0.32301</v>
      </c>
      <c r="AQ103" s="28">
        <f t="shared" si="12"/>
        <v>0.281805</v>
      </c>
      <c r="AR103" s="28">
        <v>0.2406</v>
      </c>
      <c r="AS103" s="28">
        <v>0.217904</v>
      </c>
      <c r="AT103" s="28">
        <v>0.165103</v>
      </c>
      <c r="AU103" s="28">
        <v>0.30511</v>
      </c>
      <c r="AV103" s="28">
        <v>0.20488</v>
      </c>
      <c r="AX103" s="30">
        <f t="shared" si="14"/>
        <v>94</v>
      </c>
    </row>
    <row r="104" s="1" customFormat="1" ht="13.8" spans="3:50">
      <c r="C104" s="22"/>
      <c r="X104" s="9">
        <f t="shared" si="13"/>
        <v>95</v>
      </c>
      <c r="Y104" s="22">
        <v>0</v>
      </c>
      <c r="Z104" s="22">
        <v>0</v>
      </c>
      <c r="AA104" s="22">
        <v>0</v>
      </c>
      <c r="AB104" s="22">
        <v>0</v>
      </c>
      <c r="AC104" s="22">
        <v>0</v>
      </c>
      <c r="AD104" s="22">
        <v>0</v>
      </c>
      <c r="AE104" s="22">
        <v>0</v>
      </c>
      <c r="AF104" s="22">
        <v>0</v>
      </c>
      <c r="AG104" s="22">
        <v>0</v>
      </c>
      <c r="AH104" s="22">
        <v>0.39621</v>
      </c>
      <c r="AI104" s="22">
        <v>0.35124</v>
      </c>
      <c r="AJ104" s="22">
        <v>0.32996</v>
      </c>
      <c r="AK104" s="22">
        <v>0.24116</v>
      </c>
      <c r="AL104" s="22">
        <v>0.234086</v>
      </c>
      <c r="AM104" s="22">
        <v>0.33711</v>
      </c>
      <c r="AN104" s="22">
        <v>0.34897</v>
      </c>
      <c r="AO104" s="22">
        <v>0.24806</v>
      </c>
      <c r="AP104" s="28">
        <v>0.34897</v>
      </c>
      <c r="AQ104" s="28">
        <f t="shared" si="12"/>
        <v>0.30547</v>
      </c>
      <c r="AR104" s="28">
        <v>0.26197</v>
      </c>
      <c r="AS104" s="28">
        <v>0.234086</v>
      </c>
      <c r="AT104" s="28">
        <v>0.182419</v>
      </c>
      <c r="AU104" s="28">
        <v>0.32682</v>
      </c>
      <c r="AV104" s="28">
        <v>0.23305</v>
      </c>
      <c r="AX104" s="30">
        <f t="shared" si="14"/>
        <v>95</v>
      </c>
    </row>
    <row r="105" s="1" customFormat="1" ht="13.8" spans="3:50">
      <c r="C105" s="22"/>
      <c r="X105" s="9">
        <f t="shared" si="13"/>
        <v>96</v>
      </c>
      <c r="Y105" s="22">
        <v>0</v>
      </c>
      <c r="Z105" s="22">
        <v>0</v>
      </c>
      <c r="AA105" s="22">
        <v>0</v>
      </c>
      <c r="AB105" s="22">
        <v>0</v>
      </c>
      <c r="AC105" s="22">
        <v>0</v>
      </c>
      <c r="AD105" s="22">
        <v>0</v>
      </c>
      <c r="AE105" s="22">
        <v>0</v>
      </c>
      <c r="AF105" s="22">
        <v>0</v>
      </c>
      <c r="AG105" s="22">
        <v>0</v>
      </c>
      <c r="AH105" s="22">
        <v>0.44719</v>
      </c>
      <c r="AI105" s="22">
        <v>0.40056</v>
      </c>
      <c r="AJ105" s="22">
        <v>0.38455</v>
      </c>
      <c r="AK105" s="22">
        <v>0.2562</v>
      </c>
      <c r="AL105" s="22">
        <v>0.248436</v>
      </c>
      <c r="AM105" s="22">
        <v>0.35876</v>
      </c>
      <c r="AN105" s="22">
        <v>0.37639</v>
      </c>
      <c r="AO105" s="22">
        <v>0.2648</v>
      </c>
      <c r="AP105" s="28">
        <v>0.37639</v>
      </c>
      <c r="AQ105" s="28">
        <f t="shared" si="12"/>
        <v>0.33063</v>
      </c>
      <c r="AR105" s="28">
        <v>0.28487</v>
      </c>
      <c r="AS105" s="28">
        <v>0.248436</v>
      </c>
      <c r="AT105" s="28">
        <v>0.201757</v>
      </c>
      <c r="AU105" s="28">
        <v>0.34662</v>
      </c>
      <c r="AV105" s="28">
        <v>0.25962</v>
      </c>
      <c r="AX105" s="30">
        <f t="shared" si="14"/>
        <v>96</v>
      </c>
    </row>
    <row r="106" s="1" customFormat="1" ht="13.8" spans="24:50">
      <c r="X106" s="9">
        <f t="shared" si="13"/>
        <v>97</v>
      </c>
      <c r="Y106" s="22">
        <v>0</v>
      </c>
      <c r="Z106" s="22">
        <v>0</v>
      </c>
      <c r="AA106" s="22">
        <v>0</v>
      </c>
      <c r="AB106" s="22">
        <v>0</v>
      </c>
      <c r="AC106" s="22">
        <v>0</v>
      </c>
      <c r="AD106" s="22">
        <v>0</v>
      </c>
      <c r="AE106" s="22">
        <v>0</v>
      </c>
      <c r="AF106" s="22">
        <v>0</v>
      </c>
      <c r="AG106" s="22">
        <v>0</v>
      </c>
      <c r="AH106" s="22">
        <v>0.54826</v>
      </c>
      <c r="AI106" s="22">
        <v>0.48842</v>
      </c>
      <c r="AJ106" s="22">
        <v>0.4802</v>
      </c>
      <c r="AK106" s="22">
        <v>0.27248</v>
      </c>
      <c r="AL106" s="22">
        <v>0.263954</v>
      </c>
      <c r="AM106" s="22">
        <v>0.38135</v>
      </c>
      <c r="AN106" s="22">
        <v>0.40523</v>
      </c>
      <c r="AO106" s="22">
        <v>0.28352</v>
      </c>
      <c r="AP106" s="28">
        <v>0.40523</v>
      </c>
      <c r="AQ106" s="28">
        <f t="shared" si="12"/>
        <v>0.357275</v>
      </c>
      <c r="AR106" s="28">
        <v>0.30932</v>
      </c>
      <c r="AS106" s="28">
        <v>0.263954</v>
      </c>
      <c r="AT106" s="28">
        <v>0.222044</v>
      </c>
      <c r="AU106" s="28">
        <v>0.3677</v>
      </c>
      <c r="AV106" s="28">
        <v>0.2872</v>
      </c>
      <c r="AX106" s="30">
        <f t="shared" si="14"/>
        <v>97</v>
      </c>
    </row>
    <row r="107" s="1" customFormat="1" ht="13.8" spans="24:50">
      <c r="X107" s="9">
        <f t="shared" si="13"/>
        <v>98</v>
      </c>
      <c r="Y107" s="22">
        <v>0</v>
      </c>
      <c r="Z107" s="22">
        <v>0</v>
      </c>
      <c r="AA107" s="22">
        <v>0</v>
      </c>
      <c r="AB107" s="22">
        <v>0</v>
      </c>
      <c r="AC107" s="22">
        <v>0</v>
      </c>
      <c r="AD107" s="22">
        <v>0</v>
      </c>
      <c r="AE107" s="22">
        <v>0</v>
      </c>
      <c r="AF107" s="22">
        <v>0</v>
      </c>
      <c r="AG107" s="22">
        <v>0</v>
      </c>
      <c r="AH107" s="22">
        <v>0.72467</v>
      </c>
      <c r="AI107" s="22">
        <v>0.66815</v>
      </c>
      <c r="AJ107" s="22">
        <v>0.65798</v>
      </c>
      <c r="AK107" s="22">
        <v>0.29016</v>
      </c>
      <c r="AL107" s="22">
        <v>0.280803</v>
      </c>
      <c r="AM107" s="22">
        <v>0.40485</v>
      </c>
      <c r="AN107" s="22">
        <v>0.43542</v>
      </c>
      <c r="AO107" s="22">
        <v>0.30578</v>
      </c>
      <c r="AP107" s="28">
        <v>0.43542</v>
      </c>
      <c r="AQ107" s="28">
        <f t="shared" si="12"/>
        <v>0.38538</v>
      </c>
      <c r="AR107" s="28">
        <v>0.33534</v>
      </c>
      <c r="AS107" s="28">
        <v>0.280803</v>
      </c>
      <c r="AT107" s="28">
        <v>0.243899</v>
      </c>
      <c r="AU107" s="28">
        <v>0.39016</v>
      </c>
      <c r="AV107" s="28">
        <v>0.29173</v>
      </c>
      <c r="AX107" s="30">
        <f t="shared" si="14"/>
        <v>98</v>
      </c>
    </row>
    <row r="108" s="1" customFormat="1" ht="13.8" spans="24:50">
      <c r="X108" s="9">
        <f t="shared" si="13"/>
        <v>99</v>
      </c>
      <c r="Y108" s="22">
        <v>0</v>
      </c>
      <c r="Z108" s="22">
        <v>0</v>
      </c>
      <c r="AA108" s="22">
        <v>0</v>
      </c>
      <c r="AB108" s="22">
        <v>0</v>
      </c>
      <c r="AC108" s="22">
        <v>0</v>
      </c>
      <c r="AD108" s="22">
        <v>0</v>
      </c>
      <c r="AE108" s="22">
        <v>0</v>
      </c>
      <c r="AF108" s="22">
        <v>0</v>
      </c>
      <c r="AG108" s="22">
        <v>0</v>
      </c>
      <c r="AH108" s="22">
        <v>1</v>
      </c>
      <c r="AI108" s="22">
        <v>1</v>
      </c>
      <c r="AJ108" s="22">
        <v>1</v>
      </c>
      <c r="AK108" s="22">
        <v>0.30912</v>
      </c>
      <c r="AL108" s="22">
        <v>0.299154</v>
      </c>
      <c r="AM108" s="22">
        <v>0.42923</v>
      </c>
      <c r="AN108" s="22">
        <v>0.46687</v>
      </c>
      <c r="AO108" s="22">
        <v>0.33184</v>
      </c>
      <c r="AP108" s="28">
        <v>0.46687</v>
      </c>
      <c r="AQ108" s="28">
        <f t="shared" si="12"/>
        <v>0.414895</v>
      </c>
      <c r="AR108" s="28">
        <v>0.36292</v>
      </c>
      <c r="AS108" s="28">
        <v>0.299154</v>
      </c>
      <c r="AT108" s="28">
        <v>0.268185</v>
      </c>
      <c r="AU108" s="28">
        <v>0.41413</v>
      </c>
      <c r="AV108" s="28">
        <v>0.30759</v>
      </c>
      <c r="AX108" s="30">
        <f t="shared" si="14"/>
        <v>99</v>
      </c>
    </row>
    <row r="109" s="1" customFormat="1" ht="13.8" spans="24:50">
      <c r="X109" s="9">
        <f t="shared" si="13"/>
        <v>100</v>
      </c>
      <c r="Y109" s="22">
        <v>0</v>
      </c>
      <c r="Z109" s="22">
        <v>0</v>
      </c>
      <c r="AA109" s="22">
        <v>0</v>
      </c>
      <c r="AB109" s="22">
        <v>0</v>
      </c>
      <c r="AC109" s="22">
        <v>0</v>
      </c>
      <c r="AD109" s="22">
        <v>0</v>
      </c>
      <c r="AE109" s="22">
        <v>0</v>
      </c>
      <c r="AF109" s="22">
        <v>0</v>
      </c>
      <c r="AG109" s="22">
        <v>0</v>
      </c>
      <c r="AH109" s="22">
        <v>0</v>
      </c>
      <c r="AI109" s="22">
        <v>0</v>
      </c>
      <c r="AJ109" s="22">
        <v>0</v>
      </c>
      <c r="AK109" s="22">
        <v>0.32983</v>
      </c>
      <c r="AL109" s="22">
        <v>0.319185</v>
      </c>
      <c r="AM109" s="22">
        <v>1</v>
      </c>
      <c r="AN109" s="22">
        <v>0.49945</v>
      </c>
      <c r="AO109" s="22">
        <v>0.36212</v>
      </c>
      <c r="AP109" s="28">
        <v>0.49945</v>
      </c>
      <c r="AQ109" s="28">
        <f t="shared" si="12"/>
        <v>0.44575</v>
      </c>
      <c r="AR109" s="28">
        <v>0.39205</v>
      </c>
      <c r="AS109" s="28">
        <v>0.319185</v>
      </c>
      <c r="AT109" s="28">
        <v>0.295187</v>
      </c>
      <c r="AU109" s="28">
        <v>0.43974</v>
      </c>
      <c r="AV109" s="28">
        <v>0.33241</v>
      </c>
      <c r="AX109" s="30">
        <f t="shared" si="14"/>
        <v>100</v>
      </c>
    </row>
    <row r="110" s="1" customFormat="1" ht="13.8" spans="24:50">
      <c r="X110" s="9">
        <f t="shared" si="13"/>
        <v>101</v>
      </c>
      <c r="Y110" s="22">
        <v>0</v>
      </c>
      <c r="Z110" s="22">
        <v>0</v>
      </c>
      <c r="AA110" s="22">
        <v>0</v>
      </c>
      <c r="AB110" s="22">
        <v>0</v>
      </c>
      <c r="AC110" s="22">
        <v>0</v>
      </c>
      <c r="AD110" s="22">
        <v>0</v>
      </c>
      <c r="AE110" s="22">
        <v>0</v>
      </c>
      <c r="AF110" s="22">
        <v>0</v>
      </c>
      <c r="AG110" s="22">
        <v>0</v>
      </c>
      <c r="AH110" s="22">
        <v>0</v>
      </c>
      <c r="AI110" s="22">
        <v>0</v>
      </c>
      <c r="AJ110" s="22">
        <v>0</v>
      </c>
      <c r="AK110" s="22">
        <v>0.35245</v>
      </c>
      <c r="AL110" s="22">
        <v>0.341086</v>
      </c>
      <c r="AM110" s="22">
        <v>0</v>
      </c>
      <c r="AN110" s="22">
        <v>1</v>
      </c>
      <c r="AO110" s="22">
        <v>0.39758</v>
      </c>
      <c r="AP110" s="28">
        <v>1</v>
      </c>
      <c r="AQ110" s="28">
        <v>1</v>
      </c>
      <c r="AR110" s="28">
        <v>0.42265</v>
      </c>
      <c r="AS110" s="28">
        <v>0.341086</v>
      </c>
      <c r="AT110" s="28">
        <v>0.325225</v>
      </c>
      <c r="AU110" s="28">
        <v>0.45994</v>
      </c>
      <c r="AV110" s="28">
        <v>0.35918</v>
      </c>
      <c r="AX110" s="30">
        <f t="shared" si="14"/>
        <v>101</v>
      </c>
    </row>
    <row r="111" s="1" customFormat="1" ht="13.8" spans="24:50">
      <c r="X111" s="9">
        <f t="shared" si="13"/>
        <v>102</v>
      </c>
      <c r="Y111" s="22">
        <v>0</v>
      </c>
      <c r="Z111" s="22">
        <v>0</v>
      </c>
      <c r="AA111" s="22">
        <v>0</v>
      </c>
      <c r="AB111" s="22">
        <v>0</v>
      </c>
      <c r="AC111" s="22">
        <v>0</v>
      </c>
      <c r="AD111" s="22">
        <v>0</v>
      </c>
      <c r="AE111" s="22">
        <v>0</v>
      </c>
      <c r="AF111" s="22">
        <v>0</v>
      </c>
      <c r="AG111" s="22">
        <v>0</v>
      </c>
      <c r="AH111" s="22">
        <v>0</v>
      </c>
      <c r="AI111" s="22">
        <v>0</v>
      </c>
      <c r="AJ111" s="22">
        <v>0</v>
      </c>
      <c r="AK111" s="22">
        <v>0.37722</v>
      </c>
      <c r="AL111" s="22">
        <v>0.365052</v>
      </c>
      <c r="AM111" s="22">
        <v>0</v>
      </c>
      <c r="AN111" s="22">
        <v>0</v>
      </c>
      <c r="AO111" s="22">
        <v>0.43892</v>
      </c>
      <c r="AP111" s="28"/>
      <c r="AQ111" s="28"/>
      <c r="AR111" s="28">
        <v>0.45465</v>
      </c>
      <c r="AS111" s="28">
        <v>0.365052</v>
      </c>
      <c r="AT111" s="28">
        <v>0.358897</v>
      </c>
      <c r="AU111" s="28">
        <v>0.48143</v>
      </c>
      <c r="AV111" s="28">
        <v>0.38871</v>
      </c>
      <c r="AX111" s="30">
        <f t="shared" si="14"/>
        <v>102</v>
      </c>
    </row>
    <row r="112" s="1" customFormat="1" ht="13.8" spans="24:50">
      <c r="X112" s="9">
        <f t="shared" si="13"/>
        <v>103</v>
      </c>
      <c r="Y112" s="22">
        <v>0</v>
      </c>
      <c r="Z112" s="22">
        <v>0</v>
      </c>
      <c r="AA112" s="22">
        <v>0</v>
      </c>
      <c r="AB112" s="22">
        <v>0</v>
      </c>
      <c r="AC112" s="22">
        <v>0</v>
      </c>
      <c r="AD112" s="22">
        <v>0</v>
      </c>
      <c r="AE112" s="22">
        <v>0</v>
      </c>
      <c r="AF112" s="22">
        <v>0</v>
      </c>
      <c r="AG112" s="22">
        <v>0</v>
      </c>
      <c r="AH112" s="22">
        <v>0</v>
      </c>
      <c r="AI112" s="22">
        <v>0</v>
      </c>
      <c r="AJ112" s="22">
        <v>0</v>
      </c>
      <c r="AK112" s="22">
        <v>0.40621</v>
      </c>
      <c r="AL112" s="22">
        <v>0.393102</v>
      </c>
      <c r="AM112" s="22">
        <v>0</v>
      </c>
      <c r="AN112" s="22">
        <v>0</v>
      </c>
      <c r="AO112" s="22">
        <v>0.48728</v>
      </c>
      <c r="AP112" s="28"/>
      <c r="AQ112" s="28"/>
      <c r="AR112" s="28">
        <v>0.48791</v>
      </c>
      <c r="AS112" s="28">
        <v>0.393102</v>
      </c>
      <c r="AT112" s="28">
        <v>0.395843</v>
      </c>
      <c r="AU112" s="28">
        <v>0.50431</v>
      </c>
      <c r="AV112" s="28">
        <v>0.42124</v>
      </c>
      <c r="AX112" s="30">
        <f t="shared" si="14"/>
        <v>103</v>
      </c>
    </row>
    <row r="113" s="1" customFormat="1" ht="13.8" spans="24:50">
      <c r="X113" s="9">
        <f t="shared" si="13"/>
        <v>104</v>
      </c>
      <c r="Y113" s="22">
        <v>0</v>
      </c>
      <c r="Z113" s="22">
        <v>0</v>
      </c>
      <c r="AA113" s="22">
        <v>0</v>
      </c>
      <c r="AB113" s="22">
        <v>0</v>
      </c>
      <c r="AC113" s="22">
        <v>0</v>
      </c>
      <c r="AD113" s="22">
        <v>0</v>
      </c>
      <c r="AE113" s="22">
        <v>0</v>
      </c>
      <c r="AF113" s="22">
        <v>0</v>
      </c>
      <c r="AG113" s="22">
        <v>0</v>
      </c>
      <c r="AH113" s="22">
        <v>0</v>
      </c>
      <c r="AI113" s="22">
        <v>0</v>
      </c>
      <c r="AJ113" s="22">
        <v>0</v>
      </c>
      <c r="AK113" s="22">
        <v>0.4415</v>
      </c>
      <c r="AL113" s="22">
        <v>0.427255</v>
      </c>
      <c r="AM113" s="22">
        <v>0</v>
      </c>
      <c r="AN113" s="22">
        <v>0</v>
      </c>
      <c r="AO113" s="22">
        <v>0.54225</v>
      </c>
      <c r="AP113" s="28"/>
      <c r="AQ113" s="28"/>
      <c r="AR113" s="28">
        <v>1</v>
      </c>
      <c r="AS113" s="28">
        <v>0.427255</v>
      </c>
      <c r="AT113" s="28">
        <v>0.43836</v>
      </c>
      <c r="AU113" s="28">
        <v>0.52864</v>
      </c>
      <c r="AV113" s="28">
        <v>0.45705</v>
      </c>
      <c r="AX113" s="30">
        <f t="shared" si="14"/>
        <v>104</v>
      </c>
    </row>
    <row r="114" s="1" customFormat="1" ht="13.8" spans="24:50">
      <c r="X114" s="9">
        <f t="shared" si="13"/>
        <v>105</v>
      </c>
      <c r="Y114" s="22">
        <v>0</v>
      </c>
      <c r="Z114" s="22">
        <v>0</v>
      </c>
      <c r="AA114" s="22">
        <v>0</v>
      </c>
      <c r="AB114" s="22">
        <v>0</v>
      </c>
      <c r="AC114" s="22">
        <v>0</v>
      </c>
      <c r="AD114" s="22">
        <v>0</v>
      </c>
      <c r="AE114" s="22">
        <v>0</v>
      </c>
      <c r="AF114" s="22">
        <v>0</v>
      </c>
      <c r="AG114" s="22">
        <v>0</v>
      </c>
      <c r="AH114" s="22">
        <v>0</v>
      </c>
      <c r="AI114" s="22">
        <v>0</v>
      </c>
      <c r="AJ114" s="22">
        <v>0</v>
      </c>
      <c r="AK114" s="22">
        <v>0.48518</v>
      </c>
      <c r="AL114" s="22">
        <v>0.469531</v>
      </c>
      <c r="AM114" s="22">
        <v>0</v>
      </c>
      <c r="AN114" s="22">
        <v>0</v>
      </c>
      <c r="AO114" s="22">
        <v>0.61044</v>
      </c>
      <c r="AP114" s="28"/>
      <c r="AQ114" s="28"/>
      <c r="AR114" s="28"/>
      <c r="AS114" s="28">
        <v>0.469531</v>
      </c>
      <c r="AT114" s="28">
        <v>0.487816</v>
      </c>
      <c r="AU114" s="28">
        <v>0.5545</v>
      </c>
      <c r="AV114" s="28">
        <v>0.4958</v>
      </c>
      <c r="AX114" s="30">
        <f t="shared" si="14"/>
        <v>105</v>
      </c>
    </row>
    <row r="115" s="1" customFormat="1" ht="13.8" spans="24:50">
      <c r="X115" s="9">
        <f t="shared" si="13"/>
        <v>106</v>
      </c>
      <c r="Y115" s="22">
        <v>0</v>
      </c>
      <c r="Z115" s="22">
        <v>0</v>
      </c>
      <c r="AA115" s="22">
        <v>0</v>
      </c>
      <c r="AB115" s="22">
        <v>0</v>
      </c>
      <c r="AC115" s="22">
        <v>0</v>
      </c>
      <c r="AD115" s="22">
        <v>0</v>
      </c>
      <c r="AE115" s="22">
        <v>0</v>
      </c>
      <c r="AF115" s="22">
        <v>0</v>
      </c>
      <c r="AG115" s="22">
        <v>0</v>
      </c>
      <c r="AH115" s="22">
        <v>0</v>
      </c>
      <c r="AI115" s="22">
        <v>0</v>
      </c>
      <c r="AJ115" s="22">
        <v>0</v>
      </c>
      <c r="AK115" s="22">
        <v>0.53934</v>
      </c>
      <c r="AL115" s="22">
        <v>0.521945</v>
      </c>
      <c r="AM115" s="22">
        <v>0</v>
      </c>
      <c r="AN115" s="22">
        <v>0</v>
      </c>
      <c r="AO115" s="22">
        <v>0.68072</v>
      </c>
      <c r="AP115" s="28"/>
      <c r="AQ115" s="28"/>
      <c r="AR115" s="28"/>
      <c r="AS115" s="28">
        <v>0.521945</v>
      </c>
      <c r="AT115" s="28">
        <v>0.545886</v>
      </c>
      <c r="AU115" s="28">
        <v>0.58198</v>
      </c>
      <c r="AV115" s="28">
        <v>0.53553</v>
      </c>
      <c r="AX115" s="30">
        <f t="shared" si="14"/>
        <v>106</v>
      </c>
    </row>
    <row r="116" s="1" customFormat="1" ht="13.8" spans="24:50">
      <c r="X116" s="9">
        <f t="shared" si="13"/>
        <v>107</v>
      </c>
      <c r="Y116" s="22">
        <v>0</v>
      </c>
      <c r="Z116" s="22">
        <v>0</v>
      </c>
      <c r="AA116" s="22">
        <v>0</v>
      </c>
      <c r="AB116" s="22">
        <v>0</v>
      </c>
      <c r="AC116" s="22">
        <v>0</v>
      </c>
      <c r="AD116" s="22">
        <v>0</v>
      </c>
      <c r="AE116" s="22">
        <v>0</v>
      </c>
      <c r="AF116" s="22">
        <v>0</v>
      </c>
      <c r="AG116" s="22">
        <v>0</v>
      </c>
      <c r="AH116" s="22">
        <v>0</v>
      </c>
      <c r="AI116" s="22">
        <v>0</v>
      </c>
      <c r="AJ116" s="22">
        <v>0</v>
      </c>
      <c r="AK116" s="22">
        <v>0.60609</v>
      </c>
      <c r="AL116" s="22">
        <v>0.586518</v>
      </c>
      <c r="AM116" s="22">
        <v>0</v>
      </c>
      <c r="AN116" s="22">
        <v>0</v>
      </c>
      <c r="AO116" s="22">
        <v>0.8</v>
      </c>
      <c r="AP116" s="28"/>
      <c r="AQ116" s="28"/>
      <c r="AR116" s="28"/>
      <c r="AS116" s="28">
        <v>0.586518</v>
      </c>
      <c r="AT116" s="28">
        <v>0.614309</v>
      </c>
      <c r="AU116" s="28">
        <v>0.61119</v>
      </c>
      <c r="AV116" s="28">
        <v>0.57626</v>
      </c>
      <c r="AX116" s="30">
        <f t="shared" si="14"/>
        <v>107</v>
      </c>
    </row>
    <row r="117" s="1" customFormat="1" ht="13.8" spans="24:50">
      <c r="X117" s="9">
        <f t="shared" si="13"/>
        <v>108</v>
      </c>
      <c r="Y117" s="22">
        <v>0</v>
      </c>
      <c r="Z117" s="22">
        <v>0</v>
      </c>
      <c r="AA117" s="22">
        <v>0</v>
      </c>
      <c r="AB117" s="22">
        <v>0</v>
      </c>
      <c r="AC117" s="22">
        <v>0</v>
      </c>
      <c r="AD117" s="22">
        <v>0</v>
      </c>
      <c r="AE117" s="22">
        <v>0</v>
      </c>
      <c r="AF117" s="22">
        <v>0</v>
      </c>
      <c r="AG117" s="22">
        <v>0</v>
      </c>
      <c r="AH117" s="22">
        <v>0</v>
      </c>
      <c r="AI117" s="22">
        <v>0</v>
      </c>
      <c r="AJ117" s="22">
        <v>0</v>
      </c>
      <c r="AK117" s="22">
        <v>0.68747</v>
      </c>
      <c r="AL117" s="22">
        <v>0.665268</v>
      </c>
      <c r="AM117" s="22">
        <v>0</v>
      </c>
      <c r="AN117" s="22">
        <v>0</v>
      </c>
      <c r="AO117" s="22">
        <v>0.83333</v>
      </c>
      <c r="AP117" s="28"/>
      <c r="AQ117" s="28"/>
      <c r="AR117" s="28"/>
      <c r="AS117" s="28">
        <v>0.665268</v>
      </c>
      <c r="AT117" s="28">
        <v>0.694885</v>
      </c>
      <c r="AU117" s="28">
        <v>0.64222</v>
      </c>
      <c r="AV117" s="28">
        <v>0.61725</v>
      </c>
      <c r="AX117" s="30">
        <f t="shared" si="14"/>
        <v>108</v>
      </c>
    </row>
    <row r="118" s="1" customFormat="1" ht="13.8" spans="24:50">
      <c r="X118" s="9">
        <f t="shared" si="13"/>
        <v>109</v>
      </c>
      <c r="Y118" s="22">
        <v>0</v>
      </c>
      <c r="Z118" s="22">
        <v>0</v>
      </c>
      <c r="AA118" s="22">
        <v>0</v>
      </c>
      <c r="AB118" s="22">
        <v>0</v>
      </c>
      <c r="AC118" s="22">
        <v>0</v>
      </c>
      <c r="AD118" s="22">
        <v>0</v>
      </c>
      <c r="AE118" s="22">
        <v>0</v>
      </c>
      <c r="AF118" s="22">
        <v>0</v>
      </c>
      <c r="AG118" s="22">
        <v>0</v>
      </c>
      <c r="AH118" s="22">
        <v>0</v>
      </c>
      <c r="AI118" s="22">
        <v>0</v>
      </c>
      <c r="AJ118" s="22">
        <v>0</v>
      </c>
      <c r="AK118" s="22">
        <v>0.78543</v>
      </c>
      <c r="AL118" s="22">
        <v>0.760215</v>
      </c>
      <c r="AM118" s="22">
        <v>0</v>
      </c>
      <c r="AN118" s="22">
        <v>0</v>
      </c>
      <c r="AO118" s="22">
        <v>1</v>
      </c>
      <c r="AP118" s="28"/>
      <c r="AQ118" s="28"/>
      <c r="AR118" s="28"/>
      <c r="AS118" s="28">
        <v>0.7602151</v>
      </c>
      <c r="AT118" s="28">
        <v>0.789474</v>
      </c>
      <c r="AU118" s="28">
        <v>0.67518</v>
      </c>
      <c r="AV118" s="28">
        <v>0.65996</v>
      </c>
      <c r="AX118" s="30">
        <f t="shared" si="14"/>
        <v>109</v>
      </c>
    </row>
    <row r="119" s="1" customFormat="1" ht="13.8" spans="24:50">
      <c r="X119" s="9">
        <f t="shared" si="13"/>
        <v>110</v>
      </c>
      <c r="Y119" s="22">
        <v>0</v>
      </c>
      <c r="Z119" s="22">
        <v>0</v>
      </c>
      <c r="AA119" s="22">
        <v>0</v>
      </c>
      <c r="AB119" s="22">
        <v>0</v>
      </c>
      <c r="AC119" s="22">
        <v>0</v>
      </c>
      <c r="AD119" s="22">
        <v>0</v>
      </c>
      <c r="AE119" s="22">
        <v>0</v>
      </c>
      <c r="AF119" s="22">
        <v>0</v>
      </c>
      <c r="AG119" s="22">
        <v>0</v>
      </c>
      <c r="AH119" s="22">
        <v>0</v>
      </c>
      <c r="AI119" s="22">
        <v>0</v>
      </c>
      <c r="AJ119" s="22">
        <v>0</v>
      </c>
      <c r="AK119" s="22">
        <v>1</v>
      </c>
      <c r="AL119" s="22">
        <v>1</v>
      </c>
      <c r="AM119" s="22">
        <v>0</v>
      </c>
      <c r="AN119" s="22">
        <v>0</v>
      </c>
      <c r="AO119" s="22">
        <v>0</v>
      </c>
      <c r="AP119" s="28"/>
      <c r="AQ119" s="28"/>
      <c r="AR119" s="28"/>
      <c r="AS119" s="28">
        <v>1</v>
      </c>
      <c r="AT119" s="28">
        <v>1</v>
      </c>
      <c r="AU119" s="28">
        <v>0.71016</v>
      </c>
      <c r="AV119" s="28">
        <v>0.70366</v>
      </c>
      <c r="AX119" s="30">
        <f t="shared" si="14"/>
        <v>110</v>
      </c>
    </row>
    <row r="120" s="1" customFormat="1" ht="13.8" spans="47:50">
      <c r="AU120" s="28">
        <v>1</v>
      </c>
      <c r="AV120" s="28">
        <v>1</v>
      </c>
      <c r="AX120" s="30">
        <f t="shared" si="14"/>
        <v>111</v>
      </c>
    </row>
  </sheetData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Arya Augusta</dc:creator>
  <cp:lastModifiedBy>user</cp:lastModifiedBy>
  <dcterms:created xsi:type="dcterms:W3CDTF">2026-06-12T11:02:00Z</dcterms:created>
  <dcterms:modified xsi:type="dcterms:W3CDTF">2026-09-15T08:56:16Z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EA0726E881F8485194FE43F0033AA39D_12</vt:lpwstr>
  </property>
  <property fmtid="{D5CDD505-2E9C-101B-9397-08002B2CF9AE}" pid="3" name="KSOProductBuildVer">
    <vt:lpwstr>1033-12.2.0.23206</vt:lpwstr>
  </property>
</Properties>
</file>