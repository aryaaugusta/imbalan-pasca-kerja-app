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yax punya\2026\KKA VAB\Aplikasi\imbalan-pasca-kerja-app\data\file\"/>
    </mc:Choice>
  </mc:AlternateContent>
  <xr:revisionPtr revIDLastSave="0" documentId="13_ncr:1_{E4B8343A-BDC6-44D0-8097-FF72F38F1B7C}" xr6:coauthVersionLast="47" xr6:coauthVersionMax="47" xr10:uidLastSave="{00000000-0000-0000-0000-000000000000}"/>
  <bookViews>
    <workbookView xWindow="-108" yWindow="-108" windowWidth="23256" windowHeight="12456" xr2:uid="{F13F3C63-F4E3-4D7D-949D-333584CBF9CF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47" i="1" l="1"/>
  <c r="AN47" i="1" s="1"/>
  <c r="AI47" i="1"/>
  <c r="AJ47" i="1" s="1"/>
  <c r="AC47" i="1"/>
  <c r="AD47" i="1" s="1"/>
  <c r="AF47" i="1" s="1"/>
  <c r="AG47" i="1" s="1"/>
  <c r="AL46" i="1"/>
  <c r="AN46" i="1" s="1"/>
  <c r="AI46" i="1"/>
  <c r="AJ46" i="1" s="1"/>
  <c r="AC46" i="1"/>
  <c r="AD46" i="1" s="1"/>
  <c r="AF46" i="1" s="1"/>
  <c r="AG46" i="1" s="1"/>
  <c r="AL45" i="1"/>
  <c r="AN45" i="1" s="1"/>
  <c r="AI45" i="1"/>
  <c r="AJ45" i="1" s="1"/>
  <c r="AC45" i="1"/>
  <c r="AD45" i="1" s="1"/>
  <c r="AF45" i="1" s="1"/>
  <c r="AG45" i="1" s="1"/>
  <c r="AL44" i="1"/>
  <c r="AN44" i="1" s="1"/>
  <c r="AI44" i="1"/>
  <c r="AJ44" i="1" s="1"/>
  <c r="AC44" i="1"/>
  <c r="AD44" i="1" s="1"/>
  <c r="AF44" i="1" s="1"/>
  <c r="AG44" i="1" s="1"/>
  <c r="AL43" i="1"/>
  <c r="AN43" i="1" s="1"/>
  <c r="AI43" i="1"/>
  <c r="AJ43" i="1" s="1"/>
  <c r="AC43" i="1"/>
  <c r="AD43" i="1" s="1"/>
  <c r="AF43" i="1" s="1"/>
  <c r="AG43" i="1" s="1"/>
  <c r="AL42" i="1"/>
  <c r="AN42" i="1" s="1"/>
  <c r="AI42" i="1"/>
  <c r="AJ42" i="1" s="1"/>
  <c r="AC42" i="1"/>
  <c r="AD42" i="1" s="1"/>
  <c r="AF42" i="1" s="1"/>
  <c r="AG42" i="1" s="1"/>
  <c r="AL41" i="1"/>
  <c r="AN41" i="1" s="1"/>
  <c r="AI41" i="1"/>
  <c r="AJ41" i="1" s="1"/>
  <c r="AC41" i="1"/>
  <c r="AD41" i="1" s="1"/>
  <c r="AF41" i="1" s="1"/>
  <c r="AG41" i="1" s="1"/>
  <c r="AL40" i="1"/>
  <c r="AN40" i="1" s="1"/>
  <c r="AI40" i="1"/>
  <c r="AJ40" i="1" s="1"/>
  <c r="AC40" i="1"/>
  <c r="AD40" i="1" s="1"/>
  <c r="AF40" i="1" s="1"/>
  <c r="AG40" i="1" s="1"/>
  <c r="AL39" i="1"/>
  <c r="AN39" i="1" s="1"/>
  <c r="AI39" i="1"/>
  <c r="AJ39" i="1" s="1"/>
  <c r="AC39" i="1"/>
  <c r="AD39" i="1" s="1"/>
  <c r="AF39" i="1" s="1"/>
  <c r="AG39" i="1" s="1"/>
  <c r="AL38" i="1"/>
  <c r="AN38" i="1" s="1"/>
  <c r="AI38" i="1"/>
  <c r="AJ38" i="1" s="1"/>
  <c r="AC38" i="1"/>
  <c r="AD38" i="1" s="1"/>
  <c r="AF38" i="1" s="1"/>
  <c r="AG38" i="1" s="1"/>
  <c r="AL37" i="1"/>
  <c r="AN37" i="1" s="1"/>
  <c r="AI37" i="1"/>
  <c r="AJ37" i="1" s="1"/>
  <c r="AC37" i="1"/>
  <c r="AD37" i="1" s="1"/>
  <c r="AF37" i="1" s="1"/>
  <c r="AG37" i="1" s="1"/>
  <c r="AL36" i="1"/>
  <c r="AN36" i="1" s="1"/>
  <c r="AI36" i="1"/>
  <c r="AJ36" i="1" s="1"/>
  <c r="AC36" i="1"/>
  <c r="AD36" i="1" s="1"/>
  <c r="AF36" i="1" s="1"/>
  <c r="AG36" i="1" s="1"/>
  <c r="AL35" i="1"/>
  <c r="AN35" i="1" s="1"/>
  <c r="AI35" i="1"/>
  <c r="AJ35" i="1" s="1"/>
  <c r="AC35" i="1"/>
  <c r="AD35" i="1" s="1"/>
  <c r="AF35" i="1" s="1"/>
  <c r="AG35" i="1" s="1"/>
  <c r="AL34" i="1"/>
  <c r="AN34" i="1" s="1"/>
  <c r="AI34" i="1"/>
  <c r="AJ34" i="1" s="1"/>
  <c r="AC34" i="1"/>
  <c r="AD34" i="1" s="1"/>
  <c r="AF34" i="1" s="1"/>
  <c r="AG34" i="1" s="1"/>
  <c r="AL33" i="1"/>
  <c r="AN33" i="1" s="1"/>
  <c r="AI33" i="1"/>
  <c r="AJ33" i="1" s="1"/>
  <c r="AC33" i="1"/>
  <c r="AD33" i="1" s="1"/>
  <c r="AF33" i="1" s="1"/>
  <c r="AG33" i="1" s="1"/>
  <c r="AL32" i="1"/>
  <c r="AN32" i="1" s="1"/>
  <c r="AI32" i="1"/>
  <c r="AJ32" i="1" s="1"/>
  <c r="AC32" i="1"/>
  <c r="AD32" i="1" s="1"/>
  <c r="AF32" i="1" s="1"/>
  <c r="AG32" i="1" s="1"/>
  <c r="AL31" i="1"/>
  <c r="AN31" i="1" s="1"/>
  <c r="AI31" i="1"/>
  <c r="AJ31" i="1" s="1"/>
  <c r="AC31" i="1"/>
  <c r="AD31" i="1" s="1"/>
  <c r="AF31" i="1" s="1"/>
  <c r="AG31" i="1" s="1"/>
  <c r="AL30" i="1"/>
  <c r="AN30" i="1" s="1"/>
  <c r="AI30" i="1"/>
  <c r="AJ30" i="1" s="1"/>
  <c r="AC30" i="1"/>
  <c r="AD30" i="1" s="1"/>
  <c r="AF30" i="1" s="1"/>
  <c r="AG30" i="1" s="1"/>
  <c r="AL29" i="1"/>
  <c r="AN29" i="1" s="1"/>
  <c r="AI29" i="1"/>
  <c r="AJ29" i="1" s="1"/>
  <c r="AC29" i="1"/>
  <c r="AD29" i="1" s="1"/>
  <c r="AF29" i="1" s="1"/>
  <c r="AG29" i="1" s="1"/>
  <c r="AL28" i="1"/>
  <c r="AN28" i="1" s="1"/>
  <c r="AI28" i="1"/>
  <c r="AJ28" i="1" s="1"/>
  <c r="AC28" i="1"/>
  <c r="AD28" i="1" s="1"/>
  <c r="AF28" i="1" s="1"/>
  <c r="AG28" i="1" s="1"/>
  <c r="AL27" i="1"/>
  <c r="AN27" i="1" s="1"/>
  <c r="AI27" i="1"/>
  <c r="AJ27" i="1" s="1"/>
  <c r="AC27" i="1"/>
  <c r="AD27" i="1" s="1"/>
  <c r="AF27" i="1" s="1"/>
  <c r="AG27" i="1" s="1"/>
  <c r="AL26" i="1"/>
  <c r="AN26" i="1" s="1"/>
  <c r="AI26" i="1"/>
  <c r="AJ26" i="1" s="1"/>
  <c r="AC26" i="1"/>
  <c r="AD26" i="1" s="1"/>
  <c r="AF26" i="1" s="1"/>
  <c r="AG26" i="1" s="1"/>
  <c r="AL25" i="1"/>
  <c r="AN25" i="1" s="1"/>
  <c r="AI25" i="1"/>
  <c r="AJ25" i="1" s="1"/>
  <c r="AC25" i="1"/>
  <c r="AD25" i="1" s="1"/>
  <c r="AF25" i="1" s="1"/>
  <c r="AG25" i="1" s="1"/>
  <c r="AL24" i="1"/>
  <c r="AN24" i="1" s="1"/>
  <c r="AI24" i="1"/>
  <c r="AJ24" i="1" s="1"/>
  <c r="AC24" i="1"/>
  <c r="AD24" i="1" s="1"/>
  <c r="AF24" i="1" s="1"/>
  <c r="AG24" i="1" s="1"/>
  <c r="AL23" i="1"/>
  <c r="AN23" i="1" s="1"/>
  <c r="AI23" i="1"/>
  <c r="AJ23" i="1" s="1"/>
  <c r="AC23" i="1"/>
  <c r="AD23" i="1" s="1"/>
  <c r="AF23" i="1" s="1"/>
  <c r="AG23" i="1" s="1"/>
  <c r="AL22" i="1"/>
  <c r="AN22" i="1" s="1"/>
  <c r="AI22" i="1"/>
  <c r="AJ22" i="1" s="1"/>
  <c r="AC22" i="1"/>
  <c r="AD22" i="1" s="1"/>
  <c r="AF22" i="1" s="1"/>
  <c r="AG22" i="1" s="1"/>
  <c r="AL21" i="1"/>
  <c r="AN21" i="1" s="1"/>
  <c r="AI21" i="1"/>
  <c r="AJ21" i="1" s="1"/>
  <c r="AC21" i="1"/>
  <c r="AD21" i="1" s="1"/>
  <c r="AF21" i="1" s="1"/>
  <c r="AG21" i="1" s="1"/>
  <c r="AL20" i="1"/>
  <c r="AN20" i="1" s="1"/>
  <c r="AI20" i="1"/>
  <c r="AJ20" i="1" s="1"/>
  <c r="AC20" i="1"/>
  <c r="AD20" i="1" s="1"/>
  <c r="AF20" i="1" s="1"/>
  <c r="AG20" i="1" s="1"/>
  <c r="AL19" i="1"/>
  <c r="AN19" i="1" s="1"/>
  <c r="AI19" i="1"/>
  <c r="AJ19" i="1" s="1"/>
  <c r="AC19" i="1"/>
  <c r="AD19" i="1" s="1"/>
  <c r="AF19" i="1" s="1"/>
  <c r="AG19" i="1" s="1"/>
  <c r="AL18" i="1"/>
  <c r="AN18" i="1" s="1"/>
  <c r="AI18" i="1"/>
  <c r="AJ18" i="1" s="1"/>
  <c r="AC18" i="1"/>
  <c r="AD18" i="1" s="1"/>
  <c r="AF18" i="1" s="1"/>
  <c r="AG18" i="1" s="1"/>
  <c r="AL17" i="1"/>
  <c r="AN17" i="1" s="1"/>
  <c r="AI17" i="1"/>
  <c r="AJ17" i="1" s="1"/>
  <c r="AC17" i="1"/>
  <c r="AD17" i="1" s="1"/>
  <c r="AF17" i="1" s="1"/>
  <c r="AG17" i="1" s="1"/>
  <c r="AL16" i="1"/>
  <c r="AN16" i="1" s="1"/>
  <c r="AI16" i="1"/>
  <c r="AJ16" i="1" s="1"/>
  <c r="AC16" i="1"/>
  <c r="AD16" i="1" s="1"/>
  <c r="AF16" i="1" s="1"/>
  <c r="AG16" i="1" s="1"/>
  <c r="AL15" i="1"/>
  <c r="AN15" i="1" s="1"/>
  <c r="AI15" i="1"/>
  <c r="AJ15" i="1" s="1"/>
  <c r="AC15" i="1"/>
  <c r="AD15" i="1" s="1"/>
  <c r="AF15" i="1" s="1"/>
  <c r="AG15" i="1" s="1"/>
  <c r="AL14" i="1"/>
  <c r="AN14" i="1" s="1"/>
  <c r="AI14" i="1"/>
  <c r="AJ14" i="1" s="1"/>
  <c r="AC14" i="1"/>
  <c r="AD14" i="1" s="1"/>
  <c r="AF14" i="1" s="1"/>
  <c r="AG14" i="1" s="1"/>
  <c r="AL13" i="1"/>
  <c r="AN13" i="1" s="1"/>
  <c r="AI13" i="1"/>
  <c r="AJ13" i="1" s="1"/>
  <c r="AC13" i="1"/>
  <c r="AD13" i="1" s="1"/>
  <c r="AF13" i="1" s="1"/>
  <c r="AG13" i="1" s="1"/>
  <c r="AA14" i="1"/>
  <c r="AB14" i="1" s="1"/>
  <c r="AA13" i="1"/>
  <c r="AB13" i="1" s="1"/>
  <c r="B13" i="1"/>
  <c r="B14" i="1" s="1"/>
  <c r="AI70" i="1" l="1"/>
  <c r="AJ70" i="1" s="1"/>
  <c r="AI69" i="1"/>
  <c r="AJ69" i="1" s="1"/>
  <c r="AI68" i="1"/>
  <c r="AJ68" i="1" s="1"/>
  <c r="AI67" i="1"/>
  <c r="AJ67" i="1" s="1"/>
  <c r="AI66" i="1"/>
  <c r="AJ66" i="1" s="1"/>
  <c r="AI65" i="1"/>
  <c r="AJ65" i="1" s="1"/>
  <c r="AI64" i="1"/>
  <c r="AJ64" i="1" s="1"/>
  <c r="AI63" i="1"/>
  <c r="AJ63" i="1" s="1"/>
  <c r="AI62" i="1"/>
  <c r="AJ62" i="1" s="1"/>
  <c r="AI61" i="1"/>
  <c r="AJ61" i="1" s="1"/>
  <c r="AI60" i="1"/>
  <c r="AJ60" i="1" s="1"/>
  <c r="AI59" i="1"/>
  <c r="AJ59" i="1" s="1"/>
  <c r="AI58" i="1"/>
  <c r="AJ58" i="1" s="1"/>
  <c r="AI57" i="1"/>
  <c r="AJ57" i="1" s="1"/>
  <c r="AI56" i="1"/>
  <c r="AJ56" i="1" s="1"/>
  <c r="AI55" i="1"/>
  <c r="AJ55" i="1" s="1"/>
  <c r="AI54" i="1"/>
  <c r="AJ54" i="1" s="1"/>
  <c r="AI53" i="1"/>
  <c r="AJ53" i="1" s="1"/>
  <c r="AI52" i="1"/>
  <c r="AJ52" i="1" s="1"/>
  <c r="AI51" i="1"/>
  <c r="AJ51" i="1" s="1"/>
  <c r="AI50" i="1"/>
  <c r="AJ50" i="1" s="1"/>
  <c r="AI49" i="1"/>
  <c r="AJ49" i="1" s="1"/>
  <c r="AI48" i="1"/>
  <c r="AJ48" i="1" s="1"/>
  <c r="H14" i="1"/>
  <c r="H15" i="1" s="1"/>
  <c r="H16" i="1" s="1"/>
  <c r="H17" i="1" s="1"/>
  <c r="P13" i="1"/>
  <c r="H13" i="1"/>
  <c r="AL12" i="1"/>
  <c r="AN12" i="1" s="1"/>
  <c r="AI12" i="1"/>
  <c r="AJ12" i="1" s="1"/>
  <c r="AC12" i="1"/>
  <c r="AD12" i="1" s="1"/>
  <c r="AF12" i="1" s="1"/>
  <c r="AG12" i="1" s="1"/>
  <c r="AA12" i="1"/>
  <c r="AB12" i="1" s="1"/>
  <c r="F1" i="1"/>
  <c r="H18" i="1" l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F9" i="1"/>
  <c r="F8" i="1"/>
  <c r="F3" i="1"/>
  <c r="P14" i="1"/>
  <c r="P15" i="1" s="1"/>
  <c r="P16" i="1" s="1"/>
  <c r="F4" i="1" l="1"/>
  <c r="F6" i="1"/>
  <c r="F2" i="1"/>
  <c r="F5" i="1" s="1"/>
  <c r="F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Arya Augusta</author>
  </authors>
  <commentList>
    <comment ref="T17" authorId="0" shapeId="0" xr:uid="{61E214B6-9BFE-4377-B543-1DF84B22F287}">
      <text>
        <r>
          <rPr>
            <b/>
            <sz val="9"/>
            <color indexed="81"/>
            <rFont val="Tahoma"/>
            <charset val="1"/>
          </rPr>
          <t>Arya Augusta:</t>
        </r>
        <r>
          <rPr>
            <sz val="9"/>
            <color indexed="81"/>
            <rFont val="Tahoma"/>
            <charset val="1"/>
          </rPr>
          <t xml:space="preserve">
resign tahun 2026 ?</t>
        </r>
      </text>
    </comment>
  </commentList>
</comments>
</file>

<file path=xl/sharedStrings.xml><?xml version="1.0" encoding="utf-8"?>
<sst xmlns="http://schemas.openxmlformats.org/spreadsheetml/2006/main" count="85" uniqueCount="72">
  <si>
    <t>KRY LAMA</t>
  </si>
  <si>
    <t xml:space="preserve">KRY BARU </t>
  </si>
  <si>
    <t xml:space="preserve">KRY RESIGN </t>
  </si>
  <si>
    <t>KRY AKTIF</t>
  </si>
  <si>
    <t xml:space="preserve">HARUSNYA </t>
  </si>
  <si>
    <t xml:space="preserve">SELISIH </t>
  </si>
  <si>
    <t>N/A</t>
  </si>
  <si>
    <t>RSGN TAPI AKTIF</t>
  </si>
  <si>
    <t>NIK</t>
  </si>
  <si>
    <t>Aktif 2025</t>
  </si>
  <si>
    <t>Tgl Lahir</t>
  </si>
  <si>
    <t>Tgl Masuk</t>
  </si>
  <si>
    <t>Gaji</t>
  </si>
  <si>
    <t>Aktif 2024</t>
  </si>
  <si>
    <t>PBO</t>
  </si>
  <si>
    <t>Diskonto</t>
  </si>
  <si>
    <t>Resign 2025</t>
  </si>
  <si>
    <t>Tgl Resign</t>
  </si>
  <si>
    <t>Alasan</t>
  </si>
  <si>
    <t>Pesangon</t>
  </si>
  <si>
    <t>Uang Pisah</t>
  </si>
  <si>
    <t>Tgl pembayaran</t>
  </si>
  <si>
    <t>Aktif 2025 vs Aktif 2024</t>
  </si>
  <si>
    <t>Aktif 2024 vs Aktif 2025</t>
  </si>
  <si>
    <t>Aktif 2025 vs Resign 2025</t>
  </si>
  <si>
    <t>Resign 2025 vs Aktif 2024</t>
  </si>
  <si>
    <t>EVA INDRIYANI</t>
  </si>
  <si>
    <t>AGUNG GUNAWAN MAKMUR</t>
  </si>
  <si>
    <t>ALDIN</t>
  </si>
  <si>
    <t>Resign</t>
  </si>
  <si>
    <t>ALMIRA NOPY VALENCIA</t>
  </si>
  <si>
    <t>ASDI ANTHON RAYO</t>
  </si>
  <si>
    <t>PHK</t>
  </si>
  <si>
    <t>IKRAM MUFADDHAL</t>
  </si>
  <si>
    <t>LADY VIOLA MAHARANI</t>
  </si>
  <si>
    <t>DIRGA AGUSTIAWAN</t>
  </si>
  <si>
    <t>ELYP OKTAVIANUS</t>
  </si>
  <si>
    <t>ANISA</t>
  </si>
  <si>
    <t>AKLAH HARSAB WUNGKO</t>
  </si>
  <si>
    <t>WISNU ABD HOLIS</t>
  </si>
  <si>
    <t>Nurul Fadkhatussiyadah</t>
  </si>
  <si>
    <t>ARIFIAH MUFLIKHATI PUTRI</t>
  </si>
  <si>
    <t>INDAH MUTHMAINNAH MONOARFA</t>
  </si>
  <si>
    <t>RINALDI</t>
  </si>
  <si>
    <t>ARI SYAH RIDAR</t>
  </si>
  <si>
    <t>TEGUH SUMARSONO</t>
  </si>
  <si>
    <t>STEVEN TOMBI RA'PAK LANGI</t>
  </si>
  <si>
    <t>MUHAMAD AMIN PUTRA SALIM</t>
  </si>
  <si>
    <t>ALPEN DANGGULU</t>
  </si>
  <si>
    <t>RADEN</t>
  </si>
  <si>
    <t>ARIF</t>
  </si>
  <si>
    <t>MUH AKBAR</t>
  </si>
  <si>
    <t>ESRONI BABUNO</t>
  </si>
  <si>
    <t>FIRMANSYAH</t>
  </si>
  <si>
    <t>KEVIN MARCELINO METOLI</t>
  </si>
  <si>
    <t>MALIK</t>
  </si>
  <si>
    <t>RIFKA TOGON</t>
  </si>
  <si>
    <t>RIZALDI</t>
  </si>
  <si>
    <t>ALIYAH SAFIRA</t>
  </si>
  <si>
    <t>ANDI SELVI</t>
  </si>
  <si>
    <t>YULIANI</t>
  </si>
  <si>
    <t>ATMIN LAMBA</t>
  </si>
  <si>
    <t>AYU SEPTIA RIZKY RABBANA</t>
  </si>
  <si>
    <t>ELSA TRIWANI DAUD</t>
  </si>
  <si>
    <t>RENALDY FRANSISKUS TULENAN</t>
  </si>
  <si>
    <t>FARIT HIDAYAT</t>
  </si>
  <si>
    <t>ISMAIL LABONE</t>
  </si>
  <si>
    <t>MOH ABIL</t>
  </si>
  <si>
    <t>RIZKY WANALDI</t>
  </si>
  <si>
    <t>EVY NATALIA</t>
  </si>
  <si>
    <t>KLIEN</t>
  </si>
  <si>
    <t>selisih tersebut adalah karyawan yang masuk di tahun 2025 lalu resign di tahun yang sama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</si>
</sst>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-* #,##0.0_-;\-* #,##0.0_-;_-* &quot;-&quot;_-;_-@_-"/>
    <numFmt numFmtId="165" formatCode="dd/mm/yyyy;@"/>
    <numFmt numFmtId="166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</font>
    <font>
      <b/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1" fillId="0" borderId="0" xfId="0" applyFont="1"/>
    <xf numFmtId="14" fontId="3" fillId="0" borderId="0" xfId="0" applyNumberFormat="1" applyFont="1" applyAlignment="1">
      <alignment horizontal="center"/>
    </xf>
    <xf numFmtId="164" fontId="3" fillId="0" borderId="0" xfId="3" applyNumberFormat="1" applyFont="1" applyFill="1"/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" fontId="1" fillId="0" borderId="0" xfId="0" applyNumberFormat="1" applyFont="1"/>
    <xf numFmtId="1" fontId="1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14" fontId="1" fillId="0" borderId="0" xfId="0" applyNumberFormat="1" applyFont="1"/>
    <xf numFmtId="0" fontId="5" fillId="0" borderId="0" xfId="0" applyFont="1"/>
    <xf numFmtId="0" fontId="4" fillId="0" borderId="0" xfId="0" applyFont="1"/>
    <xf numFmtId="49" fontId="1" fillId="0" borderId="0" xfId="0" applyNumberFormat="1" applyFont="1"/>
    <xf numFmtId="49" fontId="3" fillId="0" borderId="0" xfId="0" applyNumberFormat="1" applyFont="1" applyAlignment="1">
      <alignment horizontal="left"/>
    </xf>
    <xf numFmtId="0" fontId="6" fillId="0" borderId="0" xfId="0" applyFont="1"/>
    <xf numFmtId="41" fontId="2" fillId="0" borderId="0" xfId="3" applyFont="1" applyFill="1" applyAlignment="1"/>
    <xf numFmtId="1" fontId="3" fillId="0" borderId="0" xfId="0" applyNumberFormat="1" applyFont="1"/>
    <xf numFmtId="0" fontId="3" fillId="0" borderId="0" xfId="0" applyFont="1"/>
    <xf numFmtId="1" fontId="3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/>
    <xf numFmtId="1" fontId="4" fillId="0" borderId="0" xfId="0" applyNumberFormat="1" applyFont="1"/>
    <xf numFmtId="14" fontId="4" fillId="0" borderId="0" xfId="0" applyNumberFormat="1" applyFont="1" applyAlignment="1">
      <alignment horizontal="left"/>
    </xf>
    <xf numFmtId="14" fontId="8" fillId="0" borderId="0" xfId="0" quotePrefix="1" applyNumberFormat="1" applyFont="1" applyAlignment="1">
      <alignment vertical="center"/>
    </xf>
    <xf numFmtId="0" fontId="4" fillId="0" borderId="0" xfId="0" applyFont="1" applyAlignment="1">
      <alignment horizontal="left" wrapText="1"/>
    </xf>
    <xf numFmtId="14" fontId="1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9" fillId="0" borderId="0" xfId="0" quotePrefix="1" applyFont="1"/>
    <xf numFmtId="165" fontId="1" fillId="0" borderId="0" xfId="0" applyNumberFormat="1" applyFont="1"/>
    <xf numFmtId="41" fontId="9" fillId="0" borderId="0" xfId="1" applyFont="1" applyFill="1" applyAlignment="1">
      <alignment horizontal="center" vertical="center"/>
    </xf>
    <xf numFmtId="0" fontId="9" fillId="0" borderId="0" xfId="0" quotePrefix="1" applyFont="1" applyAlignment="1">
      <alignment horizontal="left" vertical="center"/>
    </xf>
    <xf numFmtId="165" fontId="9" fillId="0" borderId="0" xfId="0" quotePrefix="1" applyNumberFormat="1" applyFont="1" applyAlignment="1">
      <alignment vertical="center"/>
    </xf>
    <xf numFmtId="165" fontId="9" fillId="0" borderId="0" xfId="0" applyNumberFormat="1" applyFont="1" applyAlignment="1">
      <alignment vertical="center"/>
    </xf>
    <xf numFmtId="41" fontId="1" fillId="0" borderId="0" xfId="1" quotePrefix="1" applyFont="1" applyFill="1" applyAlignment="1">
      <alignment horizontal="left" vertical="top" wrapText="1"/>
    </xf>
    <xf numFmtId="41" fontId="1" fillId="0" borderId="0" xfId="1" applyFont="1" applyFill="1" applyAlignment="1">
      <alignment horizontal="left" vertical="top" wrapText="1"/>
    </xf>
    <xf numFmtId="10" fontId="1" fillId="0" borderId="0" xfId="2" applyNumberFormat="1" applyFont="1" applyFill="1" applyAlignment="1">
      <alignment wrapText="1"/>
    </xf>
    <xf numFmtId="41" fontId="1" fillId="0" borderId="0" xfId="1" applyFont="1" applyAlignment="1">
      <alignment horizontal="left" vertical="top" wrapText="1"/>
    </xf>
    <xf numFmtId="0" fontId="9" fillId="0" borderId="0" xfId="0" applyFont="1" applyAlignment="1">
      <alignment vertical="center"/>
    </xf>
    <xf numFmtId="41" fontId="9" fillId="0" borderId="0" xfId="1" applyFont="1" applyAlignment="1">
      <alignment vertical="center"/>
    </xf>
    <xf numFmtId="0" fontId="1" fillId="0" borderId="0" xfId="4" applyNumberFormat="1" applyFont="1" applyBorder="1" applyAlignment="1"/>
    <xf numFmtId="0" fontId="1" fillId="0" borderId="0" xfId="4" applyNumberFormat="1" applyFont="1" applyFill="1" applyAlignment="1"/>
    <xf numFmtId="1" fontId="4" fillId="0" borderId="0" xfId="4" applyNumberFormat="1" applyFont="1" applyFill="1" applyAlignment="1">
      <alignment horizontal="left"/>
    </xf>
    <xf numFmtId="0" fontId="1" fillId="0" borderId="0" xfId="4" applyNumberFormat="1" applyFont="1" applyFill="1" applyAlignment="1">
      <alignment horizontal="left"/>
    </xf>
    <xf numFmtId="10" fontId="1" fillId="0" borderId="0" xfId="2" quotePrefix="1" applyNumberFormat="1" applyFont="1" applyFill="1" applyAlignment="1">
      <alignment wrapText="1"/>
    </xf>
    <xf numFmtId="41" fontId="1" fillId="0" borderId="0" xfId="1" quotePrefix="1" applyFont="1" applyAlignment="1">
      <alignment horizontal="left" vertical="top" wrapText="1"/>
    </xf>
    <xf numFmtId="165" fontId="1" fillId="0" borderId="0" xfId="0" applyNumberFormat="1" applyFont="1" applyAlignment="1">
      <alignment vertical="center"/>
    </xf>
    <xf numFmtId="0" fontId="9" fillId="0" borderId="0" xfId="0" applyFont="1"/>
    <xf numFmtId="41" fontId="1" fillId="0" borderId="0" xfId="1" applyFont="1" applyAlignment="1">
      <alignment vertical="center"/>
    </xf>
    <xf numFmtId="41" fontId="10" fillId="0" borderId="0" xfId="1" applyFont="1" applyFill="1" applyAlignment="1">
      <alignment horizontal="left"/>
    </xf>
    <xf numFmtId="165" fontId="1" fillId="2" borderId="0" xfId="0" applyNumberFormat="1" applyFont="1" applyFill="1"/>
    <xf numFmtId="10" fontId="10" fillId="0" borderId="0" xfId="2" applyNumberFormat="1" applyFont="1" applyFill="1" applyAlignment="1"/>
    <xf numFmtId="41" fontId="10" fillId="0" borderId="0" xfId="1" applyFont="1" applyAlignment="1">
      <alignment horizontal="left"/>
    </xf>
    <xf numFmtId="41" fontId="1" fillId="0" borderId="0" xfId="1" applyFont="1"/>
    <xf numFmtId="14" fontId="1" fillId="0" borderId="0" xfId="4" applyNumberFormat="1" applyFont="1" applyFill="1" applyAlignment="1">
      <alignment horizontal="left"/>
    </xf>
    <xf numFmtId="165" fontId="1" fillId="0" borderId="0" xfId="1" applyNumberFormat="1" applyFont="1"/>
    <xf numFmtId="0" fontId="1" fillId="0" borderId="0" xfId="4" applyNumberFormat="1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1" fontId="1" fillId="0" borderId="0" xfId="0" applyNumberFormat="1" applyFont="1" applyAlignment="1">
      <alignment vertical="top" wrapText="1"/>
    </xf>
    <xf numFmtId="166" fontId="1" fillId="0" borderId="0" xfId="4" applyNumberFormat="1" applyFont="1" applyBorder="1" applyAlignment="1">
      <alignment horizontal="center" vertical="center"/>
    </xf>
    <xf numFmtId="41" fontId="9" fillId="0" borderId="0" xfId="1" applyFont="1" applyFill="1" applyAlignment="1">
      <alignment horizontal="left" vertical="center"/>
    </xf>
    <xf numFmtId="10" fontId="9" fillId="0" borderId="0" xfId="2" applyNumberFormat="1" applyFont="1" applyFill="1" applyAlignment="1"/>
    <xf numFmtId="41" fontId="9" fillId="0" borderId="0" xfId="1" applyFont="1" applyAlignment="1">
      <alignment horizontal="left" vertical="center"/>
    </xf>
    <xf numFmtId="49" fontId="1" fillId="0" borderId="0" xfId="0" applyNumberFormat="1" applyFont="1" applyAlignment="1">
      <alignment horizontal="left"/>
    </xf>
    <xf numFmtId="41" fontId="9" fillId="0" borderId="0" xfId="1" applyFont="1" applyBorder="1" applyAlignment="1">
      <alignment vertical="center"/>
    </xf>
    <xf numFmtId="41" fontId="1" fillId="0" borderId="0" xfId="1" applyFont="1" applyFill="1"/>
    <xf numFmtId="165" fontId="9" fillId="0" borderId="0" xfId="0" applyNumberFormat="1" applyFont="1"/>
    <xf numFmtId="165" fontId="9" fillId="0" borderId="0" xfId="0" applyNumberFormat="1" applyFont="1" applyAlignment="1">
      <alignment horizontal="left" vertical="center"/>
    </xf>
    <xf numFmtId="41" fontId="1" fillId="0" borderId="0" xfId="1" applyFont="1" applyBorder="1"/>
    <xf numFmtId="41" fontId="1" fillId="0" borderId="0" xfId="1" applyFont="1" applyFill="1" applyAlignment="1">
      <alignment horizontal="center"/>
    </xf>
    <xf numFmtId="41" fontId="1" fillId="0" borderId="0" xfId="1" applyFont="1" applyAlignment="1">
      <alignment horizontal="center"/>
    </xf>
    <xf numFmtId="49" fontId="9" fillId="0" borderId="0" xfId="0" applyNumberFormat="1" applyFont="1" applyAlignment="1">
      <alignment vertical="center"/>
    </xf>
    <xf numFmtId="49" fontId="9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vertical="center"/>
    </xf>
    <xf numFmtId="41" fontId="1" fillId="0" borderId="0" xfId="1" applyFont="1" applyFill="1" applyAlignment="1">
      <alignment horizontal="center" vertical="center"/>
    </xf>
    <xf numFmtId="49" fontId="1" fillId="0" borderId="0" xfId="0" quotePrefix="1" applyNumberFormat="1" applyFont="1" applyAlignment="1">
      <alignment vertical="center"/>
    </xf>
    <xf numFmtId="165" fontId="1" fillId="0" borderId="0" xfId="0" quotePrefix="1" applyNumberFormat="1" applyFont="1" applyAlignment="1">
      <alignment vertical="center"/>
    </xf>
    <xf numFmtId="49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41" fontId="1" fillId="0" borderId="0" xfId="1" applyFont="1" applyFill="1" applyAlignment="1">
      <alignment horizontal="left" vertical="center"/>
    </xf>
    <xf numFmtId="10" fontId="1" fillId="0" borderId="0" xfId="2" applyNumberFormat="1" applyFont="1" applyFill="1" applyAlignment="1"/>
    <xf numFmtId="41" fontId="1" fillId="0" borderId="0" xfId="1" applyFont="1" applyAlignment="1">
      <alignment horizontal="left" vertical="center"/>
    </xf>
    <xf numFmtId="49" fontId="1" fillId="0" borderId="0" xfId="0" quotePrefix="1" applyNumberFormat="1" applyFont="1" applyAlignment="1">
      <alignment horizontal="left" vertical="center"/>
    </xf>
    <xf numFmtId="165" fontId="1" fillId="0" borderId="0" xfId="0" quotePrefix="1" applyNumberFormat="1" applyFont="1" applyAlignment="1">
      <alignment horizontal="left" vertical="center"/>
    </xf>
    <xf numFmtId="41" fontId="1" fillId="0" borderId="0" xfId="1" quotePrefix="1" applyFont="1" applyFill="1" applyAlignment="1">
      <alignment horizontal="left" vertical="center"/>
    </xf>
    <xf numFmtId="10" fontId="1" fillId="0" borderId="0" xfId="2" quotePrefix="1" applyNumberFormat="1" applyFont="1" applyFill="1" applyAlignment="1"/>
    <xf numFmtId="41" fontId="1" fillId="0" borderId="0" xfId="1" applyFont="1" applyFill="1" applyBorder="1"/>
    <xf numFmtId="49" fontId="9" fillId="0" borderId="0" xfId="0" quotePrefix="1" applyNumberFormat="1" applyFont="1" applyAlignment="1">
      <alignment vertical="center"/>
    </xf>
    <xf numFmtId="49" fontId="9" fillId="0" borderId="0" xfId="0" quotePrefix="1" applyNumberFormat="1" applyFont="1" applyAlignment="1">
      <alignment horizontal="left" vertical="center"/>
    </xf>
    <xf numFmtId="165" fontId="9" fillId="0" borderId="0" xfId="0" quotePrefix="1" applyNumberFormat="1" applyFont="1" applyAlignment="1">
      <alignment horizontal="left" vertical="center"/>
    </xf>
    <xf numFmtId="41" fontId="9" fillId="0" borderId="0" xfId="1" quotePrefix="1" applyFont="1" applyFill="1" applyAlignment="1">
      <alignment horizontal="left" vertical="center"/>
    </xf>
    <xf numFmtId="10" fontId="9" fillId="0" borderId="0" xfId="2" quotePrefix="1" applyNumberFormat="1" applyFont="1" applyFill="1" applyAlignment="1"/>
    <xf numFmtId="41" fontId="9" fillId="0" borderId="0" xfId="1" quotePrefix="1" applyFont="1" applyAlignment="1">
      <alignment horizontal="left" vertical="center"/>
    </xf>
    <xf numFmtId="41" fontId="9" fillId="0" borderId="0" xfId="1" applyFont="1" applyAlignment="1">
      <alignment horizontal="center" vertical="center"/>
    </xf>
    <xf numFmtId="1" fontId="9" fillId="0" borderId="0" xfId="0" applyNumberFormat="1" applyFont="1" applyAlignment="1">
      <alignment vertical="center"/>
    </xf>
    <xf numFmtId="165" fontId="1" fillId="0" borderId="0" xfId="0" applyNumberFormat="1" applyFont="1" applyAlignment="1">
      <alignment horizontal="left"/>
    </xf>
    <xf numFmtId="41" fontId="1" fillId="0" borderId="0" xfId="1" applyFont="1" applyFill="1" applyAlignment="1">
      <alignment horizontal="left"/>
    </xf>
    <xf numFmtId="41" fontId="1" fillId="0" borderId="0" xfId="1" applyFont="1" applyAlignment="1">
      <alignment horizontal="left"/>
    </xf>
    <xf numFmtId="0" fontId="1" fillId="2" borderId="0" xfId="4" applyNumberFormat="1" applyFont="1" applyFill="1" applyAlignment="1">
      <alignment horizontal="left"/>
    </xf>
    <xf numFmtId="14" fontId="1" fillId="2" borderId="0" xfId="0" applyNumberFormat="1" applyFont="1" applyFill="1"/>
    <xf numFmtId="0" fontId="1" fillId="2" borderId="0" xfId="0" applyFont="1" applyFill="1"/>
    <xf numFmtId="1" fontId="1" fillId="0" borderId="0" xfId="4" applyNumberFormat="1" applyFont="1" applyFill="1" applyAlignment="1">
      <alignment horizontal="left"/>
    </xf>
    <xf numFmtId="164" fontId="3" fillId="0" borderId="0" xfId="3" applyNumberFormat="1" applyFont="1" applyFill="1" applyAlignment="1"/>
  </cellXfs>
  <cellStyles count="5">
    <cellStyle name="Comma [0]" xfId="1" builtinId="6"/>
    <cellStyle name="Comma [0] 4" xfId="3" xr:uid="{A55F50A8-084A-4326-95A9-3D9A996F261F}"/>
    <cellStyle name="Comma 2 2" xfId="4" xr:uid="{272AEE5D-42A5-4E87-ABD4-099216371A1D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Kerjaan%20Arya\KKA%20VAB\PSAK-24\yang%20belum%202025\PT%20QM\Arya\PSAK-Atribusi-UUCK-PT%20QINGMEI-31%20Des-2025.xls" TargetMode="External"/><Relationship Id="rId1" Type="http://schemas.openxmlformats.org/officeDocument/2006/relationships/externalLinkPath" Target="file:///F:\Kerjaan%20Arya\KKA%20VAB\PSAK-24\yang%20belum%202025\PT%20QM\Arya\PSAK-Atribusi-UUCK-PT%20QINGMEI-31%20Des-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"/>
      <sheetName val="UUCK"/>
      <sheetName val="multidcrmn"/>
      <sheetName val="Olah Data"/>
      <sheetName val="Data-QM"/>
      <sheetName val="IBPA"/>
      <sheetName val="Hitungan"/>
      <sheetName val="Laporan"/>
      <sheetName val="maturity"/>
      <sheetName val="Data-Lap-Final"/>
      <sheetName val="OCI"/>
      <sheetName val="pesangon"/>
      <sheetName val="excess"/>
      <sheetName val="Interest+Gaji"/>
    </sheetNames>
    <sheetDataSet>
      <sheetData sheetId="0">
        <row r="5">
          <cell r="M5" t="str">
            <v>PT QINGMEI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B273-FA9A-4C21-888F-A3C7CE0852CC}">
  <dimension ref="A1:IU1391"/>
  <sheetViews>
    <sheetView tabSelected="1" workbookViewId="0">
      <selection activeCell="I16" sqref="I16"/>
    </sheetView>
  </sheetViews>
  <sheetFormatPr defaultRowHeight="14.4" x14ac:dyDescent="0.3"/>
  <cols>
    <col min="1" max="1" width="9" style="1" bestFit="1" customWidth="1"/>
    <col min="2" max="2" width="5" style="1" bestFit="1" customWidth="1"/>
    <col min="3" max="3" width="34.5546875" style="1" bestFit="1" customWidth="1"/>
    <col min="4" max="4" width="10.6640625" style="1" bestFit="1" customWidth="1"/>
    <col min="5" max="5" width="16" style="27" bestFit="1" customWidth="1"/>
    <col min="6" max="6" width="12.5546875" style="27" bestFit="1" customWidth="1"/>
    <col min="7" max="7" width="3.6640625" style="27" customWidth="1"/>
    <col min="8" max="8" width="4" style="1" bestFit="1" customWidth="1"/>
    <col min="9" max="9" width="36.5546875" style="5" bestFit="1" customWidth="1"/>
    <col min="10" max="11" width="10.6640625" style="5" customWidth="1"/>
    <col min="12" max="12" width="12.5546875" style="5" customWidth="1"/>
    <col min="13" max="13" width="14.33203125" style="5" customWidth="1"/>
    <col min="14" max="14" width="12.5546875" style="5" customWidth="1"/>
    <col min="15" max="15" width="5" style="5" customWidth="1"/>
    <col min="16" max="16" width="4" style="6" customWidth="1"/>
    <col min="17" max="17" width="18.33203125" style="1" bestFit="1" customWidth="1"/>
    <col min="18" max="18" width="10.88671875" style="1" customWidth="1"/>
    <col min="19" max="19" width="15" style="1" customWidth="1"/>
    <col min="20" max="20" width="10.6640625" style="1" customWidth="1"/>
    <col min="21" max="21" width="12.5546875" style="1" customWidth="1"/>
    <col min="22" max="22" width="13.6640625" style="1" customWidth="1"/>
    <col min="23" max="23" width="12.5546875" style="1" customWidth="1"/>
    <col min="24" max="24" width="13.6640625" style="1" customWidth="1"/>
    <col min="25" max="25" width="15.109375" style="1" customWidth="1"/>
    <col min="26" max="26" width="3.6640625" style="1" customWidth="1"/>
    <col min="27" max="27" width="28" style="7" bestFit="1" customWidth="1"/>
    <col min="28" max="28" width="15.33203125" style="8" customWidth="1"/>
    <col min="29" max="29" width="21.5546875" style="7" customWidth="1"/>
    <col min="30" max="30" width="22.6640625" style="9" customWidth="1"/>
    <col min="31" max="31" width="1.5546875" style="10" customWidth="1"/>
    <col min="32" max="32" width="17.6640625" style="1" bestFit="1" customWidth="1"/>
    <col min="33" max="33" width="13.88671875" style="1" customWidth="1"/>
    <col min="34" max="34" width="3.109375" style="1" customWidth="1"/>
    <col min="35" max="35" width="23.109375" style="1" customWidth="1"/>
    <col min="36" max="36" width="5.5546875" style="11" customWidth="1"/>
    <col min="37" max="37" width="11" style="12" customWidth="1"/>
    <col min="38" max="38" width="26.33203125" style="1" customWidth="1"/>
    <col min="39" max="39" width="1.5546875" style="1" customWidth="1"/>
    <col min="40" max="40" width="17.33203125" style="1" customWidth="1"/>
    <col min="41" max="41" width="1.109375" style="1" customWidth="1"/>
    <col min="42" max="256" width="9.109375" style="1"/>
    <col min="257" max="257" width="9" style="1" bestFit="1" customWidth="1"/>
    <col min="258" max="258" width="5" style="1" bestFit="1" customWidth="1"/>
    <col min="259" max="259" width="34.5546875" style="1" bestFit="1" customWidth="1"/>
    <col min="260" max="260" width="10.6640625" style="1" bestFit="1" customWidth="1"/>
    <col min="261" max="261" width="16" style="1" bestFit="1" customWidth="1"/>
    <col min="262" max="262" width="12.5546875" style="1" bestFit="1" customWidth="1"/>
    <col min="263" max="263" width="3.6640625" style="1" customWidth="1"/>
    <col min="264" max="264" width="4" style="1" bestFit="1" customWidth="1"/>
    <col min="265" max="265" width="36.5546875" style="1" bestFit="1" customWidth="1"/>
    <col min="266" max="267" width="10.6640625" style="1" customWidth="1"/>
    <col min="268" max="268" width="12.5546875" style="1" customWidth="1"/>
    <col min="269" max="269" width="14.33203125" style="1" customWidth="1"/>
    <col min="270" max="270" width="12.5546875" style="1" customWidth="1"/>
    <col min="271" max="271" width="5" style="1" customWidth="1"/>
    <col min="272" max="272" width="4" style="1" customWidth="1"/>
    <col min="273" max="273" width="18.33203125" style="1" bestFit="1" customWidth="1"/>
    <col min="274" max="274" width="10.88671875" style="1" customWidth="1"/>
    <col min="275" max="275" width="15" style="1" customWidth="1"/>
    <col min="276" max="276" width="10.6640625" style="1" customWidth="1"/>
    <col min="277" max="277" width="12.5546875" style="1" customWidth="1"/>
    <col min="278" max="278" width="13.6640625" style="1" customWidth="1"/>
    <col min="279" max="279" width="12.5546875" style="1" customWidth="1"/>
    <col min="280" max="280" width="13.6640625" style="1" customWidth="1"/>
    <col min="281" max="281" width="15.109375" style="1" customWidth="1"/>
    <col min="282" max="282" width="3.6640625" style="1" customWidth="1"/>
    <col min="283" max="283" width="28" style="1" bestFit="1" customWidth="1"/>
    <col min="284" max="284" width="15.33203125" style="1" customWidth="1"/>
    <col min="285" max="285" width="21.5546875" style="1" customWidth="1"/>
    <col min="286" max="286" width="22.6640625" style="1" customWidth="1"/>
    <col min="287" max="287" width="1.5546875" style="1" customWidth="1"/>
    <col min="288" max="288" width="17.6640625" style="1" bestFit="1" customWidth="1"/>
    <col min="289" max="289" width="13.88671875" style="1" customWidth="1"/>
    <col min="290" max="290" width="3.109375" style="1" customWidth="1"/>
    <col min="291" max="291" width="23.109375" style="1" customWidth="1"/>
    <col min="292" max="292" width="5.5546875" style="1" customWidth="1"/>
    <col min="293" max="293" width="11" style="1" customWidth="1"/>
    <col min="294" max="294" width="26.33203125" style="1" customWidth="1"/>
    <col min="295" max="295" width="1.5546875" style="1" customWidth="1"/>
    <col min="296" max="296" width="17.33203125" style="1" customWidth="1"/>
    <col min="297" max="297" width="1.109375" style="1" customWidth="1"/>
    <col min="298" max="512" width="9.109375" style="1"/>
    <col min="513" max="513" width="9" style="1" bestFit="1" customWidth="1"/>
    <col min="514" max="514" width="5" style="1" bestFit="1" customWidth="1"/>
    <col min="515" max="515" width="34.5546875" style="1" bestFit="1" customWidth="1"/>
    <col min="516" max="516" width="10.6640625" style="1" bestFit="1" customWidth="1"/>
    <col min="517" max="517" width="16" style="1" bestFit="1" customWidth="1"/>
    <col min="518" max="518" width="12.5546875" style="1" bestFit="1" customWidth="1"/>
    <col min="519" max="519" width="3.6640625" style="1" customWidth="1"/>
    <col min="520" max="520" width="4" style="1" bestFit="1" customWidth="1"/>
    <col min="521" max="521" width="36.5546875" style="1" bestFit="1" customWidth="1"/>
    <col min="522" max="523" width="10.6640625" style="1" customWidth="1"/>
    <col min="524" max="524" width="12.5546875" style="1" customWidth="1"/>
    <col min="525" max="525" width="14.33203125" style="1" customWidth="1"/>
    <col min="526" max="526" width="12.5546875" style="1" customWidth="1"/>
    <col min="527" max="527" width="5" style="1" customWidth="1"/>
    <col min="528" max="528" width="4" style="1" customWidth="1"/>
    <col min="529" max="529" width="18.33203125" style="1" bestFit="1" customWidth="1"/>
    <col min="530" max="530" width="10.88671875" style="1" customWidth="1"/>
    <col min="531" max="531" width="15" style="1" customWidth="1"/>
    <col min="532" max="532" width="10.6640625" style="1" customWidth="1"/>
    <col min="533" max="533" width="12.5546875" style="1" customWidth="1"/>
    <col min="534" max="534" width="13.6640625" style="1" customWidth="1"/>
    <col min="535" max="535" width="12.5546875" style="1" customWidth="1"/>
    <col min="536" max="536" width="13.6640625" style="1" customWidth="1"/>
    <col min="537" max="537" width="15.109375" style="1" customWidth="1"/>
    <col min="538" max="538" width="3.6640625" style="1" customWidth="1"/>
    <col min="539" max="539" width="28" style="1" bestFit="1" customWidth="1"/>
    <col min="540" max="540" width="15.33203125" style="1" customWidth="1"/>
    <col min="541" max="541" width="21.5546875" style="1" customWidth="1"/>
    <col min="542" max="542" width="22.6640625" style="1" customWidth="1"/>
    <col min="543" max="543" width="1.5546875" style="1" customWidth="1"/>
    <col min="544" max="544" width="17.6640625" style="1" bestFit="1" customWidth="1"/>
    <col min="545" max="545" width="13.88671875" style="1" customWidth="1"/>
    <col min="546" max="546" width="3.109375" style="1" customWidth="1"/>
    <col min="547" max="547" width="23.109375" style="1" customWidth="1"/>
    <col min="548" max="548" width="5.5546875" style="1" customWidth="1"/>
    <col min="549" max="549" width="11" style="1" customWidth="1"/>
    <col min="550" max="550" width="26.33203125" style="1" customWidth="1"/>
    <col min="551" max="551" width="1.5546875" style="1" customWidth="1"/>
    <col min="552" max="552" width="17.33203125" style="1" customWidth="1"/>
    <col min="553" max="553" width="1.109375" style="1" customWidth="1"/>
    <col min="554" max="768" width="9.109375" style="1"/>
    <col min="769" max="769" width="9" style="1" bestFit="1" customWidth="1"/>
    <col min="770" max="770" width="5" style="1" bestFit="1" customWidth="1"/>
    <col min="771" max="771" width="34.5546875" style="1" bestFit="1" customWidth="1"/>
    <col min="772" max="772" width="10.6640625" style="1" bestFit="1" customWidth="1"/>
    <col min="773" max="773" width="16" style="1" bestFit="1" customWidth="1"/>
    <col min="774" max="774" width="12.5546875" style="1" bestFit="1" customWidth="1"/>
    <col min="775" max="775" width="3.6640625" style="1" customWidth="1"/>
    <col min="776" max="776" width="4" style="1" bestFit="1" customWidth="1"/>
    <col min="777" max="777" width="36.5546875" style="1" bestFit="1" customWidth="1"/>
    <col min="778" max="779" width="10.6640625" style="1" customWidth="1"/>
    <col min="780" max="780" width="12.5546875" style="1" customWidth="1"/>
    <col min="781" max="781" width="14.33203125" style="1" customWidth="1"/>
    <col min="782" max="782" width="12.5546875" style="1" customWidth="1"/>
    <col min="783" max="783" width="5" style="1" customWidth="1"/>
    <col min="784" max="784" width="4" style="1" customWidth="1"/>
    <col min="785" max="785" width="18.33203125" style="1" bestFit="1" customWidth="1"/>
    <col min="786" max="786" width="10.88671875" style="1" customWidth="1"/>
    <col min="787" max="787" width="15" style="1" customWidth="1"/>
    <col min="788" max="788" width="10.6640625" style="1" customWidth="1"/>
    <col min="789" max="789" width="12.5546875" style="1" customWidth="1"/>
    <col min="790" max="790" width="13.6640625" style="1" customWidth="1"/>
    <col min="791" max="791" width="12.5546875" style="1" customWidth="1"/>
    <col min="792" max="792" width="13.6640625" style="1" customWidth="1"/>
    <col min="793" max="793" width="15.109375" style="1" customWidth="1"/>
    <col min="794" max="794" width="3.6640625" style="1" customWidth="1"/>
    <col min="795" max="795" width="28" style="1" bestFit="1" customWidth="1"/>
    <col min="796" max="796" width="15.33203125" style="1" customWidth="1"/>
    <col min="797" max="797" width="21.5546875" style="1" customWidth="1"/>
    <col min="798" max="798" width="22.6640625" style="1" customWidth="1"/>
    <col min="799" max="799" width="1.5546875" style="1" customWidth="1"/>
    <col min="800" max="800" width="17.6640625" style="1" bestFit="1" customWidth="1"/>
    <col min="801" max="801" width="13.88671875" style="1" customWidth="1"/>
    <col min="802" max="802" width="3.109375" style="1" customWidth="1"/>
    <col min="803" max="803" width="23.109375" style="1" customWidth="1"/>
    <col min="804" max="804" width="5.5546875" style="1" customWidth="1"/>
    <col min="805" max="805" width="11" style="1" customWidth="1"/>
    <col min="806" max="806" width="26.33203125" style="1" customWidth="1"/>
    <col min="807" max="807" width="1.5546875" style="1" customWidth="1"/>
    <col min="808" max="808" width="17.33203125" style="1" customWidth="1"/>
    <col min="809" max="809" width="1.109375" style="1" customWidth="1"/>
    <col min="810" max="1024" width="9.109375" style="1"/>
    <col min="1025" max="1025" width="9" style="1" bestFit="1" customWidth="1"/>
    <col min="1026" max="1026" width="5" style="1" bestFit="1" customWidth="1"/>
    <col min="1027" max="1027" width="34.5546875" style="1" bestFit="1" customWidth="1"/>
    <col min="1028" max="1028" width="10.6640625" style="1" bestFit="1" customWidth="1"/>
    <col min="1029" max="1029" width="16" style="1" bestFit="1" customWidth="1"/>
    <col min="1030" max="1030" width="12.5546875" style="1" bestFit="1" customWidth="1"/>
    <col min="1031" max="1031" width="3.6640625" style="1" customWidth="1"/>
    <col min="1032" max="1032" width="4" style="1" bestFit="1" customWidth="1"/>
    <col min="1033" max="1033" width="36.5546875" style="1" bestFit="1" customWidth="1"/>
    <col min="1034" max="1035" width="10.6640625" style="1" customWidth="1"/>
    <col min="1036" max="1036" width="12.5546875" style="1" customWidth="1"/>
    <col min="1037" max="1037" width="14.33203125" style="1" customWidth="1"/>
    <col min="1038" max="1038" width="12.5546875" style="1" customWidth="1"/>
    <col min="1039" max="1039" width="5" style="1" customWidth="1"/>
    <col min="1040" max="1040" width="4" style="1" customWidth="1"/>
    <col min="1041" max="1041" width="18.33203125" style="1" bestFit="1" customWidth="1"/>
    <col min="1042" max="1042" width="10.88671875" style="1" customWidth="1"/>
    <col min="1043" max="1043" width="15" style="1" customWidth="1"/>
    <col min="1044" max="1044" width="10.6640625" style="1" customWidth="1"/>
    <col min="1045" max="1045" width="12.5546875" style="1" customWidth="1"/>
    <col min="1046" max="1046" width="13.6640625" style="1" customWidth="1"/>
    <col min="1047" max="1047" width="12.5546875" style="1" customWidth="1"/>
    <col min="1048" max="1048" width="13.6640625" style="1" customWidth="1"/>
    <col min="1049" max="1049" width="15.109375" style="1" customWidth="1"/>
    <col min="1050" max="1050" width="3.6640625" style="1" customWidth="1"/>
    <col min="1051" max="1051" width="28" style="1" bestFit="1" customWidth="1"/>
    <col min="1052" max="1052" width="15.33203125" style="1" customWidth="1"/>
    <col min="1053" max="1053" width="21.5546875" style="1" customWidth="1"/>
    <col min="1054" max="1054" width="22.6640625" style="1" customWidth="1"/>
    <col min="1055" max="1055" width="1.5546875" style="1" customWidth="1"/>
    <col min="1056" max="1056" width="17.6640625" style="1" bestFit="1" customWidth="1"/>
    <col min="1057" max="1057" width="13.88671875" style="1" customWidth="1"/>
    <col min="1058" max="1058" width="3.109375" style="1" customWidth="1"/>
    <col min="1059" max="1059" width="23.109375" style="1" customWidth="1"/>
    <col min="1060" max="1060" width="5.5546875" style="1" customWidth="1"/>
    <col min="1061" max="1061" width="11" style="1" customWidth="1"/>
    <col min="1062" max="1062" width="26.33203125" style="1" customWidth="1"/>
    <col min="1063" max="1063" width="1.5546875" style="1" customWidth="1"/>
    <col min="1064" max="1064" width="17.33203125" style="1" customWidth="1"/>
    <col min="1065" max="1065" width="1.109375" style="1" customWidth="1"/>
    <col min="1066" max="1280" width="9.109375" style="1"/>
    <col min="1281" max="1281" width="9" style="1" bestFit="1" customWidth="1"/>
    <col min="1282" max="1282" width="5" style="1" bestFit="1" customWidth="1"/>
    <col min="1283" max="1283" width="34.5546875" style="1" bestFit="1" customWidth="1"/>
    <col min="1284" max="1284" width="10.6640625" style="1" bestFit="1" customWidth="1"/>
    <col min="1285" max="1285" width="16" style="1" bestFit="1" customWidth="1"/>
    <col min="1286" max="1286" width="12.5546875" style="1" bestFit="1" customWidth="1"/>
    <col min="1287" max="1287" width="3.6640625" style="1" customWidth="1"/>
    <col min="1288" max="1288" width="4" style="1" bestFit="1" customWidth="1"/>
    <col min="1289" max="1289" width="36.5546875" style="1" bestFit="1" customWidth="1"/>
    <col min="1290" max="1291" width="10.6640625" style="1" customWidth="1"/>
    <col min="1292" max="1292" width="12.5546875" style="1" customWidth="1"/>
    <col min="1293" max="1293" width="14.33203125" style="1" customWidth="1"/>
    <col min="1294" max="1294" width="12.5546875" style="1" customWidth="1"/>
    <col min="1295" max="1295" width="5" style="1" customWidth="1"/>
    <col min="1296" max="1296" width="4" style="1" customWidth="1"/>
    <col min="1297" max="1297" width="18.33203125" style="1" bestFit="1" customWidth="1"/>
    <col min="1298" max="1298" width="10.88671875" style="1" customWidth="1"/>
    <col min="1299" max="1299" width="15" style="1" customWidth="1"/>
    <col min="1300" max="1300" width="10.6640625" style="1" customWidth="1"/>
    <col min="1301" max="1301" width="12.5546875" style="1" customWidth="1"/>
    <col min="1302" max="1302" width="13.6640625" style="1" customWidth="1"/>
    <col min="1303" max="1303" width="12.5546875" style="1" customWidth="1"/>
    <col min="1304" max="1304" width="13.6640625" style="1" customWidth="1"/>
    <col min="1305" max="1305" width="15.109375" style="1" customWidth="1"/>
    <col min="1306" max="1306" width="3.6640625" style="1" customWidth="1"/>
    <col min="1307" max="1307" width="28" style="1" bestFit="1" customWidth="1"/>
    <col min="1308" max="1308" width="15.33203125" style="1" customWidth="1"/>
    <col min="1309" max="1309" width="21.5546875" style="1" customWidth="1"/>
    <col min="1310" max="1310" width="22.6640625" style="1" customWidth="1"/>
    <col min="1311" max="1311" width="1.5546875" style="1" customWidth="1"/>
    <col min="1312" max="1312" width="17.6640625" style="1" bestFit="1" customWidth="1"/>
    <col min="1313" max="1313" width="13.88671875" style="1" customWidth="1"/>
    <col min="1314" max="1314" width="3.109375" style="1" customWidth="1"/>
    <col min="1315" max="1315" width="23.109375" style="1" customWidth="1"/>
    <col min="1316" max="1316" width="5.5546875" style="1" customWidth="1"/>
    <col min="1317" max="1317" width="11" style="1" customWidth="1"/>
    <col min="1318" max="1318" width="26.33203125" style="1" customWidth="1"/>
    <col min="1319" max="1319" width="1.5546875" style="1" customWidth="1"/>
    <col min="1320" max="1320" width="17.33203125" style="1" customWidth="1"/>
    <col min="1321" max="1321" width="1.109375" style="1" customWidth="1"/>
    <col min="1322" max="1536" width="9.109375" style="1"/>
    <col min="1537" max="1537" width="9" style="1" bestFit="1" customWidth="1"/>
    <col min="1538" max="1538" width="5" style="1" bestFit="1" customWidth="1"/>
    <col min="1539" max="1539" width="34.5546875" style="1" bestFit="1" customWidth="1"/>
    <col min="1540" max="1540" width="10.6640625" style="1" bestFit="1" customWidth="1"/>
    <col min="1541" max="1541" width="16" style="1" bestFit="1" customWidth="1"/>
    <col min="1542" max="1542" width="12.5546875" style="1" bestFit="1" customWidth="1"/>
    <col min="1543" max="1543" width="3.6640625" style="1" customWidth="1"/>
    <col min="1544" max="1544" width="4" style="1" bestFit="1" customWidth="1"/>
    <col min="1545" max="1545" width="36.5546875" style="1" bestFit="1" customWidth="1"/>
    <col min="1546" max="1547" width="10.6640625" style="1" customWidth="1"/>
    <col min="1548" max="1548" width="12.5546875" style="1" customWidth="1"/>
    <col min="1549" max="1549" width="14.33203125" style="1" customWidth="1"/>
    <col min="1550" max="1550" width="12.5546875" style="1" customWidth="1"/>
    <col min="1551" max="1551" width="5" style="1" customWidth="1"/>
    <col min="1552" max="1552" width="4" style="1" customWidth="1"/>
    <col min="1553" max="1553" width="18.33203125" style="1" bestFit="1" customWidth="1"/>
    <col min="1554" max="1554" width="10.88671875" style="1" customWidth="1"/>
    <col min="1555" max="1555" width="15" style="1" customWidth="1"/>
    <col min="1556" max="1556" width="10.6640625" style="1" customWidth="1"/>
    <col min="1557" max="1557" width="12.5546875" style="1" customWidth="1"/>
    <col min="1558" max="1558" width="13.6640625" style="1" customWidth="1"/>
    <col min="1559" max="1559" width="12.5546875" style="1" customWidth="1"/>
    <col min="1560" max="1560" width="13.6640625" style="1" customWidth="1"/>
    <col min="1561" max="1561" width="15.109375" style="1" customWidth="1"/>
    <col min="1562" max="1562" width="3.6640625" style="1" customWidth="1"/>
    <col min="1563" max="1563" width="28" style="1" bestFit="1" customWidth="1"/>
    <col min="1564" max="1564" width="15.33203125" style="1" customWidth="1"/>
    <col min="1565" max="1565" width="21.5546875" style="1" customWidth="1"/>
    <col min="1566" max="1566" width="22.6640625" style="1" customWidth="1"/>
    <col min="1567" max="1567" width="1.5546875" style="1" customWidth="1"/>
    <col min="1568" max="1568" width="17.6640625" style="1" bestFit="1" customWidth="1"/>
    <col min="1569" max="1569" width="13.88671875" style="1" customWidth="1"/>
    <col min="1570" max="1570" width="3.109375" style="1" customWidth="1"/>
    <col min="1571" max="1571" width="23.109375" style="1" customWidth="1"/>
    <col min="1572" max="1572" width="5.5546875" style="1" customWidth="1"/>
    <col min="1573" max="1573" width="11" style="1" customWidth="1"/>
    <col min="1574" max="1574" width="26.33203125" style="1" customWidth="1"/>
    <col min="1575" max="1575" width="1.5546875" style="1" customWidth="1"/>
    <col min="1576" max="1576" width="17.33203125" style="1" customWidth="1"/>
    <col min="1577" max="1577" width="1.109375" style="1" customWidth="1"/>
    <col min="1578" max="1792" width="9.109375" style="1"/>
    <col min="1793" max="1793" width="9" style="1" bestFit="1" customWidth="1"/>
    <col min="1794" max="1794" width="5" style="1" bestFit="1" customWidth="1"/>
    <col min="1795" max="1795" width="34.5546875" style="1" bestFit="1" customWidth="1"/>
    <col min="1796" max="1796" width="10.6640625" style="1" bestFit="1" customWidth="1"/>
    <col min="1797" max="1797" width="16" style="1" bestFit="1" customWidth="1"/>
    <col min="1798" max="1798" width="12.5546875" style="1" bestFit="1" customWidth="1"/>
    <col min="1799" max="1799" width="3.6640625" style="1" customWidth="1"/>
    <col min="1800" max="1800" width="4" style="1" bestFit="1" customWidth="1"/>
    <col min="1801" max="1801" width="36.5546875" style="1" bestFit="1" customWidth="1"/>
    <col min="1802" max="1803" width="10.6640625" style="1" customWidth="1"/>
    <col min="1804" max="1804" width="12.5546875" style="1" customWidth="1"/>
    <col min="1805" max="1805" width="14.33203125" style="1" customWidth="1"/>
    <col min="1806" max="1806" width="12.5546875" style="1" customWidth="1"/>
    <col min="1807" max="1807" width="5" style="1" customWidth="1"/>
    <col min="1808" max="1808" width="4" style="1" customWidth="1"/>
    <col min="1809" max="1809" width="18.33203125" style="1" bestFit="1" customWidth="1"/>
    <col min="1810" max="1810" width="10.88671875" style="1" customWidth="1"/>
    <col min="1811" max="1811" width="15" style="1" customWidth="1"/>
    <col min="1812" max="1812" width="10.6640625" style="1" customWidth="1"/>
    <col min="1813" max="1813" width="12.5546875" style="1" customWidth="1"/>
    <col min="1814" max="1814" width="13.6640625" style="1" customWidth="1"/>
    <col min="1815" max="1815" width="12.5546875" style="1" customWidth="1"/>
    <col min="1816" max="1816" width="13.6640625" style="1" customWidth="1"/>
    <col min="1817" max="1817" width="15.109375" style="1" customWidth="1"/>
    <col min="1818" max="1818" width="3.6640625" style="1" customWidth="1"/>
    <col min="1819" max="1819" width="28" style="1" bestFit="1" customWidth="1"/>
    <col min="1820" max="1820" width="15.33203125" style="1" customWidth="1"/>
    <col min="1821" max="1821" width="21.5546875" style="1" customWidth="1"/>
    <col min="1822" max="1822" width="22.6640625" style="1" customWidth="1"/>
    <col min="1823" max="1823" width="1.5546875" style="1" customWidth="1"/>
    <col min="1824" max="1824" width="17.6640625" style="1" bestFit="1" customWidth="1"/>
    <col min="1825" max="1825" width="13.88671875" style="1" customWidth="1"/>
    <col min="1826" max="1826" width="3.109375" style="1" customWidth="1"/>
    <col min="1827" max="1827" width="23.109375" style="1" customWidth="1"/>
    <col min="1828" max="1828" width="5.5546875" style="1" customWidth="1"/>
    <col min="1829" max="1829" width="11" style="1" customWidth="1"/>
    <col min="1830" max="1830" width="26.33203125" style="1" customWidth="1"/>
    <col min="1831" max="1831" width="1.5546875" style="1" customWidth="1"/>
    <col min="1832" max="1832" width="17.33203125" style="1" customWidth="1"/>
    <col min="1833" max="1833" width="1.109375" style="1" customWidth="1"/>
    <col min="1834" max="2048" width="9.109375" style="1"/>
    <col min="2049" max="2049" width="9" style="1" bestFit="1" customWidth="1"/>
    <col min="2050" max="2050" width="5" style="1" bestFit="1" customWidth="1"/>
    <col min="2051" max="2051" width="34.5546875" style="1" bestFit="1" customWidth="1"/>
    <col min="2052" max="2052" width="10.6640625" style="1" bestFit="1" customWidth="1"/>
    <col min="2053" max="2053" width="16" style="1" bestFit="1" customWidth="1"/>
    <col min="2054" max="2054" width="12.5546875" style="1" bestFit="1" customWidth="1"/>
    <col min="2055" max="2055" width="3.6640625" style="1" customWidth="1"/>
    <col min="2056" max="2056" width="4" style="1" bestFit="1" customWidth="1"/>
    <col min="2057" max="2057" width="36.5546875" style="1" bestFit="1" customWidth="1"/>
    <col min="2058" max="2059" width="10.6640625" style="1" customWidth="1"/>
    <col min="2060" max="2060" width="12.5546875" style="1" customWidth="1"/>
    <col min="2061" max="2061" width="14.33203125" style="1" customWidth="1"/>
    <col min="2062" max="2062" width="12.5546875" style="1" customWidth="1"/>
    <col min="2063" max="2063" width="5" style="1" customWidth="1"/>
    <col min="2064" max="2064" width="4" style="1" customWidth="1"/>
    <col min="2065" max="2065" width="18.33203125" style="1" bestFit="1" customWidth="1"/>
    <col min="2066" max="2066" width="10.88671875" style="1" customWidth="1"/>
    <col min="2067" max="2067" width="15" style="1" customWidth="1"/>
    <col min="2068" max="2068" width="10.6640625" style="1" customWidth="1"/>
    <col min="2069" max="2069" width="12.5546875" style="1" customWidth="1"/>
    <col min="2070" max="2070" width="13.6640625" style="1" customWidth="1"/>
    <col min="2071" max="2071" width="12.5546875" style="1" customWidth="1"/>
    <col min="2072" max="2072" width="13.6640625" style="1" customWidth="1"/>
    <col min="2073" max="2073" width="15.109375" style="1" customWidth="1"/>
    <col min="2074" max="2074" width="3.6640625" style="1" customWidth="1"/>
    <col min="2075" max="2075" width="28" style="1" bestFit="1" customWidth="1"/>
    <col min="2076" max="2076" width="15.33203125" style="1" customWidth="1"/>
    <col min="2077" max="2077" width="21.5546875" style="1" customWidth="1"/>
    <col min="2078" max="2078" width="22.6640625" style="1" customWidth="1"/>
    <col min="2079" max="2079" width="1.5546875" style="1" customWidth="1"/>
    <col min="2080" max="2080" width="17.6640625" style="1" bestFit="1" customWidth="1"/>
    <col min="2081" max="2081" width="13.88671875" style="1" customWidth="1"/>
    <col min="2082" max="2082" width="3.109375" style="1" customWidth="1"/>
    <col min="2083" max="2083" width="23.109375" style="1" customWidth="1"/>
    <col min="2084" max="2084" width="5.5546875" style="1" customWidth="1"/>
    <col min="2085" max="2085" width="11" style="1" customWidth="1"/>
    <col min="2086" max="2086" width="26.33203125" style="1" customWidth="1"/>
    <col min="2087" max="2087" width="1.5546875" style="1" customWidth="1"/>
    <col min="2088" max="2088" width="17.33203125" style="1" customWidth="1"/>
    <col min="2089" max="2089" width="1.109375" style="1" customWidth="1"/>
    <col min="2090" max="2304" width="9.109375" style="1"/>
    <col min="2305" max="2305" width="9" style="1" bestFit="1" customWidth="1"/>
    <col min="2306" max="2306" width="5" style="1" bestFit="1" customWidth="1"/>
    <col min="2307" max="2307" width="34.5546875" style="1" bestFit="1" customWidth="1"/>
    <col min="2308" max="2308" width="10.6640625" style="1" bestFit="1" customWidth="1"/>
    <col min="2309" max="2309" width="16" style="1" bestFit="1" customWidth="1"/>
    <col min="2310" max="2310" width="12.5546875" style="1" bestFit="1" customWidth="1"/>
    <col min="2311" max="2311" width="3.6640625" style="1" customWidth="1"/>
    <col min="2312" max="2312" width="4" style="1" bestFit="1" customWidth="1"/>
    <col min="2313" max="2313" width="36.5546875" style="1" bestFit="1" customWidth="1"/>
    <col min="2314" max="2315" width="10.6640625" style="1" customWidth="1"/>
    <col min="2316" max="2316" width="12.5546875" style="1" customWidth="1"/>
    <col min="2317" max="2317" width="14.33203125" style="1" customWidth="1"/>
    <col min="2318" max="2318" width="12.5546875" style="1" customWidth="1"/>
    <col min="2319" max="2319" width="5" style="1" customWidth="1"/>
    <col min="2320" max="2320" width="4" style="1" customWidth="1"/>
    <col min="2321" max="2321" width="18.33203125" style="1" bestFit="1" customWidth="1"/>
    <col min="2322" max="2322" width="10.88671875" style="1" customWidth="1"/>
    <col min="2323" max="2323" width="15" style="1" customWidth="1"/>
    <col min="2324" max="2324" width="10.6640625" style="1" customWidth="1"/>
    <col min="2325" max="2325" width="12.5546875" style="1" customWidth="1"/>
    <col min="2326" max="2326" width="13.6640625" style="1" customWidth="1"/>
    <col min="2327" max="2327" width="12.5546875" style="1" customWidth="1"/>
    <col min="2328" max="2328" width="13.6640625" style="1" customWidth="1"/>
    <col min="2329" max="2329" width="15.109375" style="1" customWidth="1"/>
    <col min="2330" max="2330" width="3.6640625" style="1" customWidth="1"/>
    <col min="2331" max="2331" width="28" style="1" bestFit="1" customWidth="1"/>
    <col min="2332" max="2332" width="15.33203125" style="1" customWidth="1"/>
    <col min="2333" max="2333" width="21.5546875" style="1" customWidth="1"/>
    <col min="2334" max="2334" width="22.6640625" style="1" customWidth="1"/>
    <col min="2335" max="2335" width="1.5546875" style="1" customWidth="1"/>
    <col min="2336" max="2336" width="17.6640625" style="1" bestFit="1" customWidth="1"/>
    <col min="2337" max="2337" width="13.88671875" style="1" customWidth="1"/>
    <col min="2338" max="2338" width="3.109375" style="1" customWidth="1"/>
    <col min="2339" max="2339" width="23.109375" style="1" customWidth="1"/>
    <col min="2340" max="2340" width="5.5546875" style="1" customWidth="1"/>
    <col min="2341" max="2341" width="11" style="1" customWidth="1"/>
    <col min="2342" max="2342" width="26.33203125" style="1" customWidth="1"/>
    <col min="2343" max="2343" width="1.5546875" style="1" customWidth="1"/>
    <col min="2344" max="2344" width="17.33203125" style="1" customWidth="1"/>
    <col min="2345" max="2345" width="1.109375" style="1" customWidth="1"/>
    <col min="2346" max="2560" width="9.109375" style="1"/>
    <col min="2561" max="2561" width="9" style="1" bestFit="1" customWidth="1"/>
    <col min="2562" max="2562" width="5" style="1" bestFit="1" customWidth="1"/>
    <col min="2563" max="2563" width="34.5546875" style="1" bestFit="1" customWidth="1"/>
    <col min="2564" max="2564" width="10.6640625" style="1" bestFit="1" customWidth="1"/>
    <col min="2565" max="2565" width="16" style="1" bestFit="1" customWidth="1"/>
    <col min="2566" max="2566" width="12.5546875" style="1" bestFit="1" customWidth="1"/>
    <col min="2567" max="2567" width="3.6640625" style="1" customWidth="1"/>
    <col min="2568" max="2568" width="4" style="1" bestFit="1" customWidth="1"/>
    <col min="2569" max="2569" width="36.5546875" style="1" bestFit="1" customWidth="1"/>
    <col min="2570" max="2571" width="10.6640625" style="1" customWidth="1"/>
    <col min="2572" max="2572" width="12.5546875" style="1" customWidth="1"/>
    <col min="2573" max="2573" width="14.33203125" style="1" customWidth="1"/>
    <col min="2574" max="2574" width="12.5546875" style="1" customWidth="1"/>
    <col min="2575" max="2575" width="5" style="1" customWidth="1"/>
    <col min="2576" max="2576" width="4" style="1" customWidth="1"/>
    <col min="2577" max="2577" width="18.33203125" style="1" bestFit="1" customWidth="1"/>
    <col min="2578" max="2578" width="10.88671875" style="1" customWidth="1"/>
    <col min="2579" max="2579" width="15" style="1" customWidth="1"/>
    <col min="2580" max="2580" width="10.6640625" style="1" customWidth="1"/>
    <col min="2581" max="2581" width="12.5546875" style="1" customWidth="1"/>
    <col min="2582" max="2582" width="13.6640625" style="1" customWidth="1"/>
    <col min="2583" max="2583" width="12.5546875" style="1" customWidth="1"/>
    <col min="2584" max="2584" width="13.6640625" style="1" customWidth="1"/>
    <col min="2585" max="2585" width="15.109375" style="1" customWidth="1"/>
    <col min="2586" max="2586" width="3.6640625" style="1" customWidth="1"/>
    <col min="2587" max="2587" width="28" style="1" bestFit="1" customWidth="1"/>
    <col min="2588" max="2588" width="15.33203125" style="1" customWidth="1"/>
    <col min="2589" max="2589" width="21.5546875" style="1" customWidth="1"/>
    <col min="2590" max="2590" width="22.6640625" style="1" customWidth="1"/>
    <col min="2591" max="2591" width="1.5546875" style="1" customWidth="1"/>
    <col min="2592" max="2592" width="17.6640625" style="1" bestFit="1" customWidth="1"/>
    <col min="2593" max="2593" width="13.88671875" style="1" customWidth="1"/>
    <col min="2594" max="2594" width="3.109375" style="1" customWidth="1"/>
    <col min="2595" max="2595" width="23.109375" style="1" customWidth="1"/>
    <col min="2596" max="2596" width="5.5546875" style="1" customWidth="1"/>
    <col min="2597" max="2597" width="11" style="1" customWidth="1"/>
    <col min="2598" max="2598" width="26.33203125" style="1" customWidth="1"/>
    <col min="2599" max="2599" width="1.5546875" style="1" customWidth="1"/>
    <col min="2600" max="2600" width="17.33203125" style="1" customWidth="1"/>
    <col min="2601" max="2601" width="1.109375" style="1" customWidth="1"/>
    <col min="2602" max="2816" width="9.109375" style="1"/>
    <col min="2817" max="2817" width="9" style="1" bestFit="1" customWidth="1"/>
    <col min="2818" max="2818" width="5" style="1" bestFit="1" customWidth="1"/>
    <col min="2819" max="2819" width="34.5546875" style="1" bestFit="1" customWidth="1"/>
    <col min="2820" max="2820" width="10.6640625" style="1" bestFit="1" customWidth="1"/>
    <col min="2821" max="2821" width="16" style="1" bestFit="1" customWidth="1"/>
    <col min="2822" max="2822" width="12.5546875" style="1" bestFit="1" customWidth="1"/>
    <col min="2823" max="2823" width="3.6640625" style="1" customWidth="1"/>
    <col min="2824" max="2824" width="4" style="1" bestFit="1" customWidth="1"/>
    <col min="2825" max="2825" width="36.5546875" style="1" bestFit="1" customWidth="1"/>
    <col min="2826" max="2827" width="10.6640625" style="1" customWidth="1"/>
    <col min="2828" max="2828" width="12.5546875" style="1" customWidth="1"/>
    <col min="2829" max="2829" width="14.33203125" style="1" customWidth="1"/>
    <col min="2830" max="2830" width="12.5546875" style="1" customWidth="1"/>
    <col min="2831" max="2831" width="5" style="1" customWidth="1"/>
    <col min="2832" max="2832" width="4" style="1" customWidth="1"/>
    <col min="2833" max="2833" width="18.33203125" style="1" bestFit="1" customWidth="1"/>
    <col min="2834" max="2834" width="10.88671875" style="1" customWidth="1"/>
    <col min="2835" max="2835" width="15" style="1" customWidth="1"/>
    <col min="2836" max="2836" width="10.6640625" style="1" customWidth="1"/>
    <col min="2837" max="2837" width="12.5546875" style="1" customWidth="1"/>
    <col min="2838" max="2838" width="13.6640625" style="1" customWidth="1"/>
    <col min="2839" max="2839" width="12.5546875" style="1" customWidth="1"/>
    <col min="2840" max="2840" width="13.6640625" style="1" customWidth="1"/>
    <col min="2841" max="2841" width="15.109375" style="1" customWidth="1"/>
    <col min="2842" max="2842" width="3.6640625" style="1" customWidth="1"/>
    <col min="2843" max="2843" width="28" style="1" bestFit="1" customWidth="1"/>
    <col min="2844" max="2844" width="15.33203125" style="1" customWidth="1"/>
    <col min="2845" max="2845" width="21.5546875" style="1" customWidth="1"/>
    <col min="2846" max="2846" width="22.6640625" style="1" customWidth="1"/>
    <col min="2847" max="2847" width="1.5546875" style="1" customWidth="1"/>
    <col min="2848" max="2848" width="17.6640625" style="1" bestFit="1" customWidth="1"/>
    <col min="2849" max="2849" width="13.88671875" style="1" customWidth="1"/>
    <col min="2850" max="2850" width="3.109375" style="1" customWidth="1"/>
    <col min="2851" max="2851" width="23.109375" style="1" customWidth="1"/>
    <col min="2852" max="2852" width="5.5546875" style="1" customWidth="1"/>
    <col min="2853" max="2853" width="11" style="1" customWidth="1"/>
    <col min="2854" max="2854" width="26.33203125" style="1" customWidth="1"/>
    <col min="2855" max="2855" width="1.5546875" style="1" customWidth="1"/>
    <col min="2856" max="2856" width="17.33203125" style="1" customWidth="1"/>
    <col min="2857" max="2857" width="1.109375" style="1" customWidth="1"/>
    <col min="2858" max="3072" width="9.109375" style="1"/>
    <col min="3073" max="3073" width="9" style="1" bestFit="1" customWidth="1"/>
    <col min="3074" max="3074" width="5" style="1" bestFit="1" customWidth="1"/>
    <col min="3075" max="3075" width="34.5546875" style="1" bestFit="1" customWidth="1"/>
    <col min="3076" max="3076" width="10.6640625" style="1" bestFit="1" customWidth="1"/>
    <col min="3077" max="3077" width="16" style="1" bestFit="1" customWidth="1"/>
    <col min="3078" max="3078" width="12.5546875" style="1" bestFit="1" customWidth="1"/>
    <col min="3079" max="3079" width="3.6640625" style="1" customWidth="1"/>
    <col min="3080" max="3080" width="4" style="1" bestFit="1" customWidth="1"/>
    <col min="3081" max="3081" width="36.5546875" style="1" bestFit="1" customWidth="1"/>
    <col min="3082" max="3083" width="10.6640625" style="1" customWidth="1"/>
    <col min="3084" max="3084" width="12.5546875" style="1" customWidth="1"/>
    <col min="3085" max="3085" width="14.33203125" style="1" customWidth="1"/>
    <col min="3086" max="3086" width="12.5546875" style="1" customWidth="1"/>
    <col min="3087" max="3087" width="5" style="1" customWidth="1"/>
    <col min="3088" max="3088" width="4" style="1" customWidth="1"/>
    <col min="3089" max="3089" width="18.33203125" style="1" bestFit="1" customWidth="1"/>
    <col min="3090" max="3090" width="10.88671875" style="1" customWidth="1"/>
    <col min="3091" max="3091" width="15" style="1" customWidth="1"/>
    <col min="3092" max="3092" width="10.6640625" style="1" customWidth="1"/>
    <col min="3093" max="3093" width="12.5546875" style="1" customWidth="1"/>
    <col min="3094" max="3094" width="13.6640625" style="1" customWidth="1"/>
    <col min="3095" max="3095" width="12.5546875" style="1" customWidth="1"/>
    <col min="3096" max="3096" width="13.6640625" style="1" customWidth="1"/>
    <col min="3097" max="3097" width="15.109375" style="1" customWidth="1"/>
    <col min="3098" max="3098" width="3.6640625" style="1" customWidth="1"/>
    <col min="3099" max="3099" width="28" style="1" bestFit="1" customWidth="1"/>
    <col min="3100" max="3100" width="15.33203125" style="1" customWidth="1"/>
    <col min="3101" max="3101" width="21.5546875" style="1" customWidth="1"/>
    <col min="3102" max="3102" width="22.6640625" style="1" customWidth="1"/>
    <col min="3103" max="3103" width="1.5546875" style="1" customWidth="1"/>
    <col min="3104" max="3104" width="17.6640625" style="1" bestFit="1" customWidth="1"/>
    <col min="3105" max="3105" width="13.88671875" style="1" customWidth="1"/>
    <col min="3106" max="3106" width="3.109375" style="1" customWidth="1"/>
    <col min="3107" max="3107" width="23.109375" style="1" customWidth="1"/>
    <col min="3108" max="3108" width="5.5546875" style="1" customWidth="1"/>
    <col min="3109" max="3109" width="11" style="1" customWidth="1"/>
    <col min="3110" max="3110" width="26.33203125" style="1" customWidth="1"/>
    <col min="3111" max="3111" width="1.5546875" style="1" customWidth="1"/>
    <col min="3112" max="3112" width="17.33203125" style="1" customWidth="1"/>
    <col min="3113" max="3113" width="1.109375" style="1" customWidth="1"/>
    <col min="3114" max="3328" width="9.109375" style="1"/>
    <col min="3329" max="3329" width="9" style="1" bestFit="1" customWidth="1"/>
    <col min="3330" max="3330" width="5" style="1" bestFit="1" customWidth="1"/>
    <col min="3331" max="3331" width="34.5546875" style="1" bestFit="1" customWidth="1"/>
    <col min="3332" max="3332" width="10.6640625" style="1" bestFit="1" customWidth="1"/>
    <col min="3333" max="3333" width="16" style="1" bestFit="1" customWidth="1"/>
    <col min="3334" max="3334" width="12.5546875" style="1" bestFit="1" customWidth="1"/>
    <col min="3335" max="3335" width="3.6640625" style="1" customWidth="1"/>
    <col min="3336" max="3336" width="4" style="1" bestFit="1" customWidth="1"/>
    <col min="3337" max="3337" width="36.5546875" style="1" bestFit="1" customWidth="1"/>
    <col min="3338" max="3339" width="10.6640625" style="1" customWidth="1"/>
    <col min="3340" max="3340" width="12.5546875" style="1" customWidth="1"/>
    <col min="3341" max="3341" width="14.33203125" style="1" customWidth="1"/>
    <col min="3342" max="3342" width="12.5546875" style="1" customWidth="1"/>
    <col min="3343" max="3343" width="5" style="1" customWidth="1"/>
    <col min="3344" max="3344" width="4" style="1" customWidth="1"/>
    <col min="3345" max="3345" width="18.33203125" style="1" bestFit="1" customWidth="1"/>
    <col min="3346" max="3346" width="10.88671875" style="1" customWidth="1"/>
    <col min="3347" max="3347" width="15" style="1" customWidth="1"/>
    <col min="3348" max="3348" width="10.6640625" style="1" customWidth="1"/>
    <col min="3349" max="3349" width="12.5546875" style="1" customWidth="1"/>
    <col min="3350" max="3350" width="13.6640625" style="1" customWidth="1"/>
    <col min="3351" max="3351" width="12.5546875" style="1" customWidth="1"/>
    <col min="3352" max="3352" width="13.6640625" style="1" customWidth="1"/>
    <col min="3353" max="3353" width="15.109375" style="1" customWidth="1"/>
    <col min="3354" max="3354" width="3.6640625" style="1" customWidth="1"/>
    <col min="3355" max="3355" width="28" style="1" bestFit="1" customWidth="1"/>
    <col min="3356" max="3356" width="15.33203125" style="1" customWidth="1"/>
    <col min="3357" max="3357" width="21.5546875" style="1" customWidth="1"/>
    <col min="3358" max="3358" width="22.6640625" style="1" customWidth="1"/>
    <col min="3359" max="3359" width="1.5546875" style="1" customWidth="1"/>
    <col min="3360" max="3360" width="17.6640625" style="1" bestFit="1" customWidth="1"/>
    <col min="3361" max="3361" width="13.88671875" style="1" customWidth="1"/>
    <col min="3362" max="3362" width="3.109375" style="1" customWidth="1"/>
    <col min="3363" max="3363" width="23.109375" style="1" customWidth="1"/>
    <col min="3364" max="3364" width="5.5546875" style="1" customWidth="1"/>
    <col min="3365" max="3365" width="11" style="1" customWidth="1"/>
    <col min="3366" max="3366" width="26.33203125" style="1" customWidth="1"/>
    <col min="3367" max="3367" width="1.5546875" style="1" customWidth="1"/>
    <col min="3368" max="3368" width="17.33203125" style="1" customWidth="1"/>
    <col min="3369" max="3369" width="1.109375" style="1" customWidth="1"/>
    <col min="3370" max="3584" width="9.109375" style="1"/>
    <col min="3585" max="3585" width="9" style="1" bestFit="1" customWidth="1"/>
    <col min="3586" max="3586" width="5" style="1" bestFit="1" customWidth="1"/>
    <col min="3587" max="3587" width="34.5546875" style="1" bestFit="1" customWidth="1"/>
    <col min="3588" max="3588" width="10.6640625" style="1" bestFit="1" customWidth="1"/>
    <col min="3589" max="3589" width="16" style="1" bestFit="1" customWidth="1"/>
    <col min="3590" max="3590" width="12.5546875" style="1" bestFit="1" customWidth="1"/>
    <col min="3591" max="3591" width="3.6640625" style="1" customWidth="1"/>
    <col min="3592" max="3592" width="4" style="1" bestFit="1" customWidth="1"/>
    <col min="3593" max="3593" width="36.5546875" style="1" bestFit="1" customWidth="1"/>
    <col min="3594" max="3595" width="10.6640625" style="1" customWidth="1"/>
    <col min="3596" max="3596" width="12.5546875" style="1" customWidth="1"/>
    <col min="3597" max="3597" width="14.33203125" style="1" customWidth="1"/>
    <col min="3598" max="3598" width="12.5546875" style="1" customWidth="1"/>
    <col min="3599" max="3599" width="5" style="1" customWidth="1"/>
    <col min="3600" max="3600" width="4" style="1" customWidth="1"/>
    <col min="3601" max="3601" width="18.33203125" style="1" bestFit="1" customWidth="1"/>
    <col min="3602" max="3602" width="10.88671875" style="1" customWidth="1"/>
    <col min="3603" max="3603" width="15" style="1" customWidth="1"/>
    <col min="3604" max="3604" width="10.6640625" style="1" customWidth="1"/>
    <col min="3605" max="3605" width="12.5546875" style="1" customWidth="1"/>
    <col min="3606" max="3606" width="13.6640625" style="1" customWidth="1"/>
    <col min="3607" max="3607" width="12.5546875" style="1" customWidth="1"/>
    <col min="3608" max="3608" width="13.6640625" style="1" customWidth="1"/>
    <col min="3609" max="3609" width="15.109375" style="1" customWidth="1"/>
    <col min="3610" max="3610" width="3.6640625" style="1" customWidth="1"/>
    <col min="3611" max="3611" width="28" style="1" bestFit="1" customWidth="1"/>
    <col min="3612" max="3612" width="15.33203125" style="1" customWidth="1"/>
    <col min="3613" max="3613" width="21.5546875" style="1" customWidth="1"/>
    <col min="3614" max="3614" width="22.6640625" style="1" customWidth="1"/>
    <col min="3615" max="3615" width="1.5546875" style="1" customWidth="1"/>
    <col min="3616" max="3616" width="17.6640625" style="1" bestFit="1" customWidth="1"/>
    <col min="3617" max="3617" width="13.88671875" style="1" customWidth="1"/>
    <col min="3618" max="3618" width="3.109375" style="1" customWidth="1"/>
    <col min="3619" max="3619" width="23.109375" style="1" customWidth="1"/>
    <col min="3620" max="3620" width="5.5546875" style="1" customWidth="1"/>
    <col min="3621" max="3621" width="11" style="1" customWidth="1"/>
    <col min="3622" max="3622" width="26.33203125" style="1" customWidth="1"/>
    <col min="3623" max="3623" width="1.5546875" style="1" customWidth="1"/>
    <col min="3624" max="3624" width="17.33203125" style="1" customWidth="1"/>
    <col min="3625" max="3625" width="1.109375" style="1" customWidth="1"/>
    <col min="3626" max="3840" width="9.109375" style="1"/>
    <col min="3841" max="3841" width="9" style="1" bestFit="1" customWidth="1"/>
    <col min="3842" max="3842" width="5" style="1" bestFit="1" customWidth="1"/>
    <col min="3843" max="3843" width="34.5546875" style="1" bestFit="1" customWidth="1"/>
    <col min="3844" max="3844" width="10.6640625" style="1" bestFit="1" customWidth="1"/>
    <col min="3845" max="3845" width="16" style="1" bestFit="1" customWidth="1"/>
    <col min="3846" max="3846" width="12.5546875" style="1" bestFit="1" customWidth="1"/>
    <col min="3847" max="3847" width="3.6640625" style="1" customWidth="1"/>
    <col min="3848" max="3848" width="4" style="1" bestFit="1" customWidth="1"/>
    <col min="3849" max="3849" width="36.5546875" style="1" bestFit="1" customWidth="1"/>
    <col min="3850" max="3851" width="10.6640625" style="1" customWidth="1"/>
    <col min="3852" max="3852" width="12.5546875" style="1" customWidth="1"/>
    <col min="3853" max="3853" width="14.33203125" style="1" customWidth="1"/>
    <col min="3854" max="3854" width="12.5546875" style="1" customWidth="1"/>
    <col min="3855" max="3855" width="5" style="1" customWidth="1"/>
    <col min="3856" max="3856" width="4" style="1" customWidth="1"/>
    <col min="3857" max="3857" width="18.33203125" style="1" bestFit="1" customWidth="1"/>
    <col min="3858" max="3858" width="10.88671875" style="1" customWidth="1"/>
    <col min="3859" max="3859" width="15" style="1" customWidth="1"/>
    <col min="3860" max="3860" width="10.6640625" style="1" customWidth="1"/>
    <col min="3861" max="3861" width="12.5546875" style="1" customWidth="1"/>
    <col min="3862" max="3862" width="13.6640625" style="1" customWidth="1"/>
    <col min="3863" max="3863" width="12.5546875" style="1" customWidth="1"/>
    <col min="3864" max="3864" width="13.6640625" style="1" customWidth="1"/>
    <col min="3865" max="3865" width="15.109375" style="1" customWidth="1"/>
    <col min="3866" max="3866" width="3.6640625" style="1" customWidth="1"/>
    <col min="3867" max="3867" width="28" style="1" bestFit="1" customWidth="1"/>
    <col min="3868" max="3868" width="15.33203125" style="1" customWidth="1"/>
    <col min="3869" max="3869" width="21.5546875" style="1" customWidth="1"/>
    <col min="3870" max="3870" width="22.6640625" style="1" customWidth="1"/>
    <col min="3871" max="3871" width="1.5546875" style="1" customWidth="1"/>
    <col min="3872" max="3872" width="17.6640625" style="1" bestFit="1" customWidth="1"/>
    <col min="3873" max="3873" width="13.88671875" style="1" customWidth="1"/>
    <col min="3874" max="3874" width="3.109375" style="1" customWidth="1"/>
    <col min="3875" max="3875" width="23.109375" style="1" customWidth="1"/>
    <col min="3876" max="3876" width="5.5546875" style="1" customWidth="1"/>
    <col min="3877" max="3877" width="11" style="1" customWidth="1"/>
    <col min="3878" max="3878" width="26.33203125" style="1" customWidth="1"/>
    <col min="3879" max="3879" width="1.5546875" style="1" customWidth="1"/>
    <col min="3880" max="3880" width="17.33203125" style="1" customWidth="1"/>
    <col min="3881" max="3881" width="1.109375" style="1" customWidth="1"/>
    <col min="3882" max="4096" width="9.109375" style="1"/>
    <col min="4097" max="4097" width="9" style="1" bestFit="1" customWidth="1"/>
    <col min="4098" max="4098" width="5" style="1" bestFit="1" customWidth="1"/>
    <col min="4099" max="4099" width="34.5546875" style="1" bestFit="1" customWidth="1"/>
    <col min="4100" max="4100" width="10.6640625" style="1" bestFit="1" customWidth="1"/>
    <col min="4101" max="4101" width="16" style="1" bestFit="1" customWidth="1"/>
    <col min="4102" max="4102" width="12.5546875" style="1" bestFit="1" customWidth="1"/>
    <col min="4103" max="4103" width="3.6640625" style="1" customWidth="1"/>
    <col min="4104" max="4104" width="4" style="1" bestFit="1" customWidth="1"/>
    <col min="4105" max="4105" width="36.5546875" style="1" bestFit="1" customWidth="1"/>
    <col min="4106" max="4107" width="10.6640625" style="1" customWidth="1"/>
    <col min="4108" max="4108" width="12.5546875" style="1" customWidth="1"/>
    <col min="4109" max="4109" width="14.33203125" style="1" customWidth="1"/>
    <col min="4110" max="4110" width="12.5546875" style="1" customWidth="1"/>
    <col min="4111" max="4111" width="5" style="1" customWidth="1"/>
    <col min="4112" max="4112" width="4" style="1" customWidth="1"/>
    <col min="4113" max="4113" width="18.33203125" style="1" bestFit="1" customWidth="1"/>
    <col min="4114" max="4114" width="10.88671875" style="1" customWidth="1"/>
    <col min="4115" max="4115" width="15" style="1" customWidth="1"/>
    <col min="4116" max="4116" width="10.6640625" style="1" customWidth="1"/>
    <col min="4117" max="4117" width="12.5546875" style="1" customWidth="1"/>
    <col min="4118" max="4118" width="13.6640625" style="1" customWidth="1"/>
    <col min="4119" max="4119" width="12.5546875" style="1" customWidth="1"/>
    <col min="4120" max="4120" width="13.6640625" style="1" customWidth="1"/>
    <col min="4121" max="4121" width="15.109375" style="1" customWidth="1"/>
    <col min="4122" max="4122" width="3.6640625" style="1" customWidth="1"/>
    <col min="4123" max="4123" width="28" style="1" bestFit="1" customWidth="1"/>
    <col min="4124" max="4124" width="15.33203125" style="1" customWidth="1"/>
    <col min="4125" max="4125" width="21.5546875" style="1" customWidth="1"/>
    <col min="4126" max="4126" width="22.6640625" style="1" customWidth="1"/>
    <col min="4127" max="4127" width="1.5546875" style="1" customWidth="1"/>
    <col min="4128" max="4128" width="17.6640625" style="1" bestFit="1" customWidth="1"/>
    <col min="4129" max="4129" width="13.88671875" style="1" customWidth="1"/>
    <col min="4130" max="4130" width="3.109375" style="1" customWidth="1"/>
    <col min="4131" max="4131" width="23.109375" style="1" customWidth="1"/>
    <col min="4132" max="4132" width="5.5546875" style="1" customWidth="1"/>
    <col min="4133" max="4133" width="11" style="1" customWidth="1"/>
    <col min="4134" max="4134" width="26.33203125" style="1" customWidth="1"/>
    <col min="4135" max="4135" width="1.5546875" style="1" customWidth="1"/>
    <col min="4136" max="4136" width="17.33203125" style="1" customWidth="1"/>
    <col min="4137" max="4137" width="1.109375" style="1" customWidth="1"/>
    <col min="4138" max="4352" width="9.109375" style="1"/>
    <col min="4353" max="4353" width="9" style="1" bestFit="1" customWidth="1"/>
    <col min="4354" max="4354" width="5" style="1" bestFit="1" customWidth="1"/>
    <col min="4355" max="4355" width="34.5546875" style="1" bestFit="1" customWidth="1"/>
    <col min="4356" max="4356" width="10.6640625" style="1" bestFit="1" customWidth="1"/>
    <col min="4357" max="4357" width="16" style="1" bestFit="1" customWidth="1"/>
    <col min="4358" max="4358" width="12.5546875" style="1" bestFit="1" customWidth="1"/>
    <col min="4359" max="4359" width="3.6640625" style="1" customWidth="1"/>
    <col min="4360" max="4360" width="4" style="1" bestFit="1" customWidth="1"/>
    <col min="4361" max="4361" width="36.5546875" style="1" bestFit="1" customWidth="1"/>
    <col min="4362" max="4363" width="10.6640625" style="1" customWidth="1"/>
    <col min="4364" max="4364" width="12.5546875" style="1" customWidth="1"/>
    <col min="4365" max="4365" width="14.33203125" style="1" customWidth="1"/>
    <col min="4366" max="4366" width="12.5546875" style="1" customWidth="1"/>
    <col min="4367" max="4367" width="5" style="1" customWidth="1"/>
    <col min="4368" max="4368" width="4" style="1" customWidth="1"/>
    <col min="4369" max="4369" width="18.33203125" style="1" bestFit="1" customWidth="1"/>
    <col min="4370" max="4370" width="10.88671875" style="1" customWidth="1"/>
    <col min="4371" max="4371" width="15" style="1" customWidth="1"/>
    <col min="4372" max="4372" width="10.6640625" style="1" customWidth="1"/>
    <col min="4373" max="4373" width="12.5546875" style="1" customWidth="1"/>
    <col min="4374" max="4374" width="13.6640625" style="1" customWidth="1"/>
    <col min="4375" max="4375" width="12.5546875" style="1" customWidth="1"/>
    <col min="4376" max="4376" width="13.6640625" style="1" customWidth="1"/>
    <col min="4377" max="4377" width="15.109375" style="1" customWidth="1"/>
    <col min="4378" max="4378" width="3.6640625" style="1" customWidth="1"/>
    <col min="4379" max="4379" width="28" style="1" bestFit="1" customWidth="1"/>
    <col min="4380" max="4380" width="15.33203125" style="1" customWidth="1"/>
    <col min="4381" max="4381" width="21.5546875" style="1" customWidth="1"/>
    <col min="4382" max="4382" width="22.6640625" style="1" customWidth="1"/>
    <col min="4383" max="4383" width="1.5546875" style="1" customWidth="1"/>
    <col min="4384" max="4384" width="17.6640625" style="1" bestFit="1" customWidth="1"/>
    <col min="4385" max="4385" width="13.88671875" style="1" customWidth="1"/>
    <col min="4386" max="4386" width="3.109375" style="1" customWidth="1"/>
    <col min="4387" max="4387" width="23.109375" style="1" customWidth="1"/>
    <col min="4388" max="4388" width="5.5546875" style="1" customWidth="1"/>
    <col min="4389" max="4389" width="11" style="1" customWidth="1"/>
    <col min="4390" max="4390" width="26.33203125" style="1" customWidth="1"/>
    <col min="4391" max="4391" width="1.5546875" style="1" customWidth="1"/>
    <col min="4392" max="4392" width="17.33203125" style="1" customWidth="1"/>
    <col min="4393" max="4393" width="1.109375" style="1" customWidth="1"/>
    <col min="4394" max="4608" width="9.109375" style="1"/>
    <col min="4609" max="4609" width="9" style="1" bestFit="1" customWidth="1"/>
    <col min="4610" max="4610" width="5" style="1" bestFit="1" customWidth="1"/>
    <col min="4611" max="4611" width="34.5546875" style="1" bestFit="1" customWidth="1"/>
    <col min="4612" max="4612" width="10.6640625" style="1" bestFit="1" customWidth="1"/>
    <col min="4613" max="4613" width="16" style="1" bestFit="1" customWidth="1"/>
    <col min="4614" max="4614" width="12.5546875" style="1" bestFit="1" customWidth="1"/>
    <col min="4615" max="4615" width="3.6640625" style="1" customWidth="1"/>
    <col min="4616" max="4616" width="4" style="1" bestFit="1" customWidth="1"/>
    <col min="4617" max="4617" width="36.5546875" style="1" bestFit="1" customWidth="1"/>
    <col min="4618" max="4619" width="10.6640625" style="1" customWidth="1"/>
    <col min="4620" max="4620" width="12.5546875" style="1" customWidth="1"/>
    <col min="4621" max="4621" width="14.33203125" style="1" customWidth="1"/>
    <col min="4622" max="4622" width="12.5546875" style="1" customWidth="1"/>
    <col min="4623" max="4623" width="5" style="1" customWidth="1"/>
    <col min="4624" max="4624" width="4" style="1" customWidth="1"/>
    <col min="4625" max="4625" width="18.33203125" style="1" bestFit="1" customWidth="1"/>
    <col min="4626" max="4626" width="10.88671875" style="1" customWidth="1"/>
    <col min="4627" max="4627" width="15" style="1" customWidth="1"/>
    <col min="4628" max="4628" width="10.6640625" style="1" customWidth="1"/>
    <col min="4629" max="4629" width="12.5546875" style="1" customWidth="1"/>
    <col min="4630" max="4630" width="13.6640625" style="1" customWidth="1"/>
    <col min="4631" max="4631" width="12.5546875" style="1" customWidth="1"/>
    <col min="4632" max="4632" width="13.6640625" style="1" customWidth="1"/>
    <col min="4633" max="4633" width="15.109375" style="1" customWidth="1"/>
    <col min="4634" max="4634" width="3.6640625" style="1" customWidth="1"/>
    <col min="4635" max="4635" width="28" style="1" bestFit="1" customWidth="1"/>
    <col min="4636" max="4636" width="15.33203125" style="1" customWidth="1"/>
    <col min="4637" max="4637" width="21.5546875" style="1" customWidth="1"/>
    <col min="4638" max="4638" width="22.6640625" style="1" customWidth="1"/>
    <col min="4639" max="4639" width="1.5546875" style="1" customWidth="1"/>
    <col min="4640" max="4640" width="17.6640625" style="1" bestFit="1" customWidth="1"/>
    <col min="4641" max="4641" width="13.88671875" style="1" customWidth="1"/>
    <col min="4642" max="4642" width="3.109375" style="1" customWidth="1"/>
    <col min="4643" max="4643" width="23.109375" style="1" customWidth="1"/>
    <col min="4644" max="4644" width="5.5546875" style="1" customWidth="1"/>
    <col min="4645" max="4645" width="11" style="1" customWidth="1"/>
    <col min="4646" max="4646" width="26.33203125" style="1" customWidth="1"/>
    <col min="4647" max="4647" width="1.5546875" style="1" customWidth="1"/>
    <col min="4648" max="4648" width="17.33203125" style="1" customWidth="1"/>
    <col min="4649" max="4649" width="1.109375" style="1" customWidth="1"/>
    <col min="4650" max="4864" width="9.109375" style="1"/>
    <col min="4865" max="4865" width="9" style="1" bestFit="1" customWidth="1"/>
    <col min="4866" max="4866" width="5" style="1" bestFit="1" customWidth="1"/>
    <col min="4867" max="4867" width="34.5546875" style="1" bestFit="1" customWidth="1"/>
    <col min="4868" max="4868" width="10.6640625" style="1" bestFit="1" customWidth="1"/>
    <col min="4869" max="4869" width="16" style="1" bestFit="1" customWidth="1"/>
    <col min="4870" max="4870" width="12.5546875" style="1" bestFit="1" customWidth="1"/>
    <col min="4871" max="4871" width="3.6640625" style="1" customWidth="1"/>
    <col min="4872" max="4872" width="4" style="1" bestFit="1" customWidth="1"/>
    <col min="4873" max="4873" width="36.5546875" style="1" bestFit="1" customWidth="1"/>
    <col min="4874" max="4875" width="10.6640625" style="1" customWidth="1"/>
    <col min="4876" max="4876" width="12.5546875" style="1" customWidth="1"/>
    <col min="4877" max="4877" width="14.33203125" style="1" customWidth="1"/>
    <col min="4878" max="4878" width="12.5546875" style="1" customWidth="1"/>
    <col min="4879" max="4879" width="5" style="1" customWidth="1"/>
    <col min="4880" max="4880" width="4" style="1" customWidth="1"/>
    <col min="4881" max="4881" width="18.33203125" style="1" bestFit="1" customWidth="1"/>
    <col min="4882" max="4882" width="10.88671875" style="1" customWidth="1"/>
    <col min="4883" max="4883" width="15" style="1" customWidth="1"/>
    <col min="4884" max="4884" width="10.6640625" style="1" customWidth="1"/>
    <col min="4885" max="4885" width="12.5546875" style="1" customWidth="1"/>
    <col min="4886" max="4886" width="13.6640625" style="1" customWidth="1"/>
    <col min="4887" max="4887" width="12.5546875" style="1" customWidth="1"/>
    <col min="4888" max="4888" width="13.6640625" style="1" customWidth="1"/>
    <col min="4889" max="4889" width="15.109375" style="1" customWidth="1"/>
    <col min="4890" max="4890" width="3.6640625" style="1" customWidth="1"/>
    <col min="4891" max="4891" width="28" style="1" bestFit="1" customWidth="1"/>
    <col min="4892" max="4892" width="15.33203125" style="1" customWidth="1"/>
    <col min="4893" max="4893" width="21.5546875" style="1" customWidth="1"/>
    <col min="4894" max="4894" width="22.6640625" style="1" customWidth="1"/>
    <col min="4895" max="4895" width="1.5546875" style="1" customWidth="1"/>
    <col min="4896" max="4896" width="17.6640625" style="1" bestFit="1" customWidth="1"/>
    <col min="4897" max="4897" width="13.88671875" style="1" customWidth="1"/>
    <col min="4898" max="4898" width="3.109375" style="1" customWidth="1"/>
    <col min="4899" max="4899" width="23.109375" style="1" customWidth="1"/>
    <col min="4900" max="4900" width="5.5546875" style="1" customWidth="1"/>
    <col min="4901" max="4901" width="11" style="1" customWidth="1"/>
    <col min="4902" max="4902" width="26.33203125" style="1" customWidth="1"/>
    <col min="4903" max="4903" width="1.5546875" style="1" customWidth="1"/>
    <col min="4904" max="4904" width="17.33203125" style="1" customWidth="1"/>
    <col min="4905" max="4905" width="1.109375" style="1" customWidth="1"/>
    <col min="4906" max="5120" width="9.109375" style="1"/>
    <col min="5121" max="5121" width="9" style="1" bestFit="1" customWidth="1"/>
    <col min="5122" max="5122" width="5" style="1" bestFit="1" customWidth="1"/>
    <col min="5123" max="5123" width="34.5546875" style="1" bestFit="1" customWidth="1"/>
    <col min="5124" max="5124" width="10.6640625" style="1" bestFit="1" customWidth="1"/>
    <col min="5125" max="5125" width="16" style="1" bestFit="1" customWidth="1"/>
    <col min="5126" max="5126" width="12.5546875" style="1" bestFit="1" customWidth="1"/>
    <col min="5127" max="5127" width="3.6640625" style="1" customWidth="1"/>
    <col min="5128" max="5128" width="4" style="1" bestFit="1" customWidth="1"/>
    <col min="5129" max="5129" width="36.5546875" style="1" bestFit="1" customWidth="1"/>
    <col min="5130" max="5131" width="10.6640625" style="1" customWidth="1"/>
    <col min="5132" max="5132" width="12.5546875" style="1" customWidth="1"/>
    <col min="5133" max="5133" width="14.33203125" style="1" customWidth="1"/>
    <col min="5134" max="5134" width="12.5546875" style="1" customWidth="1"/>
    <col min="5135" max="5135" width="5" style="1" customWidth="1"/>
    <col min="5136" max="5136" width="4" style="1" customWidth="1"/>
    <col min="5137" max="5137" width="18.33203125" style="1" bestFit="1" customWidth="1"/>
    <col min="5138" max="5138" width="10.88671875" style="1" customWidth="1"/>
    <col min="5139" max="5139" width="15" style="1" customWidth="1"/>
    <col min="5140" max="5140" width="10.6640625" style="1" customWidth="1"/>
    <col min="5141" max="5141" width="12.5546875" style="1" customWidth="1"/>
    <col min="5142" max="5142" width="13.6640625" style="1" customWidth="1"/>
    <col min="5143" max="5143" width="12.5546875" style="1" customWidth="1"/>
    <col min="5144" max="5144" width="13.6640625" style="1" customWidth="1"/>
    <col min="5145" max="5145" width="15.109375" style="1" customWidth="1"/>
    <col min="5146" max="5146" width="3.6640625" style="1" customWidth="1"/>
    <col min="5147" max="5147" width="28" style="1" bestFit="1" customWidth="1"/>
    <col min="5148" max="5148" width="15.33203125" style="1" customWidth="1"/>
    <col min="5149" max="5149" width="21.5546875" style="1" customWidth="1"/>
    <col min="5150" max="5150" width="22.6640625" style="1" customWidth="1"/>
    <col min="5151" max="5151" width="1.5546875" style="1" customWidth="1"/>
    <col min="5152" max="5152" width="17.6640625" style="1" bestFit="1" customWidth="1"/>
    <col min="5153" max="5153" width="13.88671875" style="1" customWidth="1"/>
    <col min="5154" max="5154" width="3.109375" style="1" customWidth="1"/>
    <col min="5155" max="5155" width="23.109375" style="1" customWidth="1"/>
    <col min="5156" max="5156" width="5.5546875" style="1" customWidth="1"/>
    <col min="5157" max="5157" width="11" style="1" customWidth="1"/>
    <col min="5158" max="5158" width="26.33203125" style="1" customWidth="1"/>
    <col min="5159" max="5159" width="1.5546875" style="1" customWidth="1"/>
    <col min="5160" max="5160" width="17.33203125" style="1" customWidth="1"/>
    <col min="5161" max="5161" width="1.109375" style="1" customWidth="1"/>
    <col min="5162" max="5376" width="9.109375" style="1"/>
    <col min="5377" max="5377" width="9" style="1" bestFit="1" customWidth="1"/>
    <col min="5378" max="5378" width="5" style="1" bestFit="1" customWidth="1"/>
    <col min="5379" max="5379" width="34.5546875" style="1" bestFit="1" customWidth="1"/>
    <col min="5380" max="5380" width="10.6640625" style="1" bestFit="1" customWidth="1"/>
    <col min="5381" max="5381" width="16" style="1" bestFit="1" customWidth="1"/>
    <col min="5382" max="5382" width="12.5546875" style="1" bestFit="1" customWidth="1"/>
    <col min="5383" max="5383" width="3.6640625" style="1" customWidth="1"/>
    <col min="5384" max="5384" width="4" style="1" bestFit="1" customWidth="1"/>
    <col min="5385" max="5385" width="36.5546875" style="1" bestFit="1" customWidth="1"/>
    <col min="5386" max="5387" width="10.6640625" style="1" customWidth="1"/>
    <col min="5388" max="5388" width="12.5546875" style="1" customWidth="1"/>
    <col min="5389" max="5389" width="14.33203125" style="1" customWidth="1"/>
    <col min="5390" max="5390" width="12.5546875" style="1" customWidth="1"/>
    <col min="5391" max="5391" width="5" style="1" customWidth="1"/>
    <col min="5392" max="5392" width="4" style="1" customWidth="1"/>
    <col min="5393" max="5393" width="18.33203125" style="1" bestFit="1" customWidth="1"/>
    <col min="5394" max="5394" width="10.88671875" style="1" customWidth="1"/>
    <col min="5395" max="5395" width="15" style="1" customWidth="1"/>
    <col min="5396" max="5396" width="10.6640625" style="1" customWidth="1"/>
    <col min="5397" max="5397" width="12.5546875" style="1" customWidth="1"/>
    <col min="5398" max="5398" width="13.6640625" style="1" customWidth="1"/>
    <col min="5399" max="5399" width="12.5546875" style="1" customWidth="1"/>
    <col min="5400" max="5400" width="13.6640625" style="1" customWidth="1"/>
    <col min="5401" max="5401" width="15.109375" style="1" customWidth="1"/>
    <col min="5402" max="5402" width="3.6640625" style="1" customWidth="1"/>
    <col min="5403" max="5403" width="28" style="1" bestFit="1" customWidth="1"/>
    <col min="5404" max="5404" width="15.33203125" style="1" customWidth="1"/>
    <col min="5405" max="5405" width="21.5546875" style="1" customWidth="1"/>
    <col min="5406" max="5406" width="22.6640625" style="1" customWidth="1"/>
    <col min="5407" max="5407" width="1.5546875" style="1" customWidth="1"/>
    <col min="5408" max="5408" width="17.6640625" style="1" bestFit="1" customWidth="1"/>
    <col min="5409" max="5409" width="13.88671875" style="1" customWidth="1"/>
    <col min="5410" max="5410" width="3.109375" style="1" customWidth="1"/>
    <col min="5411" max="5411" width="23.109375" style="1" customWidth="1"/>
    <col min="5412" max="5412" width="5.5546875" style="1" customWidth="1"/>
    <col min="5413" max="5413" width="11" style="1" customWidth="1"/>
    <col min="5414" max="5414" width="26.33203125" style="1" customWidth="1"/>
    <col min="5415" max="5415" width="1.5546875" style="1" customWidth="1"/>
    <col min="5416" max="5416" width="17.33203125" style="1" customWidth="1"/>
    <col min="5417" max="5417" width="1.109375" style="1" customWidth="1"/>
    <col min="5418" max="5632" width="9.109375" style="1"/>
    <col min="5633" max="5633" width="9" style="1" bestFit="1" customWidth="1"/>
    <col min="5634" max="5634" width="5" style="1" bestFit="1" customWidth="1"/>
    <col min="5635" max="5635" width="34.5546875" style="1" bestFit="1" customWidth="1"/>
    <col min="5636" max="5636" width="10.6640625" style="1" bestFit="1" customWidth="1"/>
    <col min="5637" max="5637" width="16" style="1" bestFit="1" customWidth="1"/>
    <col min="5638" max="5638" width="12.5546875" style="1" bestFit="1" customWidth="1"/>
    <col min="5639" max="5639" width="3.6640625" style="1" customWidth="1"/>
    <col min="5640" max="5640" width="4" style="1" bestFit="1" customWidth="1"/>
    <col min="5641" max="5641" width="36.5546875" style="1" bestFit="1" customWidth="1"/>
    <col min="5642" max="5643" width="10.6640625" style="1" customWidth="1"/>
    <col min="5644" max="5644" width="12.5546875" style="1" customWidth="1"/>
    <col min="5645" max="5645" width="14.33203125" style="1" customWidth="1"/>
    <col min="5646" max="5646" width="12.5546875" style="1" customWidth="1"/>
    <col min="5647" max="5647" width="5" style="1" customWidth="1"/>
    <col min="5648" max="5648" width="4" style="1" customWidth="1"/>
    <col min="5649" max="5649" width="18.33203125" style="1" bestFit="1" customWidth="1"/>
    <col min="5650" max="5650" width="10.88671875" style="1" customWidth="1"/>
    <col min="5651" max="5651" width="15" style="1" customWidth="1"/>
    <col min="5652" max="5652" width="10.6640625" style="1" customWidth="1"/>
    <col min="5653" max="5653" width="12.5546875" style="1" customWidth="1"/>
    <col min="5654" max="5654" width="13.6640625" style="1" customWidth="1"/>
    <col min="5655" max="5655" width="12.5546875" style="1" customWidth="1"/>
    <col min="5656" max="5656" width="13.6640625" style="1" customWidth="1"/>
    <col min="5657" max="5657" width="15.109375" style="1" customWidth="1"/>
    <col min="5658" max="5658" width="3.6640625" style="1" customWidth="1"/>
    <col min="5659" max="5659" width="28" style="1" bestFit="1" customWidth="1"/>
    <col min="5660" max="5660" width="15.33203125" style="1" customWidth="1"/>
    <col min="5661" max="5661" width="21.5546875" style="1" customWidth="1"/>
    <col min="5662" max="5662" width="22.6640625" style="1" customWidth="1"/>
    <col min="5663" max="5663" width="1.5546875" style="1" customWidth="1"/>
    <col min="5664" max="5664" width="17.6640625" style="1" bestFit="1" customWidth="1"/>
    <col min="5665" max="5665" width="13.88671875" style="1" customWidth="1"/>
    <col min="5666" max="5666" width="3.109375" style="1" customWidth="1"/>
    <col min="5667" max="5667" width="23.109375" style="1" customWidth="1"/>
    <col min="5668" max="5668" width="5.5546875" style="1" customWidth="1"/>
    <col min="5669" max="5669" width="11" style="1" customWidth="1"/>
    <col min="5670" max="5670" width="26.33203125" style="1" customWidth="1"/>
    <col min="5671" max="5671" width="1.5546875" style="1" customWidth="1"/>
    <col min="5672" max="5672" width="17.33203125" style="1" customWidth="1"/>
    <col min="5673" max="5673" width="1.109375" style="1" customWidth="1"/>
    <col min="5674" max="5888" width="9.109375" style="1"/>
    <col min="5889" max="5889" width="9" style="1" bestFit="1" customWidth="1"/>
    <col min="5890" max="5890" width="5" style="1" bestFit="1" customWidth="1"/>
    <col min="5891" max="5891" width="34.5546875" style="1" bestFit="1" customWidth="1"/>
    <col min="5892" max="5892" width="10.6640625" style="1" bestFit="1" customWidth="1"/>
    <col min="5893" max="5893" width="16" style="1" bestFit="1" customWidth="1"/>
    <col min="5894" max="5894" width="12.5546875" style="1" bestFit="1" customWidth="1"/>
    <col min="5895" max="5895" width="3.6640625" style="1" customWidth="1"/>
    <col min="5896" max="5896" width="4" style="1" bestFit="1" customWidth="1"/>
    <col min="5897" max="5897" width="36.5546875" style="1" bestFit="1" customWidth="1"/>
    <col min="5898" max="5899" width="10.6640625" style="1" customWidth="1"/>
    <col min="5900" max="5900" width="12.5546875" style="1" customWidth="1"/>
    <col min="5901" max="5901" width="14.33203125" style="1" customWidth="1"/>
    <col min="5902" max="5902" width="12.5546875" style="1" customWidth="1"/>
    <col min="5903" max="5903" width="5" style="1" customWidth="1"/>
    <col min="5904" max="5904" width="4" style="1" customWidth="1"/>
    <col min="5905" max="5905" width="18.33203125" style="1" bestFit="1" customWidth="1"/>
    <col min="5906" max="5906" width="10.88671875" style="1" customWidth="1"/>
    <col min="5907" max="5907" width="15" style="1" customWidth="1"/>
    <col min="5908" max="5908" width="10.6640625" style="1" customWidth="1"/>
    <col min="5909" max="5909" width="12.5546875" style="1" customWidth="1"/>
    <col min="5910" max="5910" width="13.6640625" style="1" customWidth="1"/>
    <col min="5911" max="5911" width="12.5546875" style="1" customWidth="1"/>
    <col min="5912" max="5912" width="13.6640625" style="1" customWidth="1"/>
    <col min="5913" max="5913" width="15.109375" style="1" customWidth="1"/>
    <col min="5914" max="5914" width="3.6640625" style="1" customWidth="1"/>
    <col min="5915" max="5915" width="28" style="1" bestFit="1" customWidth="1"/>
    <col min="5916" max="5916" width="15.33203125" style="1" customWidth="1"/>
    <col min="5917" max="5917" width="21.5546875" style="1" customWidth="1"/>
    <col min="5918" max="5918" width="22.6640625" style="1" customWidth="1"/>
    <col min="5919" max="5919" width="1.5546875" style="1" customWidth="1"/>
    <col min="5920" max="5920" width="17.6640625" style="1" bestFit="1" customWidth="1"/>
    <col min="5921" max="5921" width="13.88671875" style="1" customWidth="1"/>
    <col min="5922" max="5922" width="3.109375" style="1" customWidth="1"/>
    <col min="5923" max="5923" width="23.109375" style="1" customWidth="1"/>
    <col min="5924" max="5924" width="5.5546875" style="1" customWidth="1"/>
    <col min="5925" max="5925" width="11" style="1" customWidth="1"/>
    <col min="5926" max="5926" width="26.33203125" style="1" customWidth="1"/>
    <col min="5927" max="5927" width="1.5546875" style="1" customWidth="1"/>
    <col min="5928" max="5928" width="17.33203125" style="1" customWidth="1"/>
    <col min="5929" max="5929" width="1.109375" style="1" customWidth="1"/>
    <col min="5930" max="6144" width="9.109375" style="1"/>
    <col min="6145" max="6145" width="9" style="1" bestFit="1" customWidth="1"/>
    <col min="6146" max="6146" width="5" style="1" bestFit="1" customWidth="1"/>
    <col min="6147" max="6147" width="34.5546875" style="1" bestFit="1" customWidth="1"/>
    <col min="6148" max="6148" width="10.6640625" style="1" bestFit="1" customWidth="1"/>
    <col min="6149" max="6149" width="16" style="1" bestFit="1" customWidth="1"/>
    <col min="6150" max="6150" width="12.5546875" style="1" bestFit="1" customWidth="1"/>
    <col min="6151" max="6151" width="3.6640625" style="1" customWidth="1"/>
    <col min="6152" max="6152" width="4" style="1" bestFit="1" customWidth="1"/>
    <col min="6153" max="6153" width="36.5546875" style="1" bestFit="1" customWidth="1"/>
    <col min="6154" max="6155" width="10.6640625" style="1" customWidth="1"/>
    <col min="6156" max="6156" width="12.5546875" style="1" customWidth="1"/>
    <col min="6157" max="6157" width="14.33203125" style="1" customWidth="1"/>
    <col min="6158" max="6158" width="12.5546875" style="1" customWidth="1"/>
    <col min="6159" max="6159" width="5" style="1" customWidth="1"/>
    <col min="6160" max="6160" width="4" style="1" customWidth="1"/>
    <col min="6161" max="6161" width="18.33203125" style="1" bestFit="1" customWidth="1"/>
    <col min="6162" max="6162" width="10.88671875" style="1" customWidth="1"/>
    <col min="6163" max="6163" width="15" style="1" customWidth="1"/>
    <col min="6164" max="6164" width="10.6640625" style="1" customWidth="1"/>
    <col min="6165" max="6165" width="12.5546875" style="1" customWidth="1"/>
    <col min="6166" max="6166" width="13.6640625" style="1" customWidth="1"/>
    <col min="6167" max="6167" width="12.5546875" style="1" customWidth="1"/>
    <col min="6168" max="6168" width="13.6640625" style="1" customWidth="1"/>
    <col min="6169" max="6169" width="15.109375" style="1" customWidth="1"/>
    <col min="6170" max="6170" width="3.6640625" style="1" customWidth="1"/>
    <col min="6171" max="6171" width="28" style="1" bestFit="1" customWidth="1"/>
    <col min="6172" max="6172" width="15.33203125" style="1" customWidth="1"/>
    <col min="6173" max="6173" width="21.5546875" style="1" customWidth="1"/>
    <col min="6174" max="6174" width="22.6640625" style="1" customWidth="1"/>
    <col min="6175" max="6175" width="1.5546875" style="1" customWidth="1"/>
    <col min="6176" max="6176" width="17.6640625" style="1" bestFit="1" customWidth="1"/>
    <col min="6177" max="6177" width="13.88671875" style="1" customWidth="1"/>
    <col min="6178" max="6178" width="3.109375" style="1" customWidth="1"/>
    <col min="6179" max="6179" width="23.109375" style="1" customWidth="1"/>
    <col min="6180" max="6180" width="5.5546875" style="1" customWidth="1"/>
    <col min="6181" max="6181" width="11" style="1" customWidth="1"/>
    <col min="6182" max="6182" width="26.33203125" style="1" customWidth="1"/>
    <col min="6183" max="6183" width="1.5546875" style="1" customWidth="1"/>
    <col min="6184" max="6184" width="17.33203125" style="1" customWidth="1"/>
    <col min="6185" max="6185" width="1.109375" style="1" customWidth="1"/>
    <col min="6186" max="6400" width="9.109375" style="1"/>
    <col min="6401" max="6401" width="9" style="1" bestFit="1" customWidth="1"/>
    <col min="6402" max="6402" width="5" style="1" bestFit="1" customWidth="1"/>
    <col min="6403" max="6403" width="34.5546875" style="1" bestFit="1" customWidth="1"/>
    <col min="6404" max="6404" width="10.6640625" style="1" bestFit="1" customWidth="1"/>
    <col min="6405" max="6405" width="16" style="1" bestFit="1" customWidth="1"/>
    <col min="6406" max="6406" width="12.5546875" style="1" bestFit="1" customWidth="1"/>
    <col min="6407" max="6407" width="3.6640625" style="1" customWidth="1"/>
    <col min="6408" max="6408" width="4" style="1" bestFit="1" customWidth="1"/>
    <col min="6409" max="6409" width="36.5546875" style="1" bestFit="1" customWidth="1"/>
    <col min="6410" max="6411" width="10.6640625" style="1" customWidth="1"/>
    <col min="6412" max="6412" width="12.5546875" style="1" customWidth="1"/>
    <col min="6413" max="6413" width="14.33203125" style="1" customWidth="1"/>
    <col min="6414" max="6414" width="12.5546875" style="1" customWidth="1"/>
    <col min="6415" max="6415" width="5" style="1" customWidth="1"/>
    <col min="6416" max="6416" width="4" style="1" customWidth="1"/>
    <col min="6417" max="6417" width="18.33203125" style="1" bestFit="1" customWidth="1"/>
    <col min="6418" max="6418" width="10.88671875" style="1" customWidth="1"/>
    <col min="6419" max="6419" width="15" style="1" customWidth="1"/>
    <col min="6420" max="6420" width="10.6640625" style="1" customWidth="1"/>
    <col min="6421" max="6421" width="12.5546875" style="1" customWidth="1"/>
    <col min="6422" max="6422" width="13.6640625" style="1" customWidth="1"/>
    <col min="6423" max="6423" width="12.5546875" style="1" customWidth="1"/>
    <col min="6424" max="6424" width="13.6640625" style="1" customWidth="1"/>
    <col min="6425" max="6425" width="15.109375" style="1" customWidth="1"/>
    <col min="6426" max="6426" width="3.6640625" style="1" customWidth="1"/>
    <col min="6427" max="6427" width="28" style="1" bestFit="1" customWidth="1"/>
    <col min="6428" max="6428" width="15.33203125" style="1" customWidth="1"/>
    <col min="6429" max="6429" width="21.5546875" style="1" customWidth="1"/>
    <col min="6430" max="6430" width="22.6640625" style="1" customWidth="1"/>
    <col min="6431" max="6431" width="1.5546875" style="1" customWidth="1"/>
    <col min="6432" max="6432" width="17.6640625" style="1" bestFit="1" customWidth="1"/>
    <col min="6433" max="6433" width="13.88671875" style="1" customWidth="1"/>
    <col min="6434" max="6434" width="3.109375" style="1" customWidth="1"/>
    <col min="6435" max="6435" width="23.109375" style="1" customWidth="1"/>
    <col min="6436" max="6436" width="5.5546875" style="1" customWidth="1"/>
    <col min="6437" max="6437" width="11" style="1" customWidth="1"/>
    <col min="6438" max="6438" width="26.33203125" style="1" customWidth="1"/>
    <col min="6439" max="6439" width="1.5546875" style="1" customWidth="1"/>
    <col min="6440" max="6440" width="17.33203125" style="1" customWidth="1"/>
    <col min="6441" max="6441" width="1.109375" style="1" customWidth="1"/>
    <col min="6442" max="6656" width="9.109375" style="1"/>
    <col min="6657" max="6657" width="9" style="1" bestFit="1" customWidth="1"/>
    <col min="6658" max="6658" width="5" style="1" bestFit="1" customWidth="1"/>
    <col min="6659" max="6659" width="34.5546875" style="1" bestFit="1" customWidth="1"/>
    <col min="6660" max="6660" width="10.6640625" style="1" bestFit="1" customWidth="1"/>
    <col min="6661" max="6661" width="16" style="1" bestFit="1" customWidth="1"/>
    <col min="6662" max="6662" width="12.5546875" style="1" bestFit="1" customWidth="1"/>
    <col min="6663" max="6663" width="3.6640625" style="1" customWidth="1"/>
    <col min="6664" max="6664" width="4" style="1" bestFit="1" customWidth="1"/>
    <col min="6665" max="6665" width="36.5546875" style="1" bestFit="1" customWidth="1"/>
    <col min="6666" max="6667" width="10.6640625" style="1" customWidth="1"/>
    <col min="6668" max="6668" width="12.5546875" style="1" customWidth="1"/>
    <col min="6669" max="6669" width="14.33203125" style="1" customWidth="1"/>
    <col min="6670" max="6670" width="12.5546875" style="1" customWidth="1"/>
    <col min="6671" max="6671" width="5" style="1" customWidth="1"/>
    <col min="6672" max="6672" width="4" style="1" customWidth="1"/>
    <col min="6673" max="6673" width="18.33203125" style="1" bestFit="1" customWidth="1"/>
    <col min="6674" max="6674" width="10.88671875" style="1" customWidth="1"/>
    <col min="6675" max="6675" width="15" style="1" customWidth="1"/>
    <col min="6676" max="6676" width="10.6640625" style="1" customWidth="1"/>
    <col min="6677" max="6677" width="12.5546875" style="1" customWidth="1"/>
    <col min="6678" max="6678" width="13.6640625" style="1" customWidth="1"/>
    <col min="6679" max="6679" width="12.5546875" style="1" customWidth="1"/>
    <col min="6680" max="6680" width="13.6640625" style="1" customWidth="1"/>
    <col min="6681" max="6681" width="15.109375" style="1" customWidth="1"/>
    <col min="6682" max="6682" width="3.6640625" style="1" customWidth="1"/>
    <col min="6683" max="6683" width="28" style="1" bestFit="1" customWidth="1"/>
    <col min="6684" max="6684" width="15.33203125" style="1" customWidth="1"/>
    <col min="6685" max="6685" width="21.5546875" style="1" customWidth="1"/>
    <col min="6686" max="6686" width="22.6640625" style="1" customWidth="1"/>
    <col min="6687" max="6687" width="1.5546875" style="1" customWidth="1"/>
    <col min="6688" max="6688" width="17.6640625" style="1" bestFit="1" customWidth="1"/>
    <col min="6689" max="6689" width="13.88671875" style="1" customWidth="1"/>
    <col min="6690" max="6690" width="3.109375" style="1" customWidth="1"/>
    <col min="6691" max="6691" width="23.109375" style="1" customWidth="1"/>
    <col min="6692" max="6692" width="5.5546875" style="1" customWidth="1"/>
    <col min="6693" max="6693" width="11" style="1" customWidth="1"/>
    <col min="6694" max="6694" width="26.33203125" style="1" customWidth="1"/>
    <col min="6695" max="6695" width="1.5546875" style="1" customWidth="1"/>
    <col min="6696" max="6696" width="17.33203125" style="1" customWidth="1"/>
    <col min="6697" max="6697" width="1.109375" style="1" customWidth="1"/>
    <col min="6698" max="6912" width="9.109375" style="1"/>
    <col min="6913" max="6913" width="9" style="1" bestFit="1" customWidth="1"/>
    <col min="6914" max="6914" width="5" style="1" bestFit="1" customWidth="1"/>
    <col min="6915" max="6915" width="34.5546875" style="1" bestFit="1" customWidth="1"/>
    <col min="6916" max="6916" width="10.6640625" style="1" bestFit="1" customWidth="1"/>
    <col min="6917" max="6917" width="16" style="1" bestFit="1" customWidth="1"/>
    <col min="6918" max="6918" width="12.5546875" style="1" bestFit="1" customWidth="1"/>
    <col min="6919" max="6919" width="3.6640625" style="1" customWidth="1"/>
    <col min="6920" max="6920" width="4" style="1" bestFit="1" customWidth="1"/>
    <col min="6921" max="6921" width="36.5546875" style="1" bestFit="1" customWidth="1"/>
    <col min="6922" max="6923" width="10.6640625" style="1" customWidth="1"/>
    <col min="6924" max="6924" width="12.5546875" style="1" customWidth="1"/>
    <col min="6925" max="6925" width="14.33203125" style="1" customWidth="1"/>
    <col min="6926" max="6926" width="12.5546875" style="1" customWidth="1"/>
    <col min="6927" max="6927" width="5" style="1" customWidth="1"/>
    <col min="6928" max="6928" width="4" style="1" customWidth="1"/>
    <col min="6929" max="6929" width="18.33203125" style="1" bestFit="1" customWidth="1"/>
    <col min="6930" max="6930" width="10.88671875" style="1" customWidth="1"/>
    <col min="6931" max="6931" width="15" style="1" customWidth="1"/>
    <col min="6932" max="6932" width="10.6640625" style="1" customWidth="1"/>
    <col min="6933" max="6933" width="12.5546875" style="1" customWidth="1"/>
    <col min="6934" max="6934" width="13.6640625" style="1" customWidth="1"/>
    <col min="6935" max="6935" width="12.5546875" style="1" customWidth="1"/>
    <col min="6936" max="6936" width="13.6640625" style="1" customWidth="1"/>
    <col min="6937" max="6937" width="15.109375" style="1" customWidth="1"/>
    <col min="6938" max="6938" width="3.6640625" style="1" customWidth="1"/>
    <col min="6939" max="6939" width="28" style="1" bestFit="1" customWidth="1"/>
    <col min="6940" max="6940" width="15.33203125" style="1" customWidth="1"/>
    <col min="6941" max="6941" width="21.5546875" style="1" customWidth="1"/>
    <col min="6942" max="6942" width="22.6640625" style="1" customWidth="1"/>
    <col min="6943" max="6943" width="1.5546875" style="1" customWidth="1"/>
    <col min="6944" max="6944" width="17.6640625" style="1" bestFit="1" customWidth="1"/>
    <col min="6945" max="6945" width="13.88671875" style="1" customWidth="1"/>
    <col min="6946" max="6946" width="3.109375" style="1" customWidth="1"/>
    <col min="6947" max="6947" width="23.109375" style="1" customWidth="1"/>
    <col min="6948" max="6948" width="5.5546875" style="1" customWidth="1"/>
    <col min="6949" max="6949" width="11" style="1" customWidth="1"/>
    <col min="6950" max="6950" width="26.33203125" style="1" customWidth="1"/>
    <col min="6951" max="6951" width="1.5546875" style="1" customWidth="1"/>
    <col min="6952" max="6952" width="17.33203125" style="1" customWidth="1"/>
    <col min="6953" max="6953" width="1.109375" style="1" customWidth="1"/>
    <col min="6954" max="7168" width="9.109375" style="1"/>
    <col min="7169" max="7169" width="9" style="1" bestFit="1" customWidth="1"/>
    <col min="7170" max="7170" width="5" style="1" bestFit="1" customWidth="1"/>
    <col min="7171" max="7171" width="34.5546875" style="1" bestFit="1" customWidth="1"/>
    <col min="7172" max="7172" width="10.6640625" style="1" bestFit="1" customWidth="1"/>
    <col min="7173" max="7173" width="16" style="1" bestFit="1" customWidth="1"/>
    <col min="7174" max="7174" width="12.5546875" style="1" bestFit="1" customWidth="1"/>
    <col min="7175" max="7175" width="3.6640625" style="1" customWidth="1"/>
    <col min="7176" max="7176" width="4" style="1" bestFit="1" customWidth="1"/>
    <col min="7177" max="7177" width="36.5546875" style="1" bestFit="1" customWidth="1"/>
    <col min="7178" max="7179" width="10.6640625" style="1" customWidth="1"/>
    <col min="7180" max="7180" width="12.5546875" style="1" customWidth="1"/>
    <col min="7181" max="7181" width="14.33203125" style="1" customWidth="1"/>
    <col min="7182" max="7182" width="12.5546875" style="1" customWidth="1"/>
    <col min="7183" max="7183" width="5" style="1" customWidth="1"/>
    <col min="7184" max="7184" width="4" style="1" customWidth="1"/>
    <col min="7185" max="7185" width="18.33203125" style="1" bestFit="1" customWidth="1"/>
    <col min="7186" max="7186" width="10.88671875" style="1" customWidth="1"/>
    <col min="7187" max="7187" width="15" style="1" customWidth="1"/>
    <col min="7188" max="7188" width="10.6640625" style="1" customWidth="1"/>
    <col min="7189" max="7189" width="12.5546875" style="1" customWidth="1"/>
    <col min="7190" max="7190" width="13.6640625" style="1" customWidth="1"/>
    <col min="7191" max="7191" width="12.5546875" style="1" customWidth="1"/>
    <col min="7192" max="7192" width="13.6640625" style="1" customWidth="1"/>
    <col min="7193" max="7193" width="15.109375" style="1" customWidth="1"/>
    <col min="7194" max="7194" width="3.6640625" style="1" customWidth="1"/>
    <col min="7195" max="7195" width="28" style="1" bestFit="1" customWidth="1"/>
    <col min="7196" max="7196" width="15.33203125" style="1" customWidth="1"/>
    <col min="7197" max="7197" width="21.5546875" style="1" customWidth="1"/>
    <col min="7198" max="7198" width="22.6640625" style="1" customWidth="1"/>
    <col min="7199" max="7199" width="1.5546875" style="1" customWidth="1"/>
    <col min="7200" max="7200" width="17.6640625" style="1" bestFit="1" customWidth="1"/>
    <col min="7201" max="7201" width="13.88671875" style="1" customWidth="1"/>
    <col min="7202" max="7202" width="3.109375" style="1" customWidth="1"/>
    <col min="7203" max="7203" width="23.109375" style="1" customWidth="1"/>
    <col min="7204" max="7204" width="5.5546875" style="1" customWidth="1"/>
    <col min="7205" max="7205" width="11" style="1" customWidth="1"/>
    <col min="7206" max="7206" width="26.33203125" style="1" customWidth="1"/>
    <col min="7207" max="7207" width="1.5546875" style="1" customWidth="1"/>
    <col min="7208" max="7208" width="17.33203125" style="1" customWidth="1"/>
    <col min="7209" max="7209" width="1.109375" style="1" customWidth="1"/>
    <col min="7210" max="7424" width="9.109375" style="1"/>
    <col min="7425" max="7425" width="9" style="1" bestFit="1" customWidth="1"/>
    <col min="7426" max="7426" width="5" style="1" bestFit="1" customWidth="1"/>
    <col min="7427" max="7427" width="34.5546875" style="1" bestFit="1" customWidth="1"/>
    <col min="7428" max="7428" width="10.6640625" style="1" bestFit="1" customWidth="1"/>
    <col min="7429" max="7429" width="16" style="1" bestFit="1" customWidth="1"/>
    <col min="7430" max="7430" width="12.5546875" style="1" bestFit="1" customWidth="1"/>
    <col min="7431" max="7431" width="3.6640625" style="1" customWidth="1"/>
    <col min="7432" max="7432" width="4" style="1" bestFit="1" customWidth="1"/>
    <col min="7433" max="7433" width="36.5546875" style="1" bestFit="1" customWidth="1"/>
    <col min="7434" max="7435" width="10.6640625" style="1" customWidth="1"/>
    <col min="7436" max="7436" width="12.5546875" style="1" customWidth="1"/>
    <col min="7437" max="7437" width="14.33203125" style="1" customWidth="1"/>
    <col min="7438" max="7438" width="12.5546875" style="1" customWidth="1"/>
    <col min="7439" max="7439" width="5" style="1" customWidth="1"/>
    <col min="7440" max="7440" width="4" style="1" customWidth="1"/>
    <col min="7441" max="7441" width="18.33203125" style="1" bestFit="1" customWidth="1"/>
    <col min="7442" max="7442" width="10.88671875" style="1" customWidth="1"/>
    <col min="7443" max="7443" width="15" style="1" customWidth="1"/>
    <col min="7444" max="7444" width="10.6640625" style="1" customWidth="1"/>
    <col min="7445" max="7445" width="12.5546875" style="1" customWidth="1"/>
    <col min="7446" max="7446" width="13.6640625" style="1" customWidth="1"/>
    <col min="7447" max="7447" width="12.5546875" style="1" customWidth="1"/>
    <col min="7448" max="7448" width="13.6640625" style="1" customWidth="1"/>
    <col min="7449" max="7449" width="15.109375" style="1" customWidth="1"/>
    <col min="7450" max="7450" width="3.6640625" style="1" customWidth="1"/>
    <col min="7451" max="7451" width="28" style="1" bestFit="1" customWidth="1"/>
    <col min="7452" max="7452" width="15.33203125" style="1" customWidth="1"/>
    <col min="7453" max="7453" width="21.5546875" style="1" customWidth="1"/>
    <col min="7454" max="7454" width="22.6640625" style="1" customWidth="1"/>
    <col min="7455" max="7455" width="1.5546875" style="1" customWidth="1"/>
    <col min="7456" max="7456" width="17.6640625" style="1" bestFit="1" customWidth="1"/>
    <col min="7457" max="7457" width="13.88671875" style="1" customWidth="1"/>
    <col min="7458" max="7458" width="3.109375" style="1" customWidth="1"/>
    <col min="7459" max="7459" width="23.109375" style="1" customWidth="1"/>
    <col min="7460" max="7460" width="5.5546875" style="1" customWidth="1"/>
    <col min="7461" max="7461" width="11" style="1" customWidth="1"/>
    <col min="7462" max="7462" width="26.33203125" style="1" customWidth="1"/>
    <col min="7463" max="7463" width="1.5546875" style="1" customWidth="1"/>
    <col min="7464" max="7464" width="17.33203125" style="1" customWidth="1"/>
    <col min="7465" max="7465" width="1.109375" style="1" customWidth="1"/>
    <col min="7466" max="7680" width="9.109375" style="1"/>
    <col min="7681" max="7681" width="9" style="1" bestFit="1" customWidth="1"/>
    <col min="7682" max="7682" width="5" style="1" bestFit="1" customWidth="1"/>
    <col min="7683" max="7683" width="34.5546875" style="1" bestFit="1" customWidth="1"/>
    <col min="7684" max="7684" width="10.6640625" style="1" bestFit="1" customWidth="1"/>
    <col min="7685" max="7685" width="16" style="1" bestFit="1" customWidth="1"/>
    <col min="7686" max="7686" width="12.5546875" style="1" bestFit="1" customWidth="1"/>
    <col min="7687" max="7687" width="3.6640625" style="1" customWidth="1"/>
    <col min="7688" max="7688" width="4" style="1" bestFit="1" customWidth="1"/>
    <col min="7689" max="7689" width="36.5546875" style="1" bestFit="1" customWidth="1"/>
    <col min="7690" max="7691" width="10.6640625" style="1" customWidth="1"/>
    <col min="7692" max="7692" width="12.5546875" style="1" customWidth="1"/>
    <col min="7693" max="7693" width="14.33203125" style="1" customWidth="1"/>
    <col min="7694" max="7694" width="12.5546875" style="1" customWidth="1"/>
    <col min="7695" max="7695" width="5" style="1" customWidth="1"/>
    <col min="7696" max="7696" width="4" style="1" customWidth="1"/>
    <col min="7697" max="7697" width="18.33203125" style="1" bestFit="1" customWidth="1"/>
    <col min="7698" max="7698" width="10.88671875" style="1" customWidth="1"/>
    <col min="7699" max="7699" width="15" style="1" customWidth="1"/>
    <col min="7700" max="7700" width="10.6640625" style="1" customWidth="1"/>
    <col min="7701" max="7701" width="12.5546875" style="1" customWidth="1"/>
    <col min="7702" max="7702" width="13.6640625" style="1" customWidth="1"/>
    <col min="7703" max="7703" width="12.5546875" style="1" customWidth="1"/>
    <col min="7704" max="7704" width="13.6640625" style="1" customWidth="1"/>
    <col min="7705" max="7705" width="15.109375" style="1" customWidth="1"/>
    <col min="7706" max="7706" width="3.6640625" style="1" customWidth="1"/>
    <col min="7707" max="7707" width="28" style="1" bestFit="1" customWidth="1"/>
    <col min="7708" max="7708" width="15.33203125" style="1" customWidth="1"/>
    <col min="7709" max="7709" width="21.5546875" style="1" customWidth="1"/>
    <col min="7710" max="7710" width="22.6640625" style="1" customWidth="1"/>
    <col min="7711" max="7711" width="1.5546875" style="1" customWidth="1"/>
    <col min="7712" max="7712" width="17.6640625" style="1" bestFit="1" customWidth="1"/>
    <col min="7713" max="7713" width="13.88671875" style="1" customWidth="1"/>
    <col min="7714" max="7714" width="3.109375" style="1" customWidth="1"/>
    <col min="7715" max="7715" width="23.109375" style="1" customWidth="1"/>
    <col min="7716" max="7716" width="5.5546875" style="1" customWidth="1"/>
    <col min="7717" max="7717" width="11" style="1" customWidth="1"/>
    <col min="7718" max="7718" width="26.33203125" style="1" customWidth="1"/>
    <col min="7719" max="7719" width="1.5546875" style="1" customWidth="1"/>
    <col min="7720" max="7720" width="17.33203125" style="1" customWidth="1"/>
    <col min="7721" max="7721" width="1.109375" style="1" customWidth="1"/>
    <col min="7722" max="7936" width="9.109375" style="1"/>
    <col min="7937" max="7937" width="9" style="1" bestFit="1" customWidth="1"/>
    <col min="7938" max="7938" width="5" style="1" bestFit="1" customWidth="1"/>
    <col min="7939" max="7939" width="34.5546875" style="1" bestFit="1" customWidth="1"/>
    <col min="7940" max="7940" width="10.6640625" style="1" bestFit="1" customWidth="1"/>
    <col min="7941" max="7941" width="16" style="1" bestFit="1" customWidth="1"/>
    <col min="7942" max="7942" width="12.5546875" style="1" bestFit="1" customWidth="1"/>
    <col min="7943" max="7943" width="3.6640625" style="1" customWidth="1"/>
    <col min="7944" max="7944" width="4" style="1" bestFit="1" customWidth="1"/>
    <col min="7945" max="7945" width="36.5546875" style="1" bestFit="1" customWidth="1"/>
    <col min="7946" max="7947" width="10.6640625" style="1" customWidth="1"/>
    <col min="7948" max="7948" width="12.5546875" style="1" customWidth="1"/>
    <col min="7949" max="7949" width="14.33203125" style="1" customWidth="1"/>
    <col min="7950" max="7950" width="12.5546875" style="1" customWidth="1"/>
    <col min="7951" max="7951" width="5" style="1" customWidth="1"/>
    <col min="7952" max="7952" width="4" style="1" customWidth="1"/>
    <col min="7953" max="7953" width="18.33203125" style="1" bestFit="1" customWidth="1"/>
    <col min="7954" max="7954" width="10.88671875" style="1" customWidth="1"/>
    <col min="7955" max="7955" width="15" style="1" customWidth="1"/>
    <col min="7956" max="7956" width="10.6640625" style="1" customWidth="1"/>
    <col min="7957" max="7957" width="12.5546875" style="1" customWidth="1"/>
    <col min="7958" max="7958" width="13.6640625" style="1" customWidth="1"/>
    <col min="7959" max="7959" width="12.5546875" style="1" customWidth="1"/>
    <col min="7960" max="7960" width="13.6640625" style="1" customWidth="1"/>
    <col min="7961" max="7961" width="15.109375" style="1" customWidth="1"/>
    <col min="7962" max="7962" width="3.6640625" style="1" customWidth="1"/>
    <col min="7963" max="7963" width="28" style="1" bestFit="1" customWidth="1"/>
    <col min="7964" max="7964" width="15.33203125" style="1" customWidth="1"/>
    <col min="7965" max="7965" width="21.5546875" style="1" customWidth="1"/>
    <col min="7966" max="7966" width="22.6640625" style="1" customWidth="1"/>
    <col min="7967" max="7967" width="1.5546875" style="1" customWidth="1"/>
    <col min="7968" max="7968" width="17.6640625" style="1" bestFit="1" customWidth="1"/>
    <col min="7969" max="7969" width="13.88671875" style="1" customWidth="1"/>
    <col min="7970" max="7970" width="3.109375" style="1" customWidth="1"/>
    <col min="7971" max="7971" width="23.109375" style="1" customWidth="1"/>
    <col min="7972" max="7972" width="5.5546875" style="1" customWidth="1"/>
    <col min="7973" max="7973" width="11" style="1" customWidth="1"/>
    <col min="7974" max="7974" width="26.33203125" style="1" customWidth="1"/>
    <col min="7975" max="7975" width="1.5546875" style="1" customWidth="1"/>
    <col min="7976" max="7976" width="17.33203125" style="1" customWidth="1"/>
    <col min="7977" max="7977" width="1.109375" style="1" customWidth="1"/>
    <col min="7978" max="8192" width="9.109375" style="1"/>
    <col min="8193" max="8193" width="9" style="1" bestFit="1" customWidth="1"/>
    <col min="8194" max="8194" width="5" style="1" bestFit="1" customWidth="1"/>
    <col min="8195" max="8195" width="34.5546875" style="1" bestFit="1" customWidth="1"/>
    <col min="8196" max="8196" width="10.6640625" style="1" bestFit="1" customWidth="1"/>
    <col min="8197" max="8197" width="16" style="1" bestFit="1" customWidth="1"/>
    <col min="8198" max="8198" width="12.5546875" style="1" bestFit="1" customWidth="1"/>
    <col min="8199" max="8199" width="3.6640625" style="1" customWidth="1"/>
    <col min="8200" max="8200" width="4" style="1" bestFit="1" customWidth="1"/>
    <col min="8201" max="8201" width="36.5546875" style="1" bestFit="1" customWidth="1"/>
    <col min="8202" max="8203" width="10.6640625" style="1" customWidth="1"/>
    <col min="8204" max="8204" width="12.5546875" style="1" customWidth="1"/>
    <col min="8205" max="8205" width="14.33203125" style="1" customWidth="1"/>
    <col min="8206" max="8206" width="12.5546875" style="1" customWidth="1"/>
    <col min="8207" max="8207" width="5" style="1" customWidth="1"/>
    <col min="8208" max="8208" width="4" style="1" customWidth="1"/>
    <col min="8209" max="8209" width="18.33203125" style="1" bestFit="1" customWidth="1"/>
    <col min="8210" max="8210" width="10.88671875" style="1" customWidth="1"/>
    <col min="8211" max="8211" width="15" style="1" customWidth="1"/>
    <col min="8212" max="8212" width="10.6640625" style="1" customWidth="1"/>
    <col min="8213" max="8213" width="12.5546875" style="1" customWidth="1"/>
    <col min="8214" max="8214" width="13.6640625" style="1" customWidth="1"/>
    <col min="8215" max="8215" width="12.5546875" style="1" customWidth="1"/>
    <col min="8216" max="8216" width="13.6640625" style="1" customWidth="1"/>
    <col min="8217" max="8217" width="15.109375" style="1" customWidth="1"/>
    <col min="8218" max="8218" width="3.6640625" style="1" customWidth="1"/>
    <col min="8219" max="8219" width="28" style="1" bestFit="1" customWidth="1"/>
    <col min="8220" max="8220" width="15.33203125" style="1" customWidth="1"/>
    <col min="8221" max="8221" width="21.5546875" style="1" customWidth="1"/>
    <col min="8222" max="8222" width="22.6640625" style="1" customWidth="1"/>
    <col min="8223" max="8223" width="1.5546875" style="1" customWidth="1"/>
    <col min="8224" max="8224" width="17.6640625" style="1" bestFit="1" customWidth="1"/>
    <col min="8225" max="8225" width="13.88671875" style="1" customWidth="1"/>
    <col min="8226" max="8226" width="3.109375" style="1" customWidth="1"/>
    <col min="8227" max="8227" width="23.109375" style="1" customWidth="1"/>
    <col min="8228" max="8228" width="5.5546875" style="1" customWidth="1"/>
    <col min="8229" max="8229" width="11" style="1" customWidth="1"/>
    <col min="8230" max="8230" width="26.33203125" style="1" customWidth="1"/>
    <col min="8231" max="8231" width="1.5546875" style="1" customWidth="1"/>
    <col min="8232" max="8232" width="17.33203125" style="1" customWidth="1"/>
    <col min="8233" max="8233" width="1.109375" style="1" customWidth="1"/>
    <col min="8234" max="8448" width="9.109375" style="1"/>
    <col min="8449" max="8449" width="9" style="1" bestFit="1" customWidth="1"/>
    <col min="8450" max="8450" width="5" style="1" bestFit="1" customWidth="1"/>
    <col min="8451" max="8451" width="34.5546875" style="1" bestFit="1" customWidth="1"/>
    <col min="8452" max="8452" width="10.6640625" style="1" bestFit="1" customWidth="1"/>
    <col min="8453" max="8453" width="16" style="1" bestFit="1" customWidth="1"/>
    <col min="8454" max="8454" width="12.5546875" style="1" bestFit="1" customWidth="1"/>
    <col min="8455" max="8455" width="3.6640625" style="1" customWidth="1"/>
    <col min="8456" max="8456" width="4" style="1" bestFit="1" customWidth="1"/>
    <col min="8457" max="8457" width="36.5546875" style="1" bestFit="1" customWidth="1"/>
    <col min="8458" max="8459" width="10.6640625" style="1" customWidth="1"/>
    <col min="8460" max="8460" width="12.5546875" style="1" customWidth="1"/>
    <col min="8461" max="8461" width="14.33203125" style="1" customWidth="1"/>
    <col min="8462" max="8462" width="12.5546875" style="1" customWidth="1"/>
    <col min="8463" max="8463" width="5" style="1" customWidth="1"/>
    <col min="8464" max="8464" width="4" style="1" customWidth="1"/>
    <col min="8465" max="8465" width="18.33203125" style="1" bestFit="1" customWidth="1"/>
    <col min="8466" max="8466" width="10.88671875" style="1" customWidth="1"/>
    <col min="8467" max="8467" width="15" style="1" customWidth="1"/>
    <col min="8468" max="8468" width="10.6640625" style="1" customWidth="1"/>
    <col min="8469" max="8469" width="12.5546875" style="1" customWidth="1"/>
    <col min="8470" max="8470" width="13.6640625" style="1" customWidth="1"/>
    <col min="8471" max="8471" width="12.5546875" style="1" customWidth="1"/>
    <col min="8472" max="8472" width="13.6640625" style="1" customWidth="1"/>
    <col min="8473" max="8473" width="15.109375" style="1" customWidth="1"/>
    <col min="8474" max="8474" width="3.6640625" style="1" customWidth="1"/>
    <col min="8475" max="8475" width="28" style="1" bestFit="1" customWidth="1"/>
    <col min="8476" max="8476" width="15.33203125" style="1" customWidth="1"/>
    <col min="8477" max="8477" width="21.5546875" style="1" customWidth="1"/>
    <col min="8478" max="8478" width="22.6640625" style="1" customWidth="1"/>
    <col min="8479" max="8479" width="1.5546875" style="1" customWidth="1"/>
    <col min="8480" max="8480" width="17.6640625" style="1" bestFit="1" customWidth="1"/>
    <col min="8481" max="8481" width="13.88671875" style="1" customWidth="1"/>
    <col min="8482" max="8482" width="3.109375" style="1" customWidth="1"/>
    <col min="8483" max="8483" width="23.109375" style="1" customWidth="1"/>
    <col min="8484" max="8484" width="5.5546875" style="1" customWidth="1"/>
    <col min="8485" max="8485" width="11" style="1" customWidth="1"/>
    <col min="8486" max="8486" width="26.33203125" style="1" customWidth="1"/>
    <col min="8487" max="8487" width="1.5546875" style="1" customWidth="1"/>
    <col min="8488" max="8488" width="17.33203125" style="1" customWidth="1"/>
    <col min="8489" max="8489" width="1.109375" style="1" customWidth="1"/>
    <col min="8490" max="8704" width="9.109375" style="1"/>
    <col min="8705" max="8705" width="9" style="1" bestFit="1" customWidth="1"/>
    <col min="8706" max="8706" width="5" style="1" bestFit="1" customWidth="1"/>
    <col min="8707" max="8707" width="34.5546875" style="1" bestFit="1" customWidth="1"/>
    <col min="8708" max="8708" width="10.6640625" style="1" bestFit="1" customWidth="1"/>
    <col min="8709" max="8709" width="16" style="1" bestFit="1" customWidth="1"/>
    <col min="8710" max="8710" width="12.5546875" style="1" bestFit="1" customWidth="1"/>
    <col min="8711" max="8711" width="3.6640625" style="1" customWidth="1"/>
    <col min="8712" max="8712" width="4" style="1" bestFit="1" customWidth="1"/>
    <col min="8713" max="8713" width="36.5546875" style="1" bestFit="1" customWidth="1"/>
    <col min="8714" max="8715" width="10.6640625" style="1" customWidth="1"/>
    <col min="8716" max="8716" width="12.5546875" style="1" customWidth="1"/>
    <col min="8717" max="8717" width="14.33203125" style="1" customWidth="1"/>
    <col min="8718" max="8718" width="12.5546875" style="1" customWidth="1"/>
    <col min="8719" max="8719" width="5" style="1" customWidth="1"/>
    <col min="8720" max="8720" width="4" style="1" customWidth="1"/>
    <col min="8721" max="8721" width="18.33203125" style="1" bestFit="1" customWidth="1"/>
    <col min="8722" max="8722" width="10.88671875" style="1" customWidth="1"/>
    <col min="8723" max="8723" width="15" style="1" customWidth="1"/>
    <col min="8724" max="8724" width="10.6640625" style="1" customWidth="1"/>
    <col min="8725" max="8725" width="12.5546875" style="1" customWidth="1"/>
    <col min="8726" max="8726" width="13.6640625" style="1" customWidth="1"/>
    <col min="8727" max="8727" width="12.5546875" style="1" customWidth="1"/>
    <col min="8728" max="8728" width="13.6640625" style="1" customWidth="1"/>
    <col min="8729" max="8729" width="15.109375" style="1" customWidth="1"/>
    <col min="8730" max="8730" width="3.6640625" style="1" customWidth="1"/>
    <col min="8731" max="8731" width="28" style="1" bestFit="1" customWidth="1"/>
    <col min="8732" max="8732" width="15.33203125" style="1" customWidth="1"/>
    <col min="8733" max="8733" width="21.5546875" style="1" customWidth="1"/>
    <col min="8734" max="8734" width="22.6640625" style="1" customWidth="1"/>
    <col min="8735" max="8735" width="1.5546875" style="1" customWidth="1"/>
    <col min="8736" max="8736" width="17.6640625" style="1" bestFit="1" customWidth="1"/>
    <col min="8737" max="8737" width="13.88671875" style="1" customWidth="1"/>
    <col min="8738" max="8738" width="3.109375" style="1" customWidth="1"/>
    <col min="8739" max="8739" width="23.109375" style="1" customWidth="1"/>
    <col min="8740" max="8740" width="5.5546875" style="1" customWidth="1"/>
    <col min="8741" max="8741" width="11" style="1" customWidth="1"/>
    <col min="8742" max="8742" width="26.33203125" style="1" customWidth="1"/>
    <col min="8743" max="8743" width="1.5546875" style="1" customWidth="1"/>
    <col min="8744" max="8744" width="17.33203125" style="1" customWidth="1"/>
    <col min="8745" max="8745" width="1.109375" style="1" customWidth="1"/>
    <col min="8746" max="8960" width="9.109375" style="1"/>
    <col min="8961" max="8961" width="9" style="1" bestFit="1" customWidth="1"/>
    <col min="8962" max="8962" width="5" style="1" bestFit="1" customWidth="1"/>
    <col min="8963" max="8963" width="34.5546875" style="1" bestFit="1" customWidth="1"/>
    <col min="8964" max="8964" width="10.6640625" style="1" bestFit="1" customWidth="1"/>
    <col min="8965" max="8965" width="16" style="1" bestFit="1" customWidth="1"/>
    <col min="8966" max="8966" width="12.5546875" style="1" bestFit="1" customWidth="1"/>
    <col min="8967" max="8967" width="3.6640625" style="1" customWidth="1"/>
    <col min="8968" max="8968" width="4" style="1" bestFit="1" customWidth="1"/>
    <col min="8969" max="8969" width="36.5546875" style="1" bestFit="1" customWidth="1"/>
    <col min="8970" max="8971" width="10.6640625" style="1" customWidth="1"/>
    <col min="8972" max="8972" width="12.5546875" style="1" customWidth="1"/>
    <col min="8973" max="8973" width="14.33203125" style="1" customWidth="1"/>
    <col min="8974" max="8974" width="12.5546875" style="1" customWidth="1"/>
    <col min="8975" max="8975" width="5" style="1" customWidth="1"/>
    <col min="8976" max="8976" width="4" style="1" customWidth="1"/>
    <col min="8977" max="8977" width="18.33203125" style="1" bestFit="1" customWidth="1"/>
    <col min="8978" max="8978" width="10.88671875" style="1" customWidth="1"/>
    <col min="8979" max="8979" width="15" style="1" customWidth="1"/>
    <col min="8980" max="8980" width="10.6640625" style="1" customWidth="1"/>
    <col min="8981" max="8981" width="12.5546875" style="1" customWidth="1"/>
    <col min="8982" max="8982" width="13.6640625" style="1" customWidth="1"/>
    <col min="8983" max="8983" width="12.5546875" style="1" customWidth="1"/>
    <col min="8984" max="8984" width="13.6640625" style="1" customWidth="1"/>
    <col min="8985" max="8985" width="15.109375" style="1" customWidth="1"/>
    <col min="8986" max="8986" width="3.6640625" style="1" customWidth="1"/>
    <col min="8987" max="8987" width="28" style="1" bestFit="1" customWidth="1"/>
    <col min="8988" max="8988" width="15.33203125" style="1" customWidth="1"/>
    <col min="8989" max="8989" width="21.5546875" style="1" customWidth="1"/>
    <col min="8990" max="8990" width="22.6640625" style="1" customWidth="1"/>
    <col min="8991" max="8991" width="1.5546875" style="1" customWidth="1"/>
    <col min="8992" max="8992" width="17.6640625" style="1" bestFit="1" customWidth="1"/>
    <col min="8993" max="8993" width="13.88671875" style="1" customWidth="1"/>
    <col min="8994" max="8994" width="3.109375" style="1" customWidth="1"/>
    <col min="8995" max="8995" width="23.109375" style="1" customWidth="1"/>
    <col min="8996" max="8996" width="5.5546875" style="1" customWidth="1"/>
    <col min="8997" max="8997" width="11" style="1" customWidth="1"/>
    <col min="8998" max="8998" width="26.33203125" style="1" customWidth="1"/>
    <col min="8999" max="8999" width="1.5546875" style="1" customWidth="1"/>
    <col min="9000" max="9000" width="17.33203125" style="1" customWidth="1"/>
    <col min="9001" max="9001" width="1.109375" style="1" customWidth="1"/>
    <col min="9002" max="9216" width="9.109375" style="1"/>
    <col min="9217" max="9217" width="9" style="1" bestFit="1" customWidth="1"/>
    <col min="9218" max="9218" width="5" style="1" bestFit="1" customWidth="1"/>
    <col min="9219" max="9219" width="34.5546875" style="1" bestFit="1" customWidth="1"/>
    <col min="9220" max="9220" width="10.6640625" style="1" bestFit="1" customWidth="1"/>
    <col min="9221" max="9221" width="16" style="1" bestFit="1" customWidth="1"/>
    <col min="9222" max="9222" width="12.5546875" style="1" bestFit="1" customWidth="1"/>
    <col min="9223" max="9223" width="3.6640625" style="1" customWidth="1"/>
    <col min="9224" max="9224" width="4" style="1" bestFit="1" customWidth="1"/>
    <col min="9225" max="9225" width="36.5546875" style="1" bestFit="1" customWidth="1"/>
    <col min="9226" max="9227" width="10.6640625" style="1" customWidth="1"/>
    <col min="9228" max="9228" width="12.5546875" style="1" customWidth="1"/>
    <col min="9229" max="9229" width="14.33203125" style="1" customWidth="1"/>
    <col min="9230" max="9230" width="12.5546875" style="1" customWidth="1"/>
    <col min="9231" max="9231" width="5" style="1" customWidth="1"/>
    <col min="9232" max="9232" width="4" style="1" customWidth="1"/>
    <col min="9233" max="9233" width="18.33203125" style="1" bestFit="1" customWidth="1"/>
    <col min="9234" max="9234" width="10.88671875" style="1" customWidth="1"/>
    <col min="9235" max="9235" width="15" style="1" customWidth="1"/>
    <col min="9236" max="9236" width="10.6640625" style="1" customWidth="1"/>
    <col min="9237" max="9237" width="12.5546875" style="1" customWidth="1"/>
    <col min="9238" max="9238" width="13.6640625" style="1" customWidth="1"/>
    <col min="9239" max="9239" width="12.5546875" style="1" customWidth="1"/>
    <col min="9240" max="9240" width="13.6640625" style="1" customWidth="1"/>
    <col min="9241" max="9241" width="15.109375" style="1" customWidth="1"/>
    <col min="9242" max="9242" width="3.6640625" style="1" customWidth="1"/>
    <col min="9243" max="9243" width="28" style="1" bestFit="1" customWidth="1"/>
    <col min="9244" max="9244" width="15.33203125" style="1" customWidth="1"/>
    <col min="9245" max="9245" width="21.5546875" style="1" customWidth="1"/>
    <col min="9246" max="9246" width="22.6640625" style="1" customWidth="1"/>
    <col min="9247" max="9247" width="1.5546875" style="1" customWidth="1"/>
    <col min="9248" max="9248" width="17.6640625" style="1" bestFit="1" customWidth="1"/>
    <col min="9249" max="9249" width="13.88671875" style="1" customWidth="1"/>
    <col min="9250" max="9250" width="3.109375" style="1" customWidth="1"/>
    <col min="9251" max="9251" width="23.109375" style="1" customWidth="1"/>
    <col min="9252" max="9252" width="5.5546875" style="1" customWidth="1"/>
    <col min="9253" max="9253" width="11" style="1" customWidth="1"/>
    <col min="9254" max="9254" width="26.33203125" style="1" customWidth="1"/>
    <col min="9255" max="9255" width="1.5546875" style="1" customWidth="1"/>
    <col min="9256" max="9256" width="17.33203125" style="1" customWidth="1"/>
    <col min="9257" max="9257" width="1.109375" style="1" customWidth="1"/>
    <col min="9258" max="9472" width="9.109375" style="1"/>
    <col min="9473" max="9473" width="9" style="1" bestFit="1" customWidth="1"/>
    <col min="9474" max="9474" width="5" style="1" bestFit="1" customWidth="1"/>
    <col min="9475" max="9475" width="34.5546875" style="1" bestFit="1" customWidth="1"/>
    <col min="9476" max="9476" width="10.6640625" style="1" bestFit="1" customWidth="1"/>
    <col min="9477" max="9477" width="16" style="1" bestFit="1" customWidth="1"/>
    <col min="9478" max="9478" width="12.5546875" style="1" bestFit="1" customWidth="1"/>
    <col min="9479" max="9479" width="3.6640625" style="1" customWidth="1"/>
    <col min="9480" max="9480" width="4" style="1" bestFit="1" customWidth="1"/>
    <col min="9481" max="9481" width="36.5546875" style="1" bestFit="1" customWidth="1"/>
    <col min="9482" max="9483" width="10.6640625" style="1" customWidth="1"/>
    <col min="9484" max="9484" width="12.5546875" style="1" customWidth="1"/>
    <col min="9485" max="9485" width="14.33203125" style="1" customWidth="1"/>
    <col min="9486" max="9486" width="12.5546875" style="1" customWidth="1"/>
    <col min="9487" max="9487" width="5" style="1" customWidth="1"/>
    <col min="9488" max="9488" width="4" style="1" customWidth="1"/>
    <col min="9489" max="9489" width="18.33203125" style="1" bestFit="1" customWidth="1"/>
    <col min="9490" max="9490" width="10.88671875" style="1" customWidth="1"/>
    <col min="9491" max="9491" width="15" style="1" customWidth="1"/>
    <col min="9492" max="9492" width="10.6640625" style="1" customWidth="1"/>
    <col min="9493" max="9493" width="12.5546875" style="1" customWidth="1"/>
    <col min="9494" max="9494" width="13.6640625" style="1" customWidth="1"/>
    <col min="9495" max="9495" width="12.5546875" style="1" customWidth="1"/>
    <col min="9496" max="9496" width="13.6640625" style="1" customWidth="1"/>
    <col min="9497" max="9497" width="15.109375" style="1" customWidth="1"/>
    <col min="9498" max="9498" width="3.6640625" style="1" customWidth="1"/>
    <col min="9499" max="9499" width="28" style="1" bestFit="1" customWidth="1"/>
    <col min="9500" max="9500" width="15.33203125" style="1" customWidth="1"/>
    <col min="9501" max="9501" width="21.5546875" style="1" customWidth="1"/>
    <col min="9502" max="9502" width="22.6640625" style="1" customWidth="1"/>
    <col min="9503" max="9503" width="1.5546875" style="1" customWidth="1"/>
    <col min="9504" max="9504" width="17.6640625" style="1" bestFit="1" customWidth="1"/>
    <col min="9505" max="9505" width="13.88671875" style="1" customWidth="1"/>
    <col min="9506" max="9506" width="3.109375" style="1" customWidth="1"/>
    <col min="9507" max="9507" width="23.109375" style="1" customWidth="1"/>
    <col min="9508" max="9508" width="5.5546875" style="1" customWidth="1"/>
    <col min="9509" max="9509" width="11" style="1" customWidth="1"/>
    <col min="9510" max="9510" width="26.33203125" style="1" customWidth="1"/>
    <col min="9511" max="9511" width="1.5546875" style="1" customWidth="1"/>
    <col min="9512" max="9512" width="17.33203125" style="1" customWidth="1"/>
    <col min="9513" max="9513" width="1.109375" style="1" customWidth="1"/>
    <col min="9514" max="9728" width="9.109375" style="1"/>
    <col min="9729" max="9729" width="9" style="1" bestFit="1" customWidth="1"/>
    <col min="9730" max="9730" width="5" style="1" bestFit="1" customWidth="1"/>
    <col min="9731" max="9731" width="34.5546875" style="1" bestFit="1" customWidth="1"/>
    <col min="9732" max="9732" width="10.6640625" style="1" bestFit="1" customWidth="1"/>
    <col min="9733" max="9733" width="16" style="1" bestFit="1" customWidth="1"/>
    <col min="9734" max="9734" width="12.5546875" style="1" bestFit="1" customWidth="1"/>
    <col min="9735" max="9735" width="3.6640625" style="1" customWidth="1"/>
    <col min="9736" max="9736" width="4" style="1" bestFit="1" customWidth="1"/>
    <col min="9737" max="9737" width="36.5546875" style="1" bestFit="1" customWidth="1"/>
    <col min="9738" max="9739" width="10.6640625" style="1" customWidth="1"/>
    <col min="9740" max="9740" width="12.5546875" style="1" customWidth="1"/>
    <col min="9741" max="9741" width="14.33203125" style="1" customWidth="1"/>
    <col min="9742" max="9742" width="12.5546875" style="1" customWidth="1"/>
    <col min="9743" max="9743" width="5" style="1" customWidth="1"/>
    <col min="9744" max="9744" width="4" style="1" customWidth="1"/>
    <col min="9745" max="9745" width="18.33203125" style="1" bestFit="1" customWidth="1"/>
    <col min="9746" max="9746" width="10.88671875" style="1" customWidth="1"/>
    <col min="9747" max="9747" width="15" style="1" customWidth="1"/>
    <col min="9748" max="9748" width="10.6640625" style="1" customWidth="1"/>
    <col min="9749" max="9749" width="12.5546875" style="1" customWidth="1"/>
    <col min="9750" max="9750" width="13.6640625" style="1" customWidth="1"/>
    <col min="9751" max="9751" width="12.5546875" style="1" customWidth="1"/>
    <col min="9752" max="9752" width="13.6640625" style="1" customWidth="1"/>
    <col min="9753" max="9753" width="15.109375" style="1" customWidth="1"/>
    <col min="9754" max="9754" width="3.6640625" style="1" customWidth="1"/>
    <col min="9755" max="9755" width="28" style="1" bestFit="1" customWidth="1"/>
    <col min="9756" max="9756" width="15.33203125" style="1" customWidth="1"/>
    <col min="9757" max="9757" width="21.5546875" style="1" customWidth="1"/>
    <col min="9758" max="9758" width="22.6640625" style="1" customWidth="1"/>
    <col min="9759" max="9759" width="1.5546875" style="1" customWidth="1"/>
    <col min="9760" max="9760" width="17.6640625" style="1" bestFit="1" customWidth="1"/>
    <col min="9761" max="9761" width="13.88671875" style="1" customWidth="1"/>
    <col min="9762" max="9762" width="3.109375" style="1" customWidth="1"/>
    <col min="9763" max="9763" width="23.109375" style="1" customWidth="1"/>
    <col min="9764" max="9764" width="5.5546875" style="1" customWidth="1"/>
    <col min="9765" max="9765" width="11" style="1" customWidth="1"/>
    <col min="9766" max="9766" width="26.33203125" style="1" customWidth="1"/>
    <col min="9767" max="9767" width="1.5546875" style="1" customWidth="1"/>
    <col min="9768" max="9768" width="17.33203125" style="1" customWidth="1"/>
    <col min="9769" max="9769" width="1.109375" style="1" customWidth="1"/>
    <col min="9770" max="9984" width="9.109375" style="1"/>
    <col min="9985" max="9985" width="9" style="1" bestFit="1" customWidth="1"/>
    <col min="9986" max="9986" width="5" style="1" bestFit="1" customWidth="1"/>
    <col min="9987" max="9987" width="34.5546875" style="1" bestFit="1" customWidth="1"/>
    <col min="9988" max="9988" width="10.6640625" style="1" bestFit="1" customWidth="1"/>
    <col min="9989" max="9989" width="16" style="1" bestFit="1" customWidth="1"/>
    <col min="9990" max="9990" width="12.5546875" style="1" bestFit="1" customWidth="1"/>
    <col min="9991" max="9991" width="3.6640625" style="1" customWidth="1"/>
    <col min="9992" max="9992" width="4" style="1" bestFit="1" customWidth="1"/>
    <col min="9993" max="9993" width="36.5546875" style="1" bestFit="1" customWidth="1"/>
    <col min="9994" max="9995" width="10.6640625" style="1" customWidth="1"/>
    <col min="9996" max="9996" width="12.5546875" style="1" customWidth="1"/>
    <col min="9997" max="9997" width="14.33203125" style="1" customWidth="1"/>
    <col min="9998" max="9998" width="12.5546875" style="1" customWidth="1"/>
    <col min="9999" max="9999" width="5" style="1" customWidth="1"/>
    <col min="10000" max="10000" width="4" style="1" customWidth="1"/>
    <col min="10001" max="10001" width="18.33203125" style="1" bestFit="1" customWidth="1"/>
    <col min="10002" max="10002" width="10.88671875" style="1" customWidth="1"/>
    <col min="10003" max="10003" width="15" style="1" customWidth="1"/>
    <col min="10004" max="10004" width="10.6640625" style="1" customWidth="1"/>
    <col min="10005" max="10005" width="12.5546875" style="1" customWidth="1"/>
    <col min="10006" max="10006" width="13.6640625" style="1" customWidth="1"/>
    <col min="10007" max="10007" width="12.5546875" style="1" customWidth="1"/>
    <col min="10008" max="10008" width="13.6640625" style="1" customWidth="1"/>
    <col min="10009" max="10009" width="15.109375" style="1" customWidth="1"/>
    <col min="10010" max="10010" width="3.6640625" style="1" customWidth="1"/>
    <col min="10011" max="10011" width="28" style="1" bestFit="1" customWidth="1"/>
    <col min="10012" max="10012" width="15.33203125" style="1" customWidth="1"/>
    <col min="10013" max="10013" width="21.5546875" style="1" customWidth="1"/>
    <col min="10014" max="10014" width="22.6640625" style="1" customWidth="1"/>
    <col min="10015" max="10015" width="1.5546875" style="1" customWidth="1"/>
    <col min="10016" max="10016" width="17.6640625" style="1" bestFit="1" customWidth="1"/>
    <col min="10017" max="10017" width="13.88671875" style="1" customWidth="1"/>
    <col min="10018" max="10018" width="3.109375" style="1" customWidth="1"/>
    <col min="10019" max="10019" width="23.109375" style="1" customWidth="1"/>
    <col min="10020" max="10020" width="5.5546875" style="1" customWidth="1"/>
    <col min="10021" max="10021" width="11" style="1" customWidth="1"/>
    <col min="10022" max="10022" width="26.33203125" style="1" customWidth="1"/>
    <col min="10023" max="10023" width="1.5546875" style="1" customWidth="1"/>
    <col min="10024" max="10024" width="17.33203125" style="1" customWidth="1"/>
    <col min="10025" max="10025" width="1.109375" style="1" customWidth="1"/>
    <col min="10026" max="10240" width="9.109375" style="1"/>
    <col min="10241" max="10241" width="9" style="1" bestFit="1" customWidth="1"/>
    <col min="10242" max="10242" width="5" style="1" bestFit="1" customWidth="1"/>
    <col min="10243" max="10243" width="34.5546875" style="1" bestFit="1" customWidth="1"/>
    <col min="10244" max="10244" width="10.6640625" style="1" bestFit="1" customWidth="1"/>
    <col min="10245" max="10245" width="16" style="1" bestFit="1" customWidth="1"/>
    <col min="10246" max="10246" width="12.5546875" style="1" bestFit="1" customWidth="1"/>
    <col min="10247" max="10247" width="3.6640625" style="1" customWidth="1"/>
    <col min="10248" max="10248" width="4" style="1" bestFit="1" customWidth="1"/>
    <col min="10249" max="10249" width="36.5546875" style="1" bestFit="1" customWidth="1"/>
    <col min="10250" max="10251" width="10.6640625" style="1" customWidth="1"/>
    <col min="10252" max="10252" width="12.5546875" style="1" customWidth="1"/>
    <col min="10253" max="10253" width="14.33203125" style="1" customWidth="1"/>
    <col min="10254" max="10254" width="12.5546875" style="1" customWidth="1"/>
    <col min="10255" max="10255" width="5" style="1" customWidth="1"/>
    <col min="10256" max="10256" width="4" style="1" customWidth="1"/>
    <col min="10257" max="10257" width="18.33203125" style="1" bestFit="1" customWidth="1"/>
    <col min="10258" max="10258" width="10.88671875" style="1" customWidth="1"/>
    <col min="10259" max="10259" width="15" style="1" customWidth="1"/>
    <col min="10260" max="10260" width="10.6640625" style="1" customWidth="1"/>
    <col min="10261" max="10261" width="12.5546875" style="1" customWidth="1"/>
    <col min="10262" max="10262" width="13.6640625" style="1" customWidth="1"/>
    <col min="10263" max="10263" width="12.5546875" style="1" customWidth="1"/>
    <col min="10264" max="10264" width="13.6640625" style="1" customWidth="1"/>
    <col min="10265" max="10265" width="15.109375" style="1" customWidth="1"/>
    <col min="10266" max="10266" width="3.6640625" style="1" customWidth="1"/>
    <col min="10267" max="10267" width="28" style="1" bestFit="1" customWidth="1"/>
    <col min="10268" max="10268" width="15.33203125" style="1" customWidth="1"/>
    <col min="10269" max="10269" width="21.5546875" style="1" customWidth="1"/>
    <col min="10270" max="10270" width="22.6640625" style="1" customWidth="1"/>
    <col min="10271" max="10271" width="1.5546875" style="1" customWidth="1"/>
    <col min="10272" max="10272" width="17.6640625" style="1" bestFit="1" customWidth="1"/>
    <col min="10273" max="10273" width="13.88671875" style="1" customWidth="1"/>
    <col min="10274" max="10274" width="3.109375" style="1" customWidth="1"/>
    <col min="10275" max="10275" width="23.109375" style="1" customWidth="1"/>
    <col min="10276" max="10276" width="5.5546875" style="1" customWidth="1"/>
    <col min="10277" max="10277" width="11" style="1" customWidth="1"/>
    <col min="10278" max="10278" width="26.33203125" style="1" customWidth="1"/>
    <col min="10279" max="10279" width="1.5546875" style="1" customWidth="1"/>
    <col min="10280" max="10280" width="17.33203125" style="1" customWidth="1"/>
    <col min="10281" max="10281" width="1.109375" style="1" customWidth="1"/>
    <col min="10282" max="10496" width="9.109375" style="1"/>
    <col min="10497" max="10497" width="9" style="1" bestFit="1" customWidth="1"/>
    <col min="10498" max="10498" width="5" style="1" bestFit="1" customWidth="1"/>
    <col min="10499" max="10499" width="34.5546875" style="1" bestFit="1" customWidth="1"/>
    <col min="10500" max="10500" width="10.6640625" style="1" bestFit="1" customWidth="1"/>
    <col min="10501" max="10501" width="16" style="1" bestFit="1" customWidth="1"/>
    <col min="10502" max="10502" width="12.5546875" style="1" bestFit="1" customWidth="1"/>
    <col min="10503" max="10503" width="3.6640625" style="1" customWidth="1"/>
    <col min="10504" max="10504" width="4" style="1" bestFit="1" customWidth="1"/>
    <col min="10505" max="10505" width="36.5546875" style="1" bestFit="1" customWidth="1"/>
    <col min="10506" max="10507" width="10.6640625" style="1" customWidth="1"/>
    <col min="10508" max="10508" width="12.5546875" style="1" customWidth="1"/>
    <col min="10509" max="10509" width="14.33203125" style="1" customWidth="1"/>
    <col min="10510" max="10510" width="12.5546875" style="1" customWidth="1"/>
    <col min="10511" max="10511" width="5" style="1" customWidth="1"/>
    <col min="10512" max="10512" width="4" style="1" customWidth="1"/>
    <col min="10513" max="10513" width="18.33203125" style="1" bestFit="1" customWidth="1"/>
    <col min="10514" max="10514" width="10.88671875" style="1" customWidth="1"/>
    <col min="10515" max="10515" width="15" style="1" customWidth="1"/>
    <col min="10516" max="10516" width="10.6640625" style="1" customWidth="1"/>
    <col min="10517" max="10517" width="12.5546875" style="1" customWidth="1"/>
    <col min="10518" max="10518" width="13.6640625" style="1" customWidth="1"/>
    <col min="10519" max="10519" width="12.5546875" style="1" customWidth="1"/>
    <col min="10520" max="10520" width="13.6640625" style="1" customWidth="1"/>
    <col min="10521" max="10521" width="15.109375" style="1" customWidth="1"/>
    <col min="10522" max="10522" width="3.6640625" style="1" customWidth="1"/>
    <col min="10523" max="10523" width="28" style="1" bestFit="1" customWidth="1"/>
    <col min="10524" max="10524" width="15.33203125" style="1" customWidth="1"/>
    <col min="10525" max="10525" width="21.5546875" style="1" customWidth="1"/>
    <col min="10526" max="10526" width="22.6640625" style="1" customWidth="1"/>
    <col min="10527" max="10527" width="1.5546875" style="1" customWidth="1"/>
    <col min="10528" max="10528" width="17.6640625" style="1" bestFit="1" customWidth="1"/>
    <col min="10529" max="10529" width="13.88671875" style="1" customWidth="1"/>
    <col min="10530" max="10530" width="3.109375" style="1" customWidth="1"/>
    <col min="10531" max="10531" width="23.109375" style="1" customWidth="1"/>
    <col min="10532" max="10532" width="5.5546875" style="1" customWidth="1"/>
    <col min="10533" max="10533" width="11" style="1" customWidth="1"/>
    <col min="10534" max="10534" width="26.33203125" style="1" customWidth="1"/>
    <col min="10535" max="10535" width="1.5546875" style="1" customWidth="1"/>
    <col min="10536" max="10536" width="17.33203125" style="1" customWidth="1"/>
    <col min="10537" max="10537" width="1.109375" style="1" customWidth="1"/>
    <col min="10538" max="10752" width="9.109375" style="1"/>
    <col min="10753" max="10753" width="9" style="1" bestFit="1" customWidth="1"/>
    <col min="10754" max="10754" width="5" style="1" bestFit="1" customWidth="1"/>
    <col min="10755" max="10755" width="34.5546875" style="1" bestFit="1" customWidth="1"/>
    <col min="10756" max="10756" width="10.6640625" style="1" bestFit="1" customWidth="1"/>
    <col min="10757" max="10757" width="16" style="1" bestFit="1" customWidth="1"/>
    <col min="10758" max="10758" width="12.5546875" style="1" bestFit="1" customWidth="1"/>
    <col min="10759" max="10759" width="3.6640625" style="1" customWidth="1"/>
    <col min="10760" max="10760" width="4" style="1" bestFit="1" customWidth="1"/>
    <col min="10761" max="10761" width="36.5546875" style="1" bestFit="1" customWidth="1"/>
    <col min="10762" max="10763" width="10.6640625" style="1" customWidth="1"/>
    <col min="10764" max="10764" width="12.5546875" style="1" customWidth="1"/>
    <col min="10765" max="10765" width="14.33203125" style="1" customWidth="1"/>
    <col min="10766" max="10766" width="12.5546875" style="1" customWidth="1"/>
    <col min="10767" max="10767" width="5" style="1" customWidth="1"/>
    <col min="10768" max="10768" width="4" style="1" customWidth="1"/>
    <col min="10769" max="10769" width="18.33203125" style="1" bestFit="1" customWidth="1"/>
    <col min="10770" max="10770" width="10.88671875" style="1" customWidth="1"/>
    <col min="10771" max="10771" width="15" style="1" customWidth="1"/>
    <col min="10772" max="10772" width="10.6640625" style="1" customWidth="1"/>
    <col min="10773" max="10773" width="12.5546875" style="1" customWidth="1"/>
    <col min="10774" max="10774" width="13.6640625" style="1" customWidth="1"/>
    <col min="10775" max="10775" width="12.5546875" style="1" customWidth="1"/>
    <col min="10776" max="10776" width="13.6640625" style="1" customWidth="1"/>
    <col min="10777" max="10777" width="15.109375" style="1" customWidth="1"/>
    <col min="10778" max="10778" width="3.6640625" style="1" customWidth="1"/>
    <col min="10779" max="10779" width="28" style="1" bestFit="1" customWidth="1"/>
    <col min="10780" max="10780" width="15.33203125" style="1" customWidth="1"/>
    <col min="10781" max="10781" width="21.5546875" style="1" customWidth="1"/>
    <col min="10782" max="10782" width="22.6640625" style="1" customWidth="1"/>
    <col min="10783" max="10783" width="1.5546875" style="1" customWidth="1"/>
    <col min="10784" max="10784" width="17.6640625" style="1" bestFit="1" customWidth="1"/>
    <col min="10785" max="10785" width="13.88671875" style="1" customWidth="1"/>
    <col min="10786" max="10786" width="3.109375" style="1" customWidth="1"/>
    <col min="10787" max="10787" width="23.109375" style="1" customWidth="1"/>
    <col min="10788" max="10788" width="5.5546875" style="1" customWidth="1"/>
    <col min="10789" max="10789" width="11" style="1" customWidth="1"/>
    <col min="10790" max="10790" width="26.33203125" style="1" customWidth="1"/>
    <col min="10791" max="10791" width="1.5546875" style="1" customWidth="1"/>
    <col min="10792" max="10792" width="17.33203125" style="1" customWidth="1"/>
    <col min="10793" max="10793" width="1.109375" style="1" customWidth="1"/>
    <col min="10794" max="11008" width="9.109375" style="1"/>
    <col min="11009" max="11009" width="9" style="1" bestFit="1" customWidth="1"/>
    <col min="11010" max="11010" width="5" style="1" bestFit="1" customWidth="1"/>
    <col min="11011" max="11011" width="34.5546875" style="1" bestFit="1" customWidth="1"/>
    <col min="11012" max="11012" width="10.6640625" style="1" bestFit="1" customWidth="1"/>
    <col min="11013" max="11013" width="16" style="1" bestFit="1" customWidth="1"/>
    <col min="11014" max="11014" width="12.5546875" style="1" bestFit="1" customWidth="1"/>
    <col min="11015" max="11015" width="3.6640625" style="1" customWidth="1"/>
    <col min="11016" max="11016" width="4" style="1" bestFit="1" customWidth="1"/>
    <col min="11017" max="11017" width="36.5546875" style="1" bestFit="1" customWidth="1"/>
    <col min="11018" max="11019" width="10.6640625" style="1" customWidth="1"/>
    <col min="11020" max="11020" width="12.5546875" style="1" customWidth="1"/>
    <col min="11021" max="11021" width="14.33203125" style="1" customWidth="1"/>
    <col min="11022" max="11022" width="12.5546875" style="1" customWidth="1"/>
    <col min="11023" max="11023" width="5" style="1" customWidth="1"/>
    <col min="11024" max="11024" width="4" style="1" customWidth="1"/>
    <col min="11025" max="11025" width="18.33203125" style="1" bestFit="1" customWidth="1"/>
    <col min="11026" max="11026" width="10.88671875" style="1" customWidth="1"/>
    <col min="11027" max="11027" width="15" style="1" customWidth="1"/>
    <col min="11028" max="11028" width="10.6640625" style="1" customWidth="1"/>
    <col min="11029" max="11029" width="12.5546875" style="1" customWidth="1"/>
    <col min="11030" max="11030" width="13.6640625" style="1" customWidth="1"/>
    <col min="11031" max="11031" width="12.5546875" style="1" customWidth="1"/>
    <col min="11032" max="11032" width="13.6640625" style="1" customWidth="1"/>
    <col min="11033" max="11033" width="15.109375" style="1" customWidth="1"/>
    <col min="11034" max="11034" width="3.6640625" style="1" customWidth="1"/>
    <col min="11035" max="11035" width="28" style="1" bestFit="1" customWidth="1"/>
    <col min="11036" max="11036" width="15.33203125" style="1" customWidth="1"/>
    <col min="11037" max="11037" width="21.5546875" style="1" customWidth="1"/>
    <col min="11038" max="11038" width="22.6640625" style="1" customWidth="1"/>
    <col min="11039" max="11039" width="1.5546875" style="1" customWidth="1"/>
    <col min="11040" max="11040" width="17.6640625" style="1" bestFit="1" customWidth="1"/>
    <col min="11041" max="11041" width="13.88671875" style="1" customWidth="1"/>
    <col min="11042" max="11042" width="3.109375" style="1" customWidth="1"/>
    <col min="11043" max="11043" width="23.109375" style="1" customWidth="1"/>
    <col min="11044" max="11044" width="5.5546875" style="1" customWidth="1"/>
    <col min="11045" max="11045" width="11" style="1" customWidth="1"/>
    <col min="11046" max="11046" width="26.33203125" style="1" customWidth="1"/>
    <col min="11047" max="11047" width="1.5546875" style="1" customWidth="1"/>
    <col min="11048" max="11048" width="17.33203125" style="1" customWidth="1"/>
    <col min="11049" max="11049" width="1.109375" style="1" customWidth="1"/>
    <col min="11050" max="11264" width="9.109375" style="1"/>
    <col min="11265" max="11265" width="9" style="1" bestFit="1" customWidth="1"/>
    <col min="11266" max="11266" width="5" style="1" bestFit="1" customWidth="1"/>
    <col min="11267" max="11267" width="34.5546875" style="1" bestFit="1" customWidth="1"/>
    <col min="11268" max="11268" width="10.6640625" style="1" bestFit="1" customWidth="1"/>
    <col min="11269" max="11269" width="16" style="1" bestFit="1" customWidth="1"/>
    <col min="11270" max="11270" width="12.5546875" style="1" bestFit="1" customWidth="1"/>
    <col min="11271" max="11271" width="3.6640625" style="1" customWidth="1"/>
    <col min="11272" max="11272" width="4" style="1" bestFit="1" customWidth="1"/>
    <col min="11273" max="11273" width="36.5546875" style="1" bestFit="1" customWidth="1"/>
    <col min="11274" max="11275" width="10.6640625" style="1" customWidth="1"/>
    <col min="11276" max="11276" width="12.5546875" style="1" customWidth="1"/>
    <col min="11277" max="11277" width="14.33203125" style="1" customWidth="1"/>
    <col min="11278" max="11278" width="12.5546875" style="1" customWidth="1"/>
    <col min="11279" max="11279" width="5" style="1" customWidth="1"/>
    <col min="11280" max="11280" width="4" style="1" customWidth="1"/>
    <col min="11281" max="11281" width="18.33203125" style="1" bestFit="1" customWidth="1"/>
    <col min="11282" max="11282" width="10.88671875" style="1" customWidth="1"/>
    <col min="11283" max="11283" width="15" style="1" customWidth="1"/>
    <col min="11284" max="11284" width="10.6640625" style="1" customWidth="1"/>
    <col min="11285" max="11285" width="12.5546875" style="1" customWidth="1"/>
    <col min="11286" max="11286" width="13.6640625" style="1" customWidth="1"/>
    <col min="11287" max="11287" width="12.5546875" style="1" customWidth="1"/>
    <col min="11288" max="11288" width="13.6640625" style="1" customWidth="1"/>
    <col min="11289" max="11289" width="15.109375" style="1" customWidth="1"/>
    <col min="11290" max="11290" width="3.6640625" style="1" customWidth="1"/>
    <col min="11291" max="11291" width="28" style="1" bestFit="1" customWidth="1"/>
    <col min="11292" max="11292" width="15.33203125" style="1" customWidth="1"/>
    <col min="11293" max="11293" width="21.5546875" style="1" customWidth="1"/>
    <col min="11294" max="11294" width="22.6640625" style="1" customWidth="1"/>
    <col min="11295" max="11295" width="1.5546875" style="1" customWidth="1"/>
    <col min="11296" max="11296" width="17.6640625" style="1" bestFit="1" customWidth="1"/>
    <col min="11297" max="11297" width="13.88671875" style="1" customWidth="1"/>
    <col min="11298" max="11298" width="3.109375" style="1" customWidth="1"/>
    <col min="11299" max="11299" width="23.109375" style="1" customWidth="1"/>
    <col min="11300" max="11300" width="5.5546875" style="1" customWidth="1"/>
    <col min="11301" max="11301" width="11" style="1" customWidth="1"/>
    <col min="11302" max="11302" width="26.33203125" style="1" customWidth="1"/>
    <col min="11303" max="11303" width="1.5546875" style="1" customWidth="1"/>
    <col min="11304" max="11304" width="17.33203125" style="1" customWidth="1"/>
    <col min="11305" max="11305" width="1.109375" style="1" customWidth="1"/>
    <col min="11306" max="11520" width="9.109375" style="1"/>
    <col min="11521" max="11521" width="9" style="1" bestFit="1" customWidth="1"/>
    <col min="11522" max="11522" width="5" style="1" bestFit="1" customWidth="1"/>
    <col min="11523" max="11523" width="34.5546875" style="1" bestFit="1" customWidth="1"/>
    <col min="11524" max="11524" width="10.6640625" style="1" bestFit="1" customWidth="1"/>
    <col min="11525" max="11525" width="16" style="1" bestFit="1" customWidth="1"/>
    <col min="11526" max="11526" width="12.5546875" style="1" bestFit="1" customWidth="1"/>
    <col min="11527" max="11527" width="3.6640625" style="1" customWidth="1"/>
    <col min="11528" max="11528" width="4" style="1" bestFit="1" customWidth="1"/>
    <col min="11529" max="11529" width="36.5546875" style="1" bestFit="1" customWidth="1"/>
    <col min="11530" max="11531" width="10.6640625" style="1" customWidth="1"/>
    <col min="11532" max="11532" width="12.5546875" style="1" customWidth="1"/>
    <col min="11533" max="11533" width="14.33203125" style="1" customWidth="1"/>
    <col min="11534" max="11534" width="12.5546875" style="1" customWidth="1"/>
    <col min="11535" max="11535" width="5" style="1" customWidth="1"/>
    <col min="11536" max="11536" width="4" style="1" customWidth="1"/>
    <col min="11537" max="11537" width="18.33203125" style="1" bestFit="1" customWidth="1"/>
    <col min="11538" max="11538" width="10.88671875" style="1" customWidth="1"/>
    <col min="11539" max="11539" width="15" style="1" customWidth="1"/>
    <col min="11540" max="11540" width="10.6640625" style="1" customWidth="1"/>
    <col min="11541" max="11541" width="12.5546875" style="1" customWidth="1"/>
    <col min="11542" max="11542" width="13.6640625" style="1" customWidth="1"/>
    <col min="11543" max="11543" width="12.5546875" style="1" customWidth="1"/>
    <col min="11544" max="11544" width="13.6640625" style="1" customWidth="1"/>
    <col min="11545" max="11545" width="15.109375" style="1" customWidth="1"/>
    <col min="11546" max="11546" width="3.6640625" style="1" customWidth="1"/>
    <col min="11547" max="11547" width="28" style="1" bestFit="1" customWidth="1"/>
    <col min="11548" max="11548" width="15.33203125" style="1" customWidth="1"/>
    <col min="11549" max="11549" width="21.5546875" style="1" customWidth="1"/>
    <col min="11550" max="11550" width="22.6640625" style="1" customWidth="1"/>
    <col min="11551" max="11551" width="1.5546875" style="1" customWidth="1"/>
    <col min="11552" max="11552" width="17.6640625" style="1" bestFit="1" customWidth="1"/>
    <col min="11553" max="11553" width="13.88671875" style="1" customWidth="1"/>
    <col min="11554" max="11554" width="3.109375" style="1" customWidth="1"/>
    <col min="11555" max="11555" width="23.109375" style="1" customWidth="1"/>
    <col min="11556" max="11556" width="5.5546875" style="1" customWidth="1"/>
    <col min="11557" max="11557" width="11" style="1" customWidth="1"/>
    <col min="11558" max="11558" width="26.33203125" style="1" customWidth="1"/>
    <col min="11559" max="11559" width="1.5546875" style="1" customWidth="1"/>
    <col min="11560" max="11560" width="17.33203125" style="1" customWidth="1"/>
    <col min="11561" max="11561" width="1.109375" style="1" customWidth="1"/>
    <col min="11562" max="11776" width="9.109375" style="1"/>
    <col min="11777" max="11777" width="9" style="1" bestFit="1" customWidth="1"/>
    <col min="11778" max="11778" width="5" style="1" bestFit="1" customWidth="1"/>
    <col min="11779" max="11779" width="34.5546875" style="1" bestFit="1" customWidth="1"/>
    <col min="11780" max="11780" width="10.6640625" style="1" bestFit="1" customWidth="1"/>
    <col min="11781" max="11781" width="16" style="1" bestFit="1" customWidth="1"/>
    <col min="11782" max="11782" width="12.5546875" style="1" bestFit="1" customWidth="1"/>
    <col min="11783" max="11783" width="3.6640625" style="1" customWidth="1"/>
    <col min="11784" max="11784" width="4" style="1" bestFit="1" customWidth="1"/>
    <col min="11785" max="11785" width="36.5546875" style="1" bestFit="1" customWidth="1"/>
    <col min="11786" max="11787" width="10.6640625" style="1" customWidth="1"/>
    <col min="11788" max="11788" width="12.5546875" style="1" customWidth="1"/>
    <col min="11789" max="11789" width="14.33203125" style="1" customWidth="1"/>
    <col min="11790" max="11790" width="12.5546875" style="1" customWidth="1"/>
    <col min="11791" max="11791" width="5" style="1" customWidth="1"/>
    <col min="11792" max="11792" width="4" style="1" customWidth="1"/>
    <col min="11793" max="11793" width="18.33203125" style="1" bestFit="1" customWidth="1"/>
    <col min="11794" max="11794" width="10.88671875" style="1" customWidth="1"/>
    <col min="11795" max="11795" width="15" style="1" customWidth="1"/>
    <col min="11796" max="11796" width="10.6640625" style="1" customWidth="1"/>
    <col min="11797" max="11797" width="12.5546875" style="1" customWidth="1"/>
    <col min="11798" max="11798" width="13.6640625" style="1" customWidth="1"/>
    <col min="11799" max="11799" width="12.5546875" style="1" customWidth="1"/>
    <col min="11800" max="11800" width="13.6640625" style="1" customWidth="1"/>
    <col min="11801" max="11801" width="15.109375" style="1" customWidth="1"/>
    <col min="11802" max="11802" width="3.6640625" style="1" customWidth="1"/>
    <col min="11803" max="11803" width="28" style="1" bestFit="1" customWidth="1"/>
    <col min="11804" max="11804" width="15.33203125" style="1" customWidth="1"/>
    <col min="11805" max="11805" width="21.5546875" style="1" customWidth="1"/>
    <col min="11806" max="11806" width="22.6640625" style="1" customWidth="1"/>
    <col min="11807" max="11807" width="1.5546875" style="1" customWidth="1"/>
    <col min="11808" max="11808" width="17.6640625" style="1" bestFit="1" customWidth="1"/>
    <col min="11809" max="11809" width="13.88671875" style="1" customWidth="1"/>
    <col min="11810" max="11810" width="3.109375" style="1" customWidth="1"/>
    <col min="11811" max="11811" width="23.109375" style="1" customWidth="1"/>
    <col min="11812" max="11812" width="5.5546875" style="1" customWidth="1"/>
    <col min="11813" max="11813" width="11" style="1" customWidth="1"/>
    <col min="11814" max="11814" width="26.33203125" style="1" customWidth="1"/>
    <col min="11815" max="11815" width="1.5546875" style="1" customWidth="1"/>
    <col min="11816" max="11816" width="17.33203125" style="1" customWidth="1"/>
    <col min="11817" max="11817" width="1.109375" style="1" customWidth="1"/>
    <col min="11818" max="12032" width="9.109375" style="1"/>
    <col min="12033" max="12033" width="9" style="1" bestFit="1" customWidth="1"/>
    <col min="12034" max="12034" width="5" style="1" bestFit="1" customWidth="1"/>
    <col min="12035" max="12035" width="34.5546875" style="1" bestFit="1" customWidth="1"/>
    <col min="12036" max="12036" width="10.6640625" style="1" bestFit="1" customWidth="1"/>
    <col min="12037" max="12037" width="16" style="1" bestFit="1" customWidth="1"/>
    <col min="12038" max="12038" width="12.5546875" style="1" bestFit="1" customWidth="1"/>
    <col min="12039" max="12039" width="3.6640625" style="1" customWidth="1"/>
    <col min="12040" max="12040" width="4" style="1" bestFit="1" customWidth="1"/>
    <col min="12041" max="12041" width="36.5546875" style="1" bestFit="1" customWidth="1"/>
    <col min="12042" max="12043" width="10.6640625" style="1" customWidth="1"/>
    <col min="12044" max="12044" width="12.5546875" style="1" customWidth="1"/>
    <col min="12045" max="12045" width="14.33203125" style="1" customWidth="1"/>
    <col min="12046" max="12046" width="12.5546875" style="1" customWidth="1"/>
    <col min="12047" max="12047" width="5" style="1" customWidth="1"/>
    <col min="12048" max="12048" width="4" style="1" customWidth="1"/>
    <col min="12049" max="12049" width="18.33203125" style="1" bestFit="1" customWidth="1"/>
    <col min="12050" max="12050" width="10.88671875" style="1" customWidth="1"/>
    <col min="12051" max="12051" width="15" style="1" customWidth="1"/>
    <col min="12052" max="12052" width="10.6640625" style="1" customWidth="1"/>
    <col min="12053" max="12053" width="12.5546875" style="1" customWidth="1"/>
    <col min="12054" max="12054" width="13.6640625" style="1" customWidth="1"/>
    <col min="12055" max="12055" width="12.5546875" style="1" customWidth="1"/>
    <col min="12056" max="12056" width="13.6640625" style="1" customWidth="1"/>
    <col min="12057" max="12057" width="15.109375" style="1" customWidth="1"/>
    <col min="12058" max="12058" width="3.6640625" style="1" customWidth="1"/>
    <col min="12059" max="12059" width="28" style="1" bestFit="1" customWidth="1"/>
    <col min="12060" max="12060" width="15.33203125" style="1" customWidth="1"/>
    <col min="12061" max="12061" width="21.5546875" style="1" customWidth="1"/>
    <col min="12062" max="12062" width="22.6640625" style="1" customWidth="1"/>
    <col min="12063" max="12063" width="1.5546875" style="1" customWidth="1"/>
    <col min="12064" max="12064" width="17.6640625" style="1" bestFit="1" customWidth="1"/>
    <col min="12065" max="12065" width="13.88671875" style="1" customWidth="1"/>
    <col min="12066" max="12066" width="3.109375" style="1" customWidth="1"/>
    <col min="12067" max="12067" width="23.109375" style="1" customWidth="1"/>
    <col min="12068" max="12068" width="5.5546875" style="1" customWidth="1"/>
    <col min="12069" max="12069" width="11" style="1" customWidth="1"/>
    <col min="12070" max="12070" width="26.33203125" style="1" customWidth="1"/>
    <col min="12071" max="12071" width="1.5546875" style="1" customWidth="1"/>
    <col min="12072" max="12072" width="17.33203125" style="1" customWidth="1"/>
    <col min="12073" max="12073" width="1.109375" style="1" customWidth="1"/>
    <col min="12074" max="12288" width="9.109375" style="1"/>
    <col min="12289" max="12289" width="9" style="1" bestFit="1" customWidth="1"/>
    <col min="12290" max="12290" width="5" style="1" bestFit="1" customWidth="1"/>
    <col min="12291" max="12291" width="34.5546875" style="1" bestFit="1" customWidth="1"/>
    <col min="12292" max="12292" width="10.6640625" style="1" bestFit="1" customWidth="1"/>
    <col min="12293" max="12293" width="16" style="1" bestFit="1" customWidth="1"/>
    <col min="12294" max="12294" width="12.5546875" style="1" bestFit="1" customWidth="1"/>
    <col min="12295" max="12295" width="3.6640625" style="1" customWidth="1"/>
    <col min="12296" max="12296" width="4" style="1" bestFit="1" customWidth="1"/>
    <col min="12297" max="12297" width="36.5546875" style="1" bestFit="1" customWidth="1"/>
    <col min="12298" max="12299" width="10.6640625" style="1" customWidth="1"/>
    <col min="12300" max="12300" width="12.5546875" style="1" customWidth="1"/>
    <col min="12301" max="12301" width="14.33203125" style="1" customWidth="1"/>
    <col min="12302" max="12302" width="12.5546875" style="1" customWidth="1"/>
    <col min="12303" max="12303" width="5" style="1" customWidth="1"/>
    <col min="12304" max="12304" width="4" style="1" customWidth="1"/>
    <col min="12305" max="12305" width="18.33203125" style="1" bestFit="1" customWidth="1"/>
    <col min="12306" max="12306" width="10.88671875" style="1" customWidth="1"/>
    <col min="12307" max="12307" width="15" style="1" customWidth="1"/>
    <col min="12308" max="12308" width="10.6640625" style="1" customWidth="1"/>
    <col min="12309" max="12309" width="12.5546875" style="1" customWidth="1"/>
    <col min="12310" max="12310" width="13.6640625" style="1" customWidth="1"/>
    <col min="12311" max="12311" width="12.5546875" style="1" customWidth="1"/>
    <col min="12312" max="12312" width="13.6640625" style="1" customWidth="1"/>
    <col min="12313" max="12313" width="15.109375" style="1" customWidth="1"/>
    <col min="12314" max="12314" width="3.6640625" style="1" customWidth="1"/>
    <col min="12315" max="12315" width="28" style="1" bestFit="1" customWidth="1"/>
    <col min="12316" max="12316" width="15.33203125" style="1" customWidth="1"/>
    <col min="12317" max="12317" width="21.5546875" style="1" customWidth="1"/>
    <col min="12318" max="12318" width="22.6640625" style="1" customWidth="1"/>
    <col min="12319" max="12319" width="1.5546875" style="1" customWidth="1"/>
    <col min="12320" max="12320" width="17.6640625" style="1" bestFit="1" customWidth="1"/>
    <col min="12321" max="12321" width="13.88671875" style="1" customWidth="1"/>
    <col min="12322" max="12322" width="3.109375" style="1" customWidth="1"/>
    <col min="12323" max="12323" width="23.109375" style="1" customWidth="1"/>
    <col min="12324" max="12324" width="5.5546875" style="1" customWidth="1"/>
    <col min="12325" max="12325" width="11" style="1" customWidth="1"/>
    <col min="12326" max="12326" width="26.33203125" style="1" customWidth="1"/>
    <col min="12327" max="12327" width="1.5546875" style="1" customWidth="1"/>
    <col min="12328" max="12328" width="17.33203125" style="1" customWidth="1"/>
    <col min="12329" max="12329" width="1.109375" style="1" customWidth="1"/>
    <col min="12330" max="12544" width="9.109375" style="1"/>
    <col min="12545" max="12545" width="9" style="1" bestFit="1" customWidth="1"/>
    <col min="12546" max="12546" width="5" style="1" bestFit="1" customWidth="1"/>
    <col min="12547" max="12547" width="34.5546875" style="1" bestFit="1" customWidth="1"/>
    <col min="12548" max="12548" width="10.6640625" style="1" bestFit="1" customWidth="1"/>
    <col min="12549" max="12549" width="16" style="1" bestFit="1" customWidth="1"/>
    <col min="12550" max="12550" width="12.5546875" style="1" bestFit="1" customWidth="1"/>
    <col min="12551" max="12551" width="3.6640625" style="1" customWidth="1"/>
    <col min="12552" max="12552" width="4" style="1" bestFit="1" customWidth="1"/>
    <col min="12553" max="12553" width="36.5546875" style="1" bestFit="1" customWidth="1"/>
    <col min="12554" max="12555" width="10.6640625" style="1" customWidth="1"/>
    <col min="12556" max="12556" width="12.5546875" style="1" customWidth="1"/>
    <col min="12557" max="12557" width="14.33203125" style="1" customWidth="1"/>
    <col min="12558" max="12558" width="12.5546875" style="1" customWidth="1"/>
    <col min="12559" max="12559" width="5" style="1" customWidth="1"/>
    <col min="12560" max="12560" width="4" style="1" customWidth="1"/>
    <col min="12561" max="12561" width="18.33203125" style="1" bestFit="1" customWidth="1"/>
    <col min="12562" max="12562" width="10.88671875" style="1" customWidth="1"/>
    <col min="12563" max="12563" width="15" style="1" customWidth="1"/>
    <col min="12564" max="12564" width="10.6640625" style="1" customWidth="1"/>
    <col min="12565" max="12565" width="12.5546875" style="1" customWidth="1"/>
    <col min="12566" max="12566" width="13.6640625" style="1" customWidth="1"/>
    <col min="12567" max="12567" width="12.5546875" style="1" customWidth="1"/>
    <col min="12568" max="12568" width="13.6640625" style="1" customWidth="1"/>
    <col min="12569" max="12569" width="15.109375" style="1" customWidth="1"/>
    <col min="12570" max="12570" width="3.6640625" style="1" customWidth="1"/>
    <col min="12571" max="12571" width="28" style="1" bestFit="1" customWidth="1"/>
    <col min="12572" max="12572" width="15.33203125" style="1" customWidth="1"/>
    <col min="12573" max="12573" width="21.5546875" style="1" customWidth="1"/>
    <col min="12574" max="12574" width="22.6640625" style="1" customWidth="1"/>
    <col min="12575" max="12575" width="1.5546875" style="1" customWidth="1"/>
    <col min="12576" max="12576" width="17.6640625" style="1" bestFit="1" customWidth="1"/>
    <col min="12577" max="12577" width="13.88671875" style="1" customWidth="1"/>
    <col min="12578" max="12578" width="3.109375" style="1" customWidth="1"/>
    <col min="12579" max="12579" width="23.109375" style="1" customWidth="1"/>
    <col min="12580" max="12580" width="5.5546875" style="1" customWidth="1"/>
    <col min="12581" max="12581" width="11" style="1" customWidth="1"/>
    <col min="12582" max="12582" width="26.33203125" style="1" customWidth="1"/>
    <col min="12583" max="12583" width="1.5546875" style="1" customWidth="1"/>
    <col min="12584" max="12584" width="17.33203125" style="1" customWidth="1"/>
    <col min="12585" max="12585" width="1.109375" style="1" customWidth="1"/>
    <col min="12586" max="12800" width="9.109375" style="1"/>
    <col min="12801" max="12801" width="9" style="1" bestFit="1" customWidth="1"/>
    <col min="12802" max="12802" width="5" style="1" bestFit="1" customWidth="1"/>
    <col min="12803" max="12803" width="34.5546875" style="1" bestFit="1" customWidth="1"/>
    <col min="12804" max="12804" width="10.6640625" style="1" bestFit="1" customWidth="1"/>
    <col min="12805" max="12805" width="16" style="1" bestFit="1" customWidth="1"/>
    <col min="12806" max="12806" width="12.5546875" style="1" bestFit="1" customWidth="1"/>
    <col min="12807" max="12807" width="3.6640625" style="1" customWidth="1"/>
    <col min="12808" max="12808" width="4" style="1" bestFit="1" customWidth="1"/>
    <col min="12809" max="12809" width="36.5546875" style="1" bestFit="1" customWidth="1"/>
    <col min="12810" max="12811" width="10.6640625" style="1" customWidth="1"/>
    <col min="12812" max="12812" width="12.5546875" style="1" customWidth="1"/>
    <col min="12813" max="12813" width="14.33203125" style="1" customWidth="1"/>
    <col min="12814" max="12814" width="12.5546875" style="1" customWidth="1"/>
    <col min="12815" max="12815" width="5" style="1" customWidth="1"/>
    <col min="12816" max="12816" width="4" style="1" customWidth="1"/>
    <col min="12817" max="12817" width="18.33203125" style="1" bestFit="1" customWidth="1"/>
    <col min="12818" max="12818" width="10.88671875" style="1" customWidth="1"/>
    <col min="12819" max="12819" width="15" style="1" customWidth="1"/>
    <col min="12820" max="12820" width="10.6640625" style="1" customWidth="1"/>
    <col min="12821" max="12821" width="12.5546875" style="1" customWidth="1"/>
    <col min="12822" max="12822" width="13.6640625" style="1" customWidth="1"/>
    <col min="12823" max="12823" width="12.5546875" style="1" customWidth="1"/>
    <col min="12824" max="12824" width="13.6640625" style="1" customWidth="1"/>
    <col min="12825" max="12825" width="15.109375" style="1" customWidth="1"/>
    <col min="12826" max="12826" width="3.6640625" style="1" customWidth="1"/>
    <col min="12827" max="12827" width="28" style="1" bestFit="1" customWidth="1"/>
    <col min="12828" max="12828" width="15.33203125" style="1" customWidth="1"/>
    <col min="12829" max="12829" width="21.5546875" style="1" customWidth="1"/>
    <col min="12830" max="12830" width="22.6640625" style="1" customWidth="1"/>
    <col min="12831" max="12831" width="1.5546875" style="1" customWidth="1"/>
    <col min="12832" max="12832" width="17.6640625" style="1" bestFit="1" customWidth="1"/>
    <col min="12833" max="12833" width="13.88671875" style="1" customWidth="1"/>
    <col min="12834" max="12834" width="3.109375" style="1" customWidth="1"/>
    <col min="12835" max="12835" width="23.109375" style="1" customWidth="1"/>
    <col min="12836" max="12836" width="5.5546875" style="1" customWidth="1"/>
    <col min="12837" max="12837" width="11" style="1" customWidth="1"/>
    <col min="12838" max="12838" width="26.33203125" style="1" customWidth="1"/>
    <col min="12839" max="12839" width="1.5546875" style="1" customWidth="1"/>
    <col min="12840" max="12840" width="17.33203125" style="1" customWidth="1"/>
    <col min="12841" max="12841" width="1.109375" style="1" customWidth="1"/>
    <col min="12842" max="13056" width="9.109375" style="1"/>
    <col min="13057" max="13057" width="9" style="1" bestFit="1" customWidth="1"/>
    <col min="13058" max="13058" width="5" style="1" bestFit="1" customWidth="1"/>
    <col min="13059" max="13059" width="34.5546875" style="1" bestFit="1" customWidth="1"/>
    <col min="13060" max="13060" width="10.6640625" style="1" bestFit="1" customWidth="1"/>
    <col min="13061" max="13061" width="16" style="1" bestFit="1" customWidth="1"/>
    <col min="13062" max="13062" width="12.5546875" style="1" bestFit="1" customWidth="1"/>
    <col min="13063" max="13063" width="3.6640625" style="1" customWidth="1"/>
    <col min="13064" max="13064" width="4" style="1" bestFit="1" customWidth="1"/>
    <col min="13065" max="13065" width="36.5546875" style="1" bestFit="1" customWidth="1"/>
    <col min="13066" max="13067" width="10.6640625" style="1" customWidth="1"/>
    <col min="13068" max="13068" width="12.5546875" style="1" customWidth="1"/>
    <col min="13069" max="13069" width="14.33203125" style="1" customWidth="1"/>
    <col min="13070" max="13070" width="12.5546875" style="1" customWidth="1"/>
    <col min="13071" max="13071" width="5" style="1" customWidth="1"/>
    <col min="13072" max="13072" width="4" style="1" customWidth="1"/>
    <col min="13073" max="13073" width="18.33203125" style="1" bestFit="1" customWidth="1"/>
    <col min="13074" max="13074" width="10.88671875" style="1" customWidth="1"/>
    <col min="13075" max="13075" width="15" style="1" customWidth="1"/>
    <col min="13076" max="13076" width="10.6640625" style="1" customWidth="1"/>
    <col min="13077" max="13077" width="12.5546875" style="1" customWidth="1"/>
    <col min="13078" max="13078" width="13.6640625" style="1" customWidth="1"/>
    <col min="13079" max="13079" width="12.5546875" style="1" customWidth="1"/>
    <col min="13080" max="13080" width="13.6640625" style="1" customWidth="1"/>
    <col min="13081" max="13081" width="15.109375" style="1" customWidth="1"/>
    <col min="13082" max="13082" width="3.6640625" style="1" customWidth="1"/>
    <col min="13083" max="13083" width="28" style="1" bestFit="1" customWidth="1"/>
    <col min="13084" max="13084" width="15.33203125" style="1" customWidth="1"/>
    <col min="13085" max="13085" width="21.5546875" style="1" customWidth="1"/>
    <col min="13086" max="13086" width="22.6640625" style="1" customWidth="1"/>
    <col min="13087" max="13087" width="1.5546875" style="1" customWidth="1"/>
    <col min="13088" max="13088" width="17.6640625" style="1" bestFit="1" customWidth="1"/>
    <col min="13089" max="13089" width="13.88671875" style="1" customWidth="1"/>
    <col min="13090" max="13090" width="3.109375" style="1" customWidth="1"/>
    <col min="13091" max="13091" width="23.109375" style="1" customWidth="1"/>
    <col min="13092" max="13092" width="5.5546875" style="1" customWidth="1"/>
    <col min="13093" max="13093" width="11" style="1" customWidth="1"/>
    <col min="13094" max="13094" width="26.33203125" style="1" customWidth="1"/>
    <col min="13095" max="13095" width="1.5546875" style="1" customWidth="1"/>
    <col min="13096" max="13096" width="17.33203125" style="1" customWidth="1"/>
    <col min="13097" max="13097" width="1.109375" style="1" customWidth="1"/>
    <col min="13098" max="13312" width="9.109375" style="1"/>
    <col min="13313" max="13313" width="9" style="1" bestFit="1" customWidth="1"/>
    <col min="13314" max="13314" width="5" style="1" bestFit="1" customWidth="1"/>
    <col min="13315" max="13315" width="34.5546875" style="1" bestFit="1" customWidth="1"/>
    <col min="13316" max="13316" width="10.6640625" style="1" bestFit="1" customWidth="1"/>
    <col min="13317" max="13317" width="16" style="1" bestFit="1" customWidth="1"/>
    <col min="13318" max="13318" width="12.5546875" style="1" bestFit="1" customWidth="1"/>
    <col min="13319" max="13319" width="3.6640625" style="1" customWidth="1"/>
    <col min="13320" max="13320" width="4" style="1" bestFit="1" customWidth="1"/>
    <col min="13321" max="13321" width="36.5546875" style="1" bestFit="1" customWidth="1"/>
    <col min="13322" max="13323" width="10.6640625" style="1" customWidth="1"/>
    <col min="13324" max="13324" width="12.5546875" style="1" customWidth="1"/>
    <col min="13325" max="13325" width="14.33203125" style="1" customWidth="1"/>
    <col min="13326" max="13326" width="12.5546875" style="1" customWidth="1"/>
    <col min="13327" max="13327" width="5" style="1" customWidth="1"/>
    <col min="13328" max="13328" width="4" style="1" customWidth="1"/>
    <col min="13329" max="13329" width="18.33203125" style="1" bestFit="1" customWidth="1"/>
    <col min="13330" max="13330" width="10.88671875" style="1" customWidth="1"/>
    <col min="13331" max="13331" width="15" style="1" customWidth="1"/>
    <col min="13332" max="13332" width="10.6640625" style="1" customWidth="1"/>
    <col min="13333" max="13333" width="12.5546875" style="1" customWidth="1"/>
    <col min="13334" max="13334" width="13.6640625" style="1" customWidth="1"/>
    <col min="13335" max="13335" width="12.5546875" style="1" customWidth="1"/>
    <col min="13336" max="13336" width="13.6640625" style="1" customWidth="1"/>
    <col min="13337" max="13337" width="15.109375" style="1" customWidth="1"/>
    <col min="13338" max="13338" width="3.6640625" style="1" customWidth="1"/>
    <col min="13339" max="13339" width="28" style="1" bestFit="1" customWidth="1"/>
    <col min="13340" max="13340" width="15.33203125" style="1" customWidth="1"/>
    <col min="13341" max="13341" width="21.5546875" style="1" customWidth="1"/>
    <col min="13342" max="13342" width="22.6640625" style="1" customWidth="1"/>
    <col min="13343" max="13343" width="1.5546875" style="1" customWidth="1"/>
    <col min="13344" max="13344" width="17.6640625" style="1" bestFit="1" customWidth="1"/>
    <col min="13345" max="13345" width="13.88671875" style="1" customWidth="1"/>
    <col min="13346" max="13346" width="3.109375" style="1" customWidth="1"/>
    <col min="13347" max="13347" width="23.109375" style="1" customWidth="1"/>
    <col min="13348" max="13348" width="5.5546875" style="1" customWidth="1"/>
    <col min="13349" max="13349" width="11" style="1" customWidth="1"/>
    <col min="13350" max="13350" width="26.33203125" style="1" customWidth="1"/>
    <col min="13351" max="13351" width="1.5546875" style="1" customWidth="1"/>
    <col min="13352" max="13352" width="17.33203125" style="1" customWidth="1"/>
    <col min="13353" max="13353" width="1.109375" style="1" customWidth="1"/>
    <col min="13354" max="13568" width="9.109375" style="1"/>
    <col min="13569" max="13569" width="9" style="1" bestFit="1" customWidth="1"/>
    <col min="13570" max="13570" width="5" style="1" bestFit="1" customWidth="1"/>
    <col min="13571" max="13571" width="34.5546875" style="1" bestFit="1" customWidth="1"/>
    <col min="13572" max="13572" width="10.6640625" style="1" bestFit="1" customWidth="1"/>
    <col min="13573" max="13573" width="16" style="1" bestFit="1" customWidth="1"/>
    <col min="13574" max="13574" width="12.5546875" style="1" bestFit="1" customWidth="1"/>
    <col min="13575" max="13575" width="3.6640625" style="1" customWidth="1"/>
    <col min="13576" max="13576" width="4" style="1" bestFit="1" customWidth="1"/>
    <col min="13577" max="13577" width="36.5546875" style="1" bestFit="1" customWidth="1"/>
    <col min="13578" max="13579" width="10.6640625" style="1" customWidth="1"/>
    <col min="13580" max="13580" width="12.5546875" style="1" customWidth="1"/>
    <col min="13581" max="13581" width="14.33203125" style="1" customWidth="1"/>
    <col min="13582" max="13582" width="12.5546875" style="1" customWidth="1"/>
    <col min="13583" max="13583" width="5" style="1" customWidth="1"/>
    <col min="13584" max="13584" width="4" style="1" customWidth="1"/>
    <col min="13585" max="13585" width="18.33203125" style="1" bestFit="1" customWidth="1"/>
    <col min="13586" max="13586" width="10.88671875" style="1" customWidth="1"/>
    <col min="13587" max="13587" width="15" style="1" customWidth="1"/>
    <col min="13588" max="13588" width="10.6640625" style="1" customWidth="1"/>
    <col min="13589" max="13589" width="12.5546875" style="1" customWidth="1"/>
    <col min="13590" max="13590" width="13.6640625" style="1" customWidth="1"/>
    <col min="13591" max="13591" width="12.5546875" style="1" customWidth="1"/>
    <col min="13592" max="13592" width="13.6640625" style="1" customWidth="1"/>
    <col min="13593" max="13593" width="15.109375" style="1" customWidth="1"/>
    <col min="13594" max="13594" width="3.6640625" style="1" customWidth="1"/>
    <col min="13595" max="13595" width="28" style="1" bestFit="1" customWidth="1"/>
    <col min="13596" max="13596" width="15.33203125" style="1" customWidth="1"/>
    <col min="13597" max="13597" width="21.5546875" style="1" customWidth="1"/>
    <col min="13598" max="13598" width="22.6640625" style="1" customWidth="1"/>
    <col min="13599" max="13599" width="1.5546875" style="1" customWidth="1"/>
    <col min="13600" max="13600" width="17.6640625" style="1" bestFit="1" customWidth="1"/>
    <col min="13601" max="13601" width="13.88671875" style="1" customWidth="1"/>
    <col min="13602" max="13602" width="3.109375" style="1" customWidth="1"/>
    <col min="13603" max="13603" width="23.109375" style="1" customWidth="1"/>
    <col min="13604" max="13604" width="5.5546875" style="1" customWidth="1"/>
    <col min="13605" max="13605" width="11" style="1" customWidth="1"/>
    <col min="13606" max="13606" width="26.33203125" style="1" customWidth="1"/>
    <col min="13607" max="13607" width="1.5546875" style="1" customWidth="1"/>
    <col min="13608" max="13608" width="17.33203125" style="1" customWidth="1"/>
    <col min="13609" max="13609" width="1.109375" style="1" customWidth="1"/>
    <col min="13610" max="13824" width="9.109375" style="1"/>
    <col min="13825" max="13825" width="9" style="1" bestFit="1" customWidth="1"/>
    <col min="13826" max="13826" width="5" style="1" bestFit="1" customWidth="1"/>
    <col min="13827" max="13827" width="34.5546875" style="1" bestFit="1" customWidth="1"/>
    <col min="13828" max="13828" width="10.6640625" style="1" bestFit="1" customWidth="1"/>
    <col min="13829" max="13829" width="16" style="1" bestFit="1" customWidth="1"/>
    <col min="13830" max="13830" width="12.5546875" style="1" bestFit="1" customWidth="1"/>
    <col min="13831" max="13831" width="3.6640625" style="1" customWidth="1"/>
    <col min="13832" max="13832" width="4" style="1" bestFit="1" customWidth="1"/>
    <col min="13833" max="13833" width="36.5546875" style="1" bestFit="1" customWidth="1"/>
    <col min="13834" max="13835" width="10.6640625" style="1" customWidth="1"/>
    <col min="13836" max="13836" width="12.5546875" style="1" customWidth="1"/>
    <col min="13837" max="13837" width="14.33203125" style="1" customWidth="1"/>
    <col min="13838" max="13838" width="12.5546875" style="1" customWidth="1"/>
    <col min="13839" max="13839" width="5" style="1" customWidth="1"/>
    <col min="13840" max="13840" width="4" style="1" customWidth="1"/>
    <col min="13841" max="13841" width="18.33203125" style="1" bestFit="1" customWidth="1"/>
    <col min="13842" max="13842" width="10.88671875" style="1" customWidth="1"/>
    <col min="13843" max="13843" width="15" style="1" customWidth="1"/>
    <col min="13844" max="13844" width="10.6640625" style="1" customWidth="1"/>
    <col min="13845" max="13845" width="12.5546875" style="1" customWidth="1"/>
    <col min="13846" max="13846" width="13.6640625" style="1" customWidth="1"/>
    <col min="13847" max="13847" width="12.5546875" style="1" customWidth="1"/>
    <col min="13848" max="13848" width="13.6640625" style="1" customWidth="1"/>
    <col min="13849" max="13849" width="15.109375" style="1" customWidth="1"/>
    <col min="13850" max="13850" width="3.6640625" style="1" customWidth="1"/>
    <col min="13851" max="13851" width="28" style="1" bestFit="1" customWidth="1"/>
    <col min="13852" max="13852" width="15.33203125" style="1" customWidth="1"/>
    <col min="13853" max="13853" width="21.5546875" style="1" customWidth="1"/>
    <col min="13854" max="13854" width="22.6640625" style="1" customWidth="1"/>
    <col min="13855" max="13855" width="1.5546875" style="1" customWidth="1"/>
    <col min="13856" max="13856" width="17.6640625" style="1" bestFit="1" customWidth="1"/>
    <col min="13857" max="13857" width="13.88671875" style="1" customWidth="1"/>
    <col min="13858" max="13858" width="3.109375" style="1" customWidth="1"/>
    <col min="13859" max="13859" width="23.109375" style="1" customWidth="1"/>
    <col min="13860" max="13860" width="5.5546875" style="1" customWidth="1"/>
    <col min="13861" max="13861" width="11" style="1" customWidth="1"/>
    <col min="13862" max="13862" width="26.33203125" style="1" customWidth="1"/>
    <col min="13863" max="13863" width="1.5546875" style="1" customWidth="1"/>
    <col min="13864" max="13864" width="17.33203125" style="1" customWidth="1"/>
    <col min="13865" max="13865" width="1.109375" style="1" customWidth="1"/>
    <col min="13866" max="14080" width="9.109375" style="1"/>
    <col min="14081" max="14081" width="9" style="1" bestFit="1" customWidth="1"/>
    <col min="14082" max="14082" width="5" style="1" bestFit="1" customWidth="1"/>
    <col min="14083" max="14083" width="34.5546875" style="1" bestFit="1" customWidth="1"/>
    <col min="14084" max="14084" width="10.6640625" style="1" bestFit="1" customWidth="1"/>
    <col min="14085" max="14085" width="16" style="1" bestFit="1" customWidth="1"/>
    <col min="14086" max="14086" width="12.5546875" style="1" bestFit="1" customWidth="1"/>
    <col min="14087" max="14087" width="3.6640625" style="1" customWidth="1"/>
    <col min="14088" max="14088" width="4" style="1" bestFit="1" customWidth="1"/>
    <col min="14089" max="14089" width="36.5546875" style="1" bestFit="1" customWidth="1"/>
    <col min="14090" max="14091" width="10.6640625" style="1" customWidth="1"/>
    <col min="14092" max="14092" width="12.5546875" style="1" customWidth="1"/>
    <col min="14093" max="14093" width="14.33203125" style="1" customWidth="1"/>
    <col min="14094" max="14094" width="12.5546875" style="1" customWidth="1"/>
    <col min="14095" max="14095" width="5" style="1" customWidth="1"/>
    <col min="14096" max="14096" width="4" style="1" customWidth="1"/>
    <col min="14097" max="14097" width="18.33203125" style="1" bestFit="1" customWidth="1"/>
    <col min="14098" max="14098" width="10.88671875" style="1" customWidth="1"/>
    <col min="14099" max="14099" width="15" style="1" customWidth="1"/>
    <col min="14100" max="14100" width="10.6640625" style="1" customWidth="1"/>
    <col min="14101" max="14101" width="12.5546875" style="1" customWidth="1"/>
    <col min="14102" max="14102" width="13.6640625" style="1" customWidth="1"/>
    <col min="14103" max="14103" width="12.5546875" style="1" customWidth="1"/>
    <col min="14104" max="14104" width="13.6640625" style="1" customWidth="1"/>
    <col min="14105" max="14105" width="15.109375" style="1" customWidth="1"/>
    <col min="14106" max="14106" width="3.6640625" style="1" customWidth="1"/>
    <col min="14107" max="14107" width="28" style="1" bestFit="1" customWidth="1"/>
    <col min="14108" max="14108" width="15.33203125" style="1" customWidth="1"/>
    <col min="14109" max="14109" width="21.5546875" style="1" customWidth="1"/>
    <col min="14110" max="14110" width="22.6640625" style="1" customWidth="1"/>
    <col min="14111" max="14111" width="1.5546875" style="1" customWidth="1"/>
    <col min="14112" max="14112" width="17.6640625" style="1" bestFit="1" customWidth="1"/>
    <col min="14113" max="14113" width="13.88671875" style="1" customWidth="1"/>
    <col min="14114" max="14114" width="3.109375" style="1" customWidth="1"/>
    <col min="14115" max="14115" width="23.109375" style="1" customWidth="1"/>
    <col min="14116" max="14116" width="5.5546875" style="1" customWidth="1"/>
    <col min="14117" max="14117" width="11" style="1" customWidth="1"/>
    <col min="14118" max="14118" width="26.33203125" style="1" customWidth="1"/>
    <col min="14119" max="14119" width="1.5546875" style="1" customWidth="1"/>
    <col min="14120" max="14120" width="17.33203125" style="1" customWidth="1"/>
    <col min="14121" max="14121" width="1.109375" style="1" customWidth="1"/>
    <col min="14122" max="14336" width="9.109375" style="1"/>
    <col min="14337" max="14337" width="9" style="1" bestFit="1" customWidth="1"/>
    <col min="14338" max="14338" width="5" style="1" bestFit="1" customWidth="1"/>
    <col min="14339" max="14339" width="34.5546875" style="1" bestFit="1" customWidth="1"/>
    <col min="14340" max="14340" width="10.6640625" style="1" bestFit="1" customWidth="1"/>
    <col min="14341" max="14341" width="16" style="1" bestFit="1" customWidth="1"/>
    <col min="14342" max="14342" width="12.5546875" style="1" bestFit="1" customWidth="1"/>
    <col min="14343" max="14343" width="3.6640625" style="1" customWidth="1"/>
    <col min="14344" max="14344" width="4" style="1" bestFit="1" customWidth="1"/>
    <col min="14345" max="14345" width="36.5546875" style="1" bestFit="1" customWidth="1"/>
    <col min="14346" max="14347" width="10.6640625" style="1" customWidth="1"/>
    <col min="14348" max="14348" width="12.5546875" style="1" customWidth="1"/>
    <col min="14349" max="14349" width="14.33203125" style="1" customWidth="1"/>
    <col min="14350" max="14350" width="12.5546875" style="1" customWidth="1"/>
    <col min="14351" max="14351" width="5" style="1" customWidth="1"/>
    <col min="14352" max="14352" width="4" style="1" customWidth="1"/>
    <col min="14353" max="14353" width="18.33203125" style="1" bestFit="1" customWidth="1"/>
    <col min="14354" max="14354" width="10.88671875" style="1" customWidth="1"/>
    <col min="14355" max="14355" width="15" style="1" customWidth="1"/>
    <col min="14356" max="14356" width="10.6640625" style="1" customWidth="1"/>
    <col min="14357" max="14357" width="12.5546875" style="1" customWidth="1"/>
    <col min="14358" max="14358" width="13.6640625" style="1" customWidth="1"/>
    <col min="14359" max="14359" width="12.5546875" style="1" customWidth="1"/>
    <col min="14360" max="14360" width="13.6640625" style="1" customWidth="1"/>
    <col min="14361" max="14361" width="15.109375" style="1" customWidth="1"/>
    <col min="14362" max="14362" width="3.6640625" style="1" customWidth="1"/>
    <col min="14363" max="14363" width="28" style="1" bestFit="1" customWidth="1"/>
    <col min="14364" max="14364" width="15.33203125" style="1" customWidth="1"/>
    <col min="14365" max="14365" width="21.5546875" style="1" customWidth="1"/>
    <col min="14366" max="14366" width="22.6640625" style="1" customWidth="1"/>
    <col min="14367" max="14367" width="1.5546875" style="1" customWidth="1"/>
    <col min="14368" max="14368" width="17.6640625" style="1" bestFit="1" customWidth="1"/>
    <col min="14369" max="14369" width="13.88671875" style="1" customWidth="1"/>
    <col min="14370" max="14370" width="3.109375" style="1" customWidth="1"/>
    <col min="14371" max="14371" width="23.109375" style="1" customWidth="1"/>
    <col min="14372" max="14372" width="5.5546875" style="1" customWidth="1"/>
    <col min="14373" max="14373" width="11" style="1" customWidth="1"/>
    <col min="14374" max="14374" width="26.33203125" style="1" customWidth="1"/>
    <col min="14375" max="14375" width="1.5546875" style="1" customWidth="1"/>
    <col min="14376" max="14376" width="17.33203125" style="1" customWidth="1"/>
    <col min="14377" max="14377" width="1.109375" style="1" customWidth="1"/>
    <col min="14378" max="14592" width="9.109375" style="1"/>
    <col min="14593" max="14593" width="9" style="1" bestFit="1" customWidth="1"/>
    <col min="14594" max="14594" width="5" style="1" bestFit="1" customWidth="1"/>
    <col min="14595" max="14595" width="34.5546875" style="1" bestFit="1" customWidth="1"/>
    <col min="14596" max="14596" width="10.6640625" style="1" bestFit="1" customWidth="1"/>
    <col min="14597" max="14597" width="16" style="1" bestFit="1" customWidth="1"/>
    <col min="14598" max="14598" width="12.5546875" style="1" bestFit="1" customWidth="1"/>
    <col min="14599" max="14599" width="3.6640625" style="1" customWidth="1"/>
    <col min="14600" max="14600" width="4" style="1" bestFit="1" customWidth="1"/>
    <col min="14601" max="14601" width="36.5546875" style="1" bestFit="1" customWidth="1"/>
    <col min="14602" max="14603" width="10.6640625" style="1" customWidth="1"/>
    <col min="14604" max="14604" width="12.5546875" style="1" customWidth="1"/>
    <col min="14605" max="14605" width="14.33203125" style="1" customWidth="1"/>
    <col min="14606" max="14606" width="12.5546875" style="1" customWidth="1"/>
    <col min="14607" max="14607" width="5" style="1" customWidth="1"/>
    <col min="14608" max="14608" width="4" style="1" customWidth="1"/>
    <col min="14609" max="14609" width="18.33203125" style="1" bestFit="1" customWidth="1"/>
    <col min="14610" max="14610" width="10.88671875" style="1" customWidth="1"/>
    <col min="14611" max="14611" width="15" style="1" customWidth="1"/>
    <col min="14612" max="14612" width="10.6640625" style="1" customWidth="1"/>
    <col min="14613" max="14613" width="12.5546875" style="1" customWidth="1"/>
    <col min="14614" max="14614" width="13.6640625" style="1" customWidth="1"/>
    <col min="14615" max="14615" width="12.5546875" style="1" customWidth="1"/>
    <col min="14616" max="14616" width="13.6640625" style="1" customWidth="1"/>
    <col min="14617" max="14617" width="15.109375" style="1" customWidth="1"/>
    <col min="14618" max="14618" width="3.6640625" style="1" customWidth="1"/>
    <col min="14619" max="14619" width="28" style="1" bestFit="1" customWidth="1"/>
    <col min="14620" max="14620" width="15.33203125" style="1" customWidth="1"/>
    <col min="14621" max="14621" width="21.5546875" style="1" customWidth="1"/>
    <col min="14622" max="14622" width="22.6640625" style="1" customWidth="1"/>
    <col min="14623" max="14623" width="1.5546875" style="1" customWidth="1"/>
    <col min="14624" max="14624" width="17.6640625" style="1" bestFit="1" customWidth="1"/>
    <col min="14625" max="14625" width="13.88671875" style="1" customWidth="1"/>
    <col min="14626" max="14626" width="3.109375" style="1" customWidth="1"/>
    <col min="14627" max="14627" width="23.109375" style="1" customWidth="1"/>
    <col min="14628" max="14628" width="5.5546875" style="1" customWidth="1"/>
    <col min="14629" max="14629" width="11" style="1" customWidth="1"/>
    <col min="14630" max="14630" width="26.33203125" style="1" customWidth="1"/>
    <col min="14631" max="14631" width="1.5546875" style="1" customWidth="1"/>
    <col min="14632" max="14632" width="17.33203125" style="1" customWidth="1"/>
    <col min="14633" max="14633" width="1.109375" style="1" customWidth="1"/>
    <col min="14634" max="14848" width="9.109375" style="1"/>
    <col min="14849" max="14849" width="9" style="1" bestFit="1" customWidth="1"/>
    <col min="14850" max="14850" width="5" style="1" bestFit="1" customWidth="1"/>
    <col min="14851" max="14851" width="34.5546875" style="1" bestFit="1" customWidth="1"/>
    <col min="14852" max="14852" width="10.6640625" style="1" bestFit="1" customWidth="1"/>
    <col min="14853" max="14853" width="16" style="1" bestFit="1" customWidth="1"/>
    <col min="14854" max="14854" width="12.5546875" style="1" bestFit="1" customWidth="1"/>
    <col min="14855" max="14855" width="3.6640625" style="1" customWidth="1"/>
    <col min="14856" max="14856" width="4" style="1" bestFit="1" customWidth="1"/>
    <col min="14857" max="14857" width="36.5546875" style="1" bestFit="1" customWidth="1"/>
    <col min="14858" max="14859" width="10.6640625" style="1" customWidth="1"/>
    <col min="14860" max="14860" width="12.5546875" style="1" customWidth="1"/>
    <col min="14861" max="14861" width="14.33203125" style="1" customWidth="1"/>
    <col min="14862" max="14862" width="12.5546875" style="1" customWidth="1"/>
    <col min="14863" max="14863" width="5" style="1" customWidth="1"/>
    <col min="14864" max="14864" width="4" style="1" customWidth="1"/>
    <col min="14865" max="14865" width="18.33203125" style="1" bestFit="1" customWidth="1"/>
    <col min="14866" max="14866" width="10.88671875" style="1" customWidth="1"/>
    <col min="14867" max="14867" width="15" style="1" customWidth="1"/>
    <col min="14868" max="14868" width="10.6640625" style="1" customWidth="1"/>
    <col min="14869" max="14869" width="12.5546875" style="1" customWidth="1"/>
    <col min="14870" max="14870" width="13.6640625" style="1" customWidth="1"/>
    <col min="14871" max="14871" width="12.5546875" style="1" customWidth="1"/>
    <col min="14872" max="14872" width="13.6640625" style="1" customWidth="1"/>
    <col min="14873" max="14873" width="15.109375" style="1" customWidth="1"/>
    <col min="14874" max="14874" width="3.6640625" style="1" customWidth="1"/>
    <col min="14875" max="14875" width="28" style="1" bestFit="1" customWidth="1"/>
    <col min="14876" max="14876" width="15.33203125" style="1" customWidth="1"/>
    <col min="14877" max="14877" width="21.5546875" style="1" customWidth="1"/>
    <col min="14878" max="14878" width="22.6640625" style="1" customWidth="1"/>
    <col min="14879" max="14879" width="1.5546875" style="1" customWidth="1"/>
    <col min="14880" max="14880" width="17.6640625" style="1" bestFit="1" customWidth="1"/>
    <col min="14881" max="14881" width="13.88671875" style="1" customWidth="1"/>
    <col min="14882" max="14882" width="3.109375" style="1" customWidth="1"/>
    <col min="14883" max="14883" width="23.109375" style="1" customWidth="1"/>
    <col min="14884" max="14884" width="5.5546875" style="1" customWidth="1"/>
    <col min="14885" max="14885" width="11" style="1" customWidth="1"/>
    <col min="14886" max="14886" width="26.33203125" style="1" customWidth="1"/>
    <col min="14887" max="14887" width="1.5546875" style="1" customWidth="1"/>
    <col min="14888" max="14888" width="17.33203125" style="1" customWidth="1"/>
    <col min="14889" max="14889" width="1.109375" style="1" customWidth="1"/>
    <col min="14890" max="15104" width="9.109375" style="1"/>
    <col min="15105" max="15105" width="9" style="1" bestFit="1" customWidth="1"/>
    <col min="15106" max="15106" width="5" style="1" bestFit="1" customWidth="1"/>
    <col min="15107" max="15107" width="34.5546875" style="1" bestFit="1" customWidth="1"/>
    <col min="15108" max="15108" width="10.6640625" style="1" bestFit="1" customWidth="1"/>
    <col min="15109" max="15109" width="16" style="1" bestFit="1" customWidth="1"/>
    <col min="15110" max="15110" width="12.5546875" style="1" bestFit="1" customWidth="1"/>
    <col min="15111" max="15111" width="3.6640625" style="1" customWidth="1"/>
    <col min="15112" max="15112" width="4" style="1" bestFit="1" customWidth="1"/>
    <col min="15113" max="15113" width="36.5546875" style="1" bestFit="1" customWidth="1"/>
    <col min="15114" max="15115" width="10.6640625" style="1" customWidth="1"/>
    <col min="15116" max="15116" width="12.5546875" style="1" customWidth="1"/>
    <col min="15117" max="15117" width="14.33203125" style="1" customWidth="1"/>
    <col min="15118" max="15118" width="12.5546875" style="1" customWidth="1"/>
    <col min="15119" max="15119" width="5" style="1" customWidth="1"/>
    <col min="15120" max="15120" width="4" style="1" customWidth="1"/>
    <col min="15121" max="15121" width="18.33203125" style="1" bestFit="1" customWidth="1"/>
    <col min="15122" max="15122" width="10.88671875" style="1" customWidth="1"/>
    <col min="15123" max="15123" width="15" style="1" customWidth="1"/>
    <col min="15124" max="15124" width="10.6640625" style="1" customWidth="1"/>
    <col min="15125" max="15125" width="12.5546875" style="1" customWidth="1"/>
    <col min="15126" max="15126" width="13.6640625" style="1" customWidth="1"/>
    <col min="15127" max="15127" width="12.5546875" style="1" customWidth="1"/>
    <col min="15128" max="15128" width="13.6640625" style="1" customWidth="1"/>
    <col min="15129" max="15129" width="15.109375" style="1" customWidth="1"/>
    <col min="15130" max="15130" width="3.6640625" style="1" customWidth="1"/>
    <col min="15131" max="15131" width="28" style="1" bestFit="1" customWidth="1"/>
    <col min="15132" max="15132" width="15.33203125" style="1" customWidth="1"/>
    <col min="15133" max="15133" width="21.5546875" style="1" customWidth="1"/>
    <col min="15134" max="15134" width="22.6640625" style="1" customWidth="1"/>
    <col min="15135" max="15135" width="1.5546875" style="1" customWidth="1"/>
    <col min="15136" max="15136" width="17.6640625" style="1" bestFit="1" customWidth="1"/>
    <col min="15137" max="15137" width="13.88671875" style="1" customWidth="1"/>
    <col min="15138" max="15138" width="3.109375" style="1" customWidth="1"/>
    <col min="15139" max="15139" width="23.109375" style="1" customWidth="1"/>
    <col min="15140" max="15140" width="5.5546875" style="1" customWidth="1"/>
    <col min="15141" max="15141" width="11" style="1" customWidth="1"/>
    <col min="15142" max="15142" width="26.33203125" style="1" customWidth="1"/>
    <col min="15143" max="15143" width="1.5546875" style="1" customWidth="1"/>
    <col min="15144" max="15144" width="17.33203125" style="1" customWidth="1"/>
    <col min="15145" max="15145" width="1.109375" style="1" customWidth="1"/>
    <col min="15146" max="15360" width="9.109375" style="1"/>
    <col min="15361" max="15361" width="9" style="1" bestFit="1" customWidth="1"/>
    <col min="15362" max="15362" width="5" style="1" bestFit="1" customWidth="1"/>
    <col min="15363" max="15363" width="34.5546875" style="1" bestFit="1" customWidth="1"/>
    <col min="15364" max="15364" width="10.6640625" style="1" bestFit="1" customWidth="1"/>
    <col min="15365" max="15365" width="16" style="1" bestFit="1" customWidth="1"/>
    <col min="15366" max="15366" width="12.5546875" style="1" bestFit="1" customWidth="1"/>
    <col min="15367" max="15367" width="3.6640625" style="1" customWidth="1"/>
    <col min="15368" max="15368" width="4" style="1" bestFit="1" customWidth="1"/>
    <col min="15369" max="15369" width="36.5546875" style="1" bestFit="1" customWidth="1"/>
    <col min="15370" max="15371" width="10.6640625" style="1" customWidth="1"/>
    <col min="15372" max="15372" width="12.5546875" style="1" customWidth="1"/>
    <col min="15373" max="15373" width="14.33203125" style="1" customWidth="1"/>
    <col min="15374" max="15374" width="12.5546875" style="1" customWidth="1"/>
    <col min="15375" max="15375" width="5" style="1" customWidth="1"/>
    <col min="15376" max="15376" width="4" style="1" customWidth="1"/>
    <col min="15377" max="15377" width="18.33203125" style="1" bestFit="1" customWidth="1"/>
    <col min="15378" max="15378" width="10.88671875" style="1" customWidth="1"/>
    <col min="15379" max="15379" width="15" style="1" customWidth="1"/>
    <col min="15380" max="15380" width="10.6640625" style="1" customWidth="1"/>
    <col min="15381" max="15381" width="12.5546875" style="1" customWidth="1"/>
    <col min="15382" max="15382" width="13.6640625" style="1" customWidth="1"/>
    <col min="15383" max="15383" width="12.5546875" style="1" customWidth="1"/>
    <col min="15384" max="15384" width="13.6640625" style="1" customWidth="1"/>
    <col min="15385" max="15385" width="15.109375" style="1" customWidth="1"/>
    <col min="15386" max="15386" width="3.6640625" style="1" customWidth="1"/>
    <col min="15387" max="15387" width="28" style="1" bestFit="1" customWidth="1"/>
    <col min="15388" max="15388" width="15.33203125" style="1" customWidth="1"/>
    <col min="15389" max="15389" width="21.5546875" style="1" customWidth="1"/>
    <col min="15390" max="15390" width="22.6640625" style="1" customWidth="1"/>
    <col min="15391" max="15391" width="1.5546875" style="1" customWidth="1"/>
    <col min="15392" max="15392" width="17.6640625" style="1" bestFit="1" customWidth="1"/>
    <col min="15393" max="15393" width="13.88671875" style="1" customWidth="1"/>
    <col min="15394" max="15394" width="3.109375" style="1" customWidth="1"/>
    <col min="15395" max="15395" width="23.109375" style="1" customWidth="1"/>
    <col min="15396" max="15396" width="5.5546875" style="1" customWidth="1"/>
    <col min="15397" max="15397" width="11" style="1" customWidth="1"/>
    <col min="15398" max="15398" width="26.33203125" style="1" customWidth="1"/>
    <col min="15399" max="15399" width="1.5546875" style="1" customWidth="1"/>
    <col min="15400" max="15400" width="17.33203125" style="1" customWidth="1"/>
    <col min="15401" max="15401" width="1.109375" style="1" customWidth="1"/>
    <col min="15402" max="15616" width="9.109375" style="1"/>
    <col min="15617" max="15617" width="9" style="1" bestFit="1" customWidth="1"/>
    <col min="15618" max="15618" width="5" style="1" bestFit="1" customWidth="1"/>
    <col min="15619" max="15619" width="34.5546875" style="1" bestFit="1" customWidth="1"/>
    <col min="15620" max="15620" width="10.6640625" style="1" bestFit="1" customWidth="1"/>
    <col min="15621" max="15621" width="16" style="1" bestFit="1" customWidth="1"/>
    <col min="15622" max="15622" width="12.5546875" style="1" bestFit="1" customWidth="1"/>
    <col min="15623" max="15623" width="3.6640625" style="1" customWidth="1"/>
    <col min="15624" max="15624" width="4" style="1" bestFit="1" customWidth="1"/>
    <col min="15625" max="15625" width="36.5546875" style="1" bestFit="1" customWidth="1"/>
    <col min="15626" max="15627" width="10.6640625" style="1" customWidth="1"/>
    <col min="15628" max="15628" width="12.5546875" style="1" customWidth="1"/>
    <col min="15629" max="15629" width="14.33203125" style="1" customWidth="1"/>
    <col min="15630" max="15630" width="12.5546875" style="1" customWidth="1"/>
    <col min="15631" max="15631" width="5" style="1" customWidth="1"/>
    <col min="15632" max="15632" width="4" style="1" customWidth="1"/>
    <col min="15633" max="15633" width="18.33203125" style="1" bestFit="1" customWidth="1"/>
    <col min="15634" max="15634" width="10.88671875" style="1" customWidth="1"/>
    <col min="15635" max="15635" width="15" style="1" customWidth="1"/>
    <col min="15636" max="15636" width="10.6640625" style="1" customWidth="1"/>
    <col min="15637" max="15637" width="12.5546875" style="1" customWidth="1"/>
    <col min="15638" max="15638" width="13.6640625" style="1" customWidth="1"/>
    <col min="15639" max="15639" width="12.5546875" style="1" customWidth="1"/>
    <col min="15640" max="15640" width="13.6640625" style="1" customWidth="1"/>
    <col min="15641" max="15641" width="15.109375" style="1" customWidth="1"/>
    <col min="15642" max="15642" width="3.6640625" style="1" customWidth="1"/>
    <col min="15643" max="15643" width="28" style="1" bestFit="1" customWidth="1"/>
    <col min="15644" max="15644" width="15.33203125" style="1" customWidth="1"/>
    <col min="15645" max="15645" width="21.5546875" style="1" customWidth="1"/>
    <col min="15646" max="15646" width="22.6640625" style="1" customWidth="1"/>
    <col min="15647" max="15647" width="1.5546875" style="1" customWidth="1"/>
    <col min="15648" max="15648" width="17.6640625" style="1" bestFit="1" customWidth="1"/>
    <col min="15649" max="15649" width="13.88671875" style="1" customWidth="1"/>
    <col min="15650" max="15650" width="3.109375" style="1" customWidth="1"/>
    <col min="15651" max="15651" width="23.109375" style="1" customWidth="1"/>
    <col min="15652" max="15652" width="5.5546875" style="1" customWidth="1"/>
    <col min="15653" max="15653" width="11" style="1" customWidth="1"/>
    <col min="15654" max="15654" width="26.33203125" style="1" customWidth="1"/>
    <col min="15655" max="15655" width="1.5546875" style="1" customWidth="1"/>
    <col min="15656" max="15656" width="17.33203125" style="1" customWidth="1"/>
    <col min="15657" max="15657" width="1.109375" style="1" customWidth="1"/>
    <col min="15658" max="15872" width="9.109375" style="1"/>
    <col min="15873" max="15873" width="9" style="1" bestFit="1" customWidth="1"/>
    <col min="15874" max="15874" width="5" style="1" bestFit="1" customWidth="1"/>
    <col min="15875" max="15875" width="34.5546875" style="1" bestFit="1" customWidth="1"/>
    <col min="15876" max="15876" width="10.6640625" style="1" bestFit="1" customWidth="1"/>
    <col min="15877" max="15877" width="16" style="1" bestFit="1" customWidth="1"/>
    <col min="15878" max="15878" width="12.5546875" style="1" bestFit="1" customWidth="1"/>
    <col min="15879" max="15879" width="3.6640625" style="1" customWidth="1"/>
    <col min="15880" max="15880" width="4" style="1" bestFit="1" customWidth="1"/>
    <col min="15881" max="15881" width="36.5546875" style="1" bestFit="1" customWidth="1"/>
    <col min="15882" max="15883" width="10.6640625" style="1" customWidth="1"/>
    <col min="15884" max="15884" width="12.5546875" style="1" customWidth="1"/>
    <col min="15885" max="15885" width="14.33203125" style="1" customWidth="1"/>
    <col min="15886" max="15886" width="12.5546875" style="1" customWidth="1"/>
    <col min="15887" max="15887" width="5" style="1" customWidth="1"/>
    <col min="15888" max="15888" width="4" style="1" customWidth="1"/>
    <col min="15889" max="15889" width="18.33203125" style="1" bestFit="1" customWidth="1"/>
    <col min="15890" max="15890" width="10.88671875" style="1" customWidth="1"/>
    <col min="15891" max="15891" width="15" style="1" customWidth="1"/>
    <col min="15892" max="15892" width="10.6640625" style="1" customWidth="1"/>
    <col min="15893" max="15893" width="12.5546875" style="1" customWidth="1"/>
    <col min="15894" max="15894" width="13.6640625" style="1" customWidth="1"/>
    <col min="15895" max="15895" width="12.5546875" style="1" customWidth="1"/>
    <col min="15896" max="15896" width="13.6640625" style="1" customWidth="1"/>
    <col min="15897" max="15897" width="15.109375" style="1" customWidth="1"/>
    <col min="15898" max="15898" width="3.6640625" style="1" customWidth="1"/>
    <col min="15899" max="15899" width="28" style="1" bestFit="1" customWidth="1"/>
    <col min="15900" max="15900" width="15.33203125" style="1" customWidth="1"/>
    <col min="15901" max="15901" width="21.5546875" style="1" customWidth="1"/>
    <col min="15902" max="15902" width="22.6640625" style="1" customWidth="1"/>
    <col min="15903" max="15903" width="1.5546875" style="1" customWidth="1"/>
    <col min="15904" max="15904" width="17.6640625" style="1" bestFit="1" customWidth="1"/>
    <col min="15905" max="15905" width="13.88671875" style="1" customWidth="1"/>
    <col min="15906" max="15906" width="3.109375" style="1" customWidth="1"/>
    <col min="15907" max="15907" width="23.109375" style="1" customWidth="1"/>
    <col min="15908" max="15908" width="5.5546875" style="1" customWidth="1"/>
    <col min="15909" max="15909" width="11" style="1" customWidth="1"/>
    <col min="15910" max="15910" width="26.33203125" style="1" customWidth="1"/>
    <col min="15911" max="15911" width="1.5546875" style="1" customWidth="1"/>
    <col min="15912" max="15912" width="17.33203125" style="1" customWidth="1"/>
    <col min="15913" max="15913" width="1.109375" style="1" customWidth="1"/>
    <col min="15914" max="16128" width="9.109375" style="1"/>
    <col min="16129" max="16129" width="9" style="1" bestFit="1" customWidth="1"/>
    <col min="16130" max="16130" width="5" style="1" bestFit="1" customWidth="1"/>
    <col min="16131" max="16131" width="34.5546875" style="1" bestFit="1" customWidth="1"/>
    <col min="16132" max="16132" width="10.6640625" style="1" bestFit="1" customWidth="1"/>
    <col min="16133" max="16133" width="16" style="1" bestFit="1" customWidth="1"/>
    <col min="16134" max="16134" width="12.5546875" style="1" bestFit="1" customWidth="1"/>
    <col min="16135" max="16135" width="3.6640625" style="1" customWidth="1"/>
    <col min="16136" max="16136" width="4" style="1" bestFit="1" customWidth="1"/>
    <col min="16137" max="16137" width="36.5546875" style="1" bestFit="1" customWidth="1"/>
    <col min="16138" max="16139" width="10.6640625" style="1" customWidth="1"/>
    <col min="16140" max="16140" width="12.5546875" style="1" customWidth="1"/>
    <col min="16141" max="16141" width="14.33203125" style="1" customWidth="1"/>
    <col min="16142" max="16142" width="12.5546875" style="1" customWidth="1"/>
    <col min="16143" max="16143" width="5" style="1" customWidth="1"/>
    <col min="16144" max="16144" width="4" style="1" customWidth="1"/>
    <col min="16145" max="16145" width="18.33203125" style="1" bestFit="1" customWidth="1"/>
    <col min="16146" max="16146" width="10.88671875" style="1" customWidth="1"/>
    <col min="16147" max="16147" width="15" style="1" customWidth="1"/>
    <col min="16148" max="16148" width="10.6640625" style="1" customWidth="1"/>
    <col min="16149" max="16149" width="12.5546875" style="1" customWidth="1"/>
    <col min="16150" max="16150" width="13.6640625" style="1" customWidth="1"/>
    <col min="16151" max="16151" width="12.5546875" style="1" customWidth="1"/>
    <col min="16152" max="16152" width="13.6640625" style="1" customWidth="1"/>
    <col min="16153" max="16153" width="15.109375" style="1" customWidth="1"/>
    <col min="16154" max="16154" width="3.6640625" style="1" customWidth="1"/>
    <col min="16155" max="16155" width="28" style="1" bestFit="1" customWidth="1"/>
    <col min="16156" max="16156" width="15.33203125" style="1" customWidth="1"/>
    <col min="16157" max="16157" width="21.5546875" style="1" customWidth="1"/>
    <col min="16158" max="16158" width="22.6640625" style="1" customWidth="1"/>
    <col min="16159" max="16159" width="1.5546875" style="1" customWidth="1"/>
    <col min="16160" max="16160" width="17.6640625" style="1" bestFit="1" customWidth="1"/>
    <col min="16161" max="16161" width="13.88671875" style="1" customWidth="1"/>
    <col min="16162" max="16162" width="3.109375" style="1" customWidth="1"/>
    <col min="16163" max="16163" width="23.109375" style="1" customWidth="1"/>
    <col min="16164" max="16164" width="5.5546875" style="1" customWidth="1"/>
    <col min="16165" max="16165" width="11" style="1" customWidth="1"/>
    <col min="16166" max="16166" width="26.33203125" style="1" customWidth="1"/>
    <col min="16167" max="16167" width="1.5546875" style="1" customWidth="1"/>
    <col min="16168" max="16168" width="17.33203125" style="1" customWidth="1"/>
    <col min="16169" max="16169" width="1.109375" style="1" customWidth="1"/>
    <col min="16170" max="16384" width="9.109375" style="1"/>
  </cols>
  <sheetData>
    <row r="1" spans="1:255" x14ac:dyDescent="0.3">
      <c r="E1" s="20" t="s">
        <v>70</v>
      </c>
      <c r="F1" s="110" t="str">
        <f>[1]Input!M5</f>
        <v>PT QINGMEI</v>
      </c>
      <c r="G1" s="3"/>
      <c r="I1" s="4"/>
    </row>
    <row r="2" spans="1:255" x14ac:dyDescent="0.3">
      <c r="C2" s="13"/>
      <c r="D2" s="13"/>
      <c r="E2" s="14" t="s">
        <v>0</v>
      </c>
      <c r="F2" s="4">
        <f>COUNT(H12:H3000)</f>
        <v>36</v>
      </c>
      <c r="G2" s="4"/>
      <c r="I2" s="15"/>
      <c r="J2" s="16"/>
      <c r="L2" s="12"/>
      <c r="M2" s="4"/>
      <c r="P2" s="17"/>
      <c r="Q2" s="18"/>
      <c r="R2" s="18"/>
      <c r="S2" s="18"/>
      <c r="T2" s="18"/>
      <c r="U2" s="18"/>
      <c r="V2" s="18"/>
      <c r="W2" s="18"/>
      <c r="X2" s="18"/>
      <c r="Y2" s="18"/>
      <c r="Z2" s="18"/>
      <c r="AA2" s="19"/>
      <c r="AD2" s="20"/>
    </row>
    <row r="3" spans="1:255" x14ac:dyDescent="0.3">
      <c r="C3" s="13"/>
      <c r="D3" s="13"/>
      <c r="E3" s="14" t="s">
        <v>1</v>
      </c>
      <c r="F3" s="21">
        <f>COUNTIF(AB12:AB3000,"Baru ada di 2025")</f>
        <v>2</v>
      </c>
      <c r="G3" s="21"/>
      <c r="I3" s="22"/>
      <c r="J3" s="16"/>
      <c r="L3" s="12"/>
      <c r="M3" s="4"/>
      <c r="P3" s="17"/>
      <c r="Q3" s="18"/>
      <c r="R3" s="18"/>
      <c r="S3" s="18"/>
      <c r="T3" s="18"/>
      <c r="U3" s="18"/>
      <c r="V3" s="18"/>
      <c r="W3" s="18"/>
      <c r="X3" s="18"/>
      <c r="Y3" s="18"/>
      <c r="Z3" s="18"/>
      <c r="AA3" s="19"/>
      <c r="AD3" s="20"/>
    </row>
    <row r="4" spans="1:255" x14ac:dyDescent="0.3">
      <c r="C4" s="13"/>
      <c r="D4" s="13"/>
      <c r="E4" s="14" t="s">
        <v>2</v>
      </c>
      <c r="F4" s="21">
        <f>-COUNT(P12:P194)</f>
        <v>-6</v>
      </c>
      <c r="G4" s="21"/>
      <c r="I4" s="15"/>
      <c r="J4" s="16"/>
      <c r="L4" s="12"/>
      <c r="M4" s="4"/>
      <c r="P4" s="17"/>
      <c r="Q4" s="18"/>
      <c r="R4" s="18"/>
      <c r="S4" s="18"/>
      <c r="T4" s="18"/>
      <c r="U4" s="18"/>
      <c r="V4" s="18"/>
      <c r="W4" s="18"/>
      <c r="X4" s="18"/>
      <c r="Y4" s="18"/>
      <c r="Z4" s="18"/>
      <c r="AA4" s="19"/>
      <c r="AD4" s="20"/>
    </row>
    <row r="5" spans="1:255" x14ac:dyDescent="0.3">
      <c r="C5" s="13"/>
      <c r="D5" s="13"/>
      <c r="E5" s="14" t="s">
        <v>3</v>
      </c>
      <c r="F5" s="21">
        <f>SUM(F2:F4)</f>
        <v>32</v>
      </c>
      <c r="G5" s="21"/>
      <c r="I5" s="15"/>
      <c r="J5" s="16"/>
      <c r="L5" s="12"/>
      <c r="M5" s="4"/>
      <c r="P5" s="17"/>
      <c r="Q5" s="18"/>
      <c r="R5" s="18"/>
      <c r="S5" s="18"/>
      <c r="T5" s="18"/>
      <c r="U5" s="18"/>
      <c r="V5" s="18"/>
      <c r="W5" s="18"/>
      <c r="X5" s="18"/>
      <c r="Y5" s="18"/>
      <c r="Z5" s="18"/>
      <c r="AA5" s="19"/>
      <c r="AD5" s="20"/>
    </row>
    <row r="6" spans="1:255" x14ac:dyDescent="0.3">
      <c r="C6" s="13"/>
      <c r="D6" s="13"/>
      <c r="E6" s="14" t="s">
        <v>4</v>
      </c>
      <c r="F6" s="21">
        <f>COUNT(B12:B2000)</f>
        <v>3</v>
      </c>
      <c r="G6" s="21"/>
      <c r="I6" s="12"/>
      <c r="J6" s="4"/>
      <c r="P6" s="17"/>
      <c r="Q6" s="18"/>
      <c r="R6" s="18"/>
      <c r="S6" s="18"/>
      <c r="T6" s="18"/>
      <c r="U6" s="18"/>
      <c r="V6" s="18"/>
      <c r="W6" s="18"/>
      <c r="X6" s="18"/>
      <c r="Y6" s="18"/>
      <c r="Z6" s="18"/>
      <c r="AA6" s="19"/>
      <c r="AD6" s="20"/>
    </row>
    <row r="7" spans="1:255" x14ac:dyDescent="0.3">
      <c r="C7" s="13"/>
      <c r="D7" s="13"/>
      <c r="E7" s="14" t="s">
        <v>5</v>
      </c>
      <c r="F7" s="4">
        <f>F6-F5</f>
        <v>-29</v>
      </c>
      <c r="G7" s="4" t="s">
        <v>71</v>
      </c>
      <c r="I7" s="12"/>
      <c r="J7" s="4"/>
      <c r="P7" s="23"/>
      <c r="Q7" s="12"/>
      <c r="R7" s="12"/>
      <c r="S7" s="12"/>
      <c r="T7" s="12"/>
      <c r="U7" s="12"/>
      <c r="V7" s="12"/>
      <c r="W7" s="12"/>
      <c r="X7" s="12"/>
      <c r="Y7" s="12"/>
      <c r="Z7" s="12"/>
      <c r="AA7" s="8"/>
      <c r="AD7" s="24"/>
    </row>
    <row r="8" spans="1:255" x14ac:dyDescent="0.3">
      <c r="C8" s="13"/>
      <c r="D8" s="13"/>
      <c r="E8" s="14" t="s">
        <v>6</v>
      </c>
      <c r="F8" s="5">
        <f>COUNTIF(AG12:AG3000,"#N/A")</f>
        <v>33</v>
      </c>
      <c r="G8" s="5"/>
      <c r="I8" s="12"/>
      <c r="J8" s="4"/>
      <c r="K8" s="4"/>
      <c r="L8" s="4"/>
      <c r="M8" s="4"/>
      <c r="N8" s="4"/>
      <c r="O8" s="4"/>
      <c r="P8" s="23"/>
      <c r="Q8" s="12"/>
      <c r="R8" s="12"/>
      <c r="S8" s="12"/>
      <c r="T8" s="12"/>
      <c r="U8" s="12"/>
      <c r="V8" s="12"/>
      <c r="W8" s="12"/>
      <c r="X8" s="12"/>
      <c r="Y8" s="12"/>
      <c r="Z8" s="12"/>
      <c r="AA8" s="8"/>
      <c r="AD8" s="24"/>
    </row>
    <row r="9" spans="1:255" x14ac:dyDescent="0.3">
      <c r="C9" s="13"/>
      <c r="D9" s="13"/>
      <c r="E9" s="25" t="s">
        <v>7</v>
      </c>
      <c r="F9" s="26">
        <f>COUNTIF(AJ12:AJ994,"ada di data resign tapi masih aktif")</f>
        <v>0</v>
      </c>
      <c r="G9" s="26"/>
      <c r="I9" s="12"/>
      <c r="J9" s="4"/>
      <c r="K9" s="4"/>
      <c r="L9" s="4"/>
      <c r="M9" s="4"/>
      <c r="N9" s="4"/>
      <c r="O9" s="4"/>
      <c r="P9" s="23"/>
      <c r="Q9" s="12"/>
      <c r="R9" s="12"/>
      <c r="S9" s="12"/>
      <c r="T9" s="12"/>
      <c r="U9" s="12"/>
      <c r="V9" s="12"/>
      <c r="W9" s="12"/>
      <c r="X9" s="12"/>
      <c r="Y9" s="12"/>
      <c r="Z9" s="12"/>
      <c r="AA9" s="8"/>
      <c r="AD9" s="24"/>
    </row>
    <row r="10" spans="1:255" x14ac:dyDescent="0.3">
      <c r="C10" s="13"/>
      <c r="D10" s="13"/>
      <c r="F10" s="28"/>
      <c r="G10" s="28"/>
      <c r="I10" s="4"/>
      <c r="J10" s="4"/>
      <c r="K10" s="4"/>
      <c r="L10" s="4"/>
      <c r="M10" s="4"/>
      <c r="N10" s="4"/>
      <c r="O10" s="4"/>
      <c r="P10" s="23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8"/>
      <c r="AD10" s="24"/>
    </row>
    <row r="11" spans="1:255" x14ac:dyDescent="0.3">
      <c r="A11" s="29" t="s">
        <v>8</v>
      </c>
      <c r="B11" s="29"/>
      <c r="C11" s="30" t="s">
        <v>9</v>
      </c>
      <c r="D11" s="30" t="s">
        <v>10</v>
      </c>
      <c r="E11" s="29" t="s">
        <v>11</v>
      </c>
      <c r="F11" s="29" t="s">
        <v>12</v>
      </c>
      <c r="G11" s="29"/>
      <c r="H11" s="18"/>
      <c r="I11" s="29" t="s">
        <v>13</v>
      </c>
      <c r="J11" s="29" t="s">
        <v>10</v>
      </c>
      <c r="K11" s="29" t="s">
        <v>11</v>
      </c>
      <c r="L11" s="29" t="s">
        <v>12</v>
      </c>
      <c r="M11" s="29" t="s">
        <v>14</v>
      </c>
      <c r="N11" s="29" t="s">
        <v>15</v>
      </c>
      <c r="O11" s="29"/>
      <c r="P11" s="17"/>
      <c r="Q11" s="29" t="s">
        <v>16</v>
      </c>
      <c r="R11" s="29" t="s">
        <v>10</v>
      </c>
      <c r="S11" s="29" t="s">
        <v>11</v>
      </c>
      <c r="T11" s="29" t="s">
        <v>17</v>
      </c>
      <c r="U11" s="29" t="s">
        <v>12</v>
      </c>
      <c r="V11" s="29" t="s">
        <v>18</v>
      </c>
      <c r="W11" s="31" t="s">
        <v>19</v>
      </c>
      <c r="X11" s="31" t="s">
        <v>20</v>
      </c>
      <c r="Y11" s="31" t="s">
        <v>21</v>
      </c>
      <c r="Z11" s="29"/>
      <c r="AA11" s="32" t="s">
        <v>22</v>
      </c>
      <c r="AB11" s="33"/>
      <c r="AC11" s="32" t="s">
        <v>23</v>
      </c>
      <c r="AD11" s="2"/>
      <c r="AE11" s="2"/>
      <c r="AF11" s="29"/>
      <c r="AG11" s="29"/>
      <c r="AH11" s="29"/>
      <c r="AI11" s="29" t="s">
        <v>24</v>
      </c>
      <c r="AJ11" s="34"/>
      <c r="AK11" s="35"/>
      <c r="AL11" s="29" t="s">
        <v>25</v>
      </c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  <c r="EY11" s="29"/>
      <c r="EZ11" s="29"/>
      <c r="FA11" s="29"/>
      <c r="FB11" s="29"/>
      <c r="FC11" s="29"/>
      <c r="FD11" s="29"/>
      <c r="FE11" s="29"/>
      <c r="FF11" s="29"/>
      <c r="FG11" s="29"/>
      <c r="FH11" s="29"/>
      <c r="FI11" s="29"/>
      <c r="FJ11" s="29"/>
      <c r="FK11" s="29"/>
      <c r="FL11" s="29"/>
      <c r="FM11" s="29"/>
      <c r="FN11" s="29"/>
      <c r="FO11" s="29"/>
      <c r="FP11" s="29"/>
      <c r="FQ11" s="29"/>
      <c r="FR11" s="29"/>
      <c r="FS11" s="29"/>
      <c r="FT11" s="29"/>
      <c r="FU11" s="29"/>
      <c r="FV11" s="29"/>
      <c r="FW11" s="29"/>
      <c r="FX11" s="29"/>
      <c r="FY11" s="29"/>
      <c r="FZ11" s="29"/>
      <c r="GA11" s="29"/>
      <c r="GB11" s="29"/>
      <c r="GC11" s="29"/>
      <c r="GD11" s="29"/>
      <c r="GE11" s="29"/>
      <c r="GF11" s="29"/>
      <c r="GG11" s="29"/>
      <c r="GH11" s="29"/>
      <c r="GI11" s="29"/>
      <c r="GJ11" s="29"/>
      <c r="GK11" s="29"/>
      <c r="GL11" s="29"/>
      <c r="GM11" s="29"/>
      <c r="GN11" s="29"/>
      <c r="GO11" s="29"/>
      <c r="GP11" s="29"/>
      <c r="GQ11" s="29"/>
      <c r="GR11" s="29"/>
      <c r="GS11" s="29"/>
      <c r="GT11" s="29"/>
      <c r="GU11" s="29"/>
      <c r="GV11" s="29"/>
      <c r="GW11" s="29"/>
      <c r="GX11" s="29"/>
      <c r="GY11" s="29"/>
      <c r="GZ11" s="29"/>
      <c r="HA11" s="29"/>
      <c r="HB11" s="29"/>
      <c r="HC11" s="29"/>
      <c r="HD11" s="29"/>
      <c r="HE11" s="29"/>
      <c r="HF11" s="29"/>
      <c r="HG11" s="29"/>
      <c r="HH11" s="29"/>
      <c r="HI11" s="29"/>
      <c r="HJ11" s="29"/>
      <c r="HK11" s="29"/>
      <c r="HL11" s="29"/>
      <c r="HM11" s="29"/>
      <c r="HN11" s="29"/>
      <c r="HO11" s="29"/>
      <c r="HP11" s="29"/>
      <c r="HQ11" s="29"/>
      <c r="HR11" s="29"/>
      <c r="HS11" s="29"/>
      <c r="HT11" s="29"/>
      <c r="HU11" s="29"/>
      <c r="HV11" s="29"/>
      <c r="HW11" s="29"/>
      <c r="HX11" s="29"/>
      <c r="HY11" s="29"/>
      <c r="HZ11" s="29"/>
      <c r="IA11" s="29"/>
      <c r="IB11" s="29"/>
      <c r="IC11" s="29"/>
      <c r="ID11" s="29"/>
      <c r="IE11" s="29"/>
      <c r="IF11" s="29"/>
      <c r="IG11" s="29"/>
      <c r="IH11" s="29"/>
      <c r="II11" s="29"/>
      <c r="IJ11" s="29"/>
      <c r="IK11" s="29"/>
      <c r="IL11" s="29"/>
      <c r="IM11" s="29"/>
      <c r="IN11" s="29"/>
      <c r="IO11" s="29"/>
      <c r="IP11" s="29"/>
      <c r="IQ11" s="29"/>
      <c r="IR11" s="29"/>
      <c r="IS11" s="29"/>
      <c r="IT11" s="29"/>
      <c r="IU11" s="29"/>
    </row>
    <row r="12" spans="1:255" x14ac:dyDescent="0.3">
      <c r="A12" s="1">
        <v>82402351</v>
      </c>
      <c r="B12" s="1">
        <v>1</v>
      </c>
      <c r="C12" s="36" t="s">
        <v>26</v>
      </c>
      <c r="D12" s="37">
        <v>35364</v>
      </c>
      <c r="E12" s="10">
        <v>45327</v>
      </c>
      <c r="F12" s="38">
        <v>4060000</v>
      </c>
      <c r="G12" s="38"/>
      <c r="H12" s="1">
        <v>1</v>
      </c>
      <c r="I12" s="39" t="s">
        <v>27</v>
      </c>
      <c r="J12" s="40">
        <v>36874</v>
      </c>
      <c r="K12" s="41">
        <v>45314</v>
      </c>
      <c r="L12" s="42">
        <v>3780000</v>
      </c>
      <c r="M12" s="43">
        <v>391304.60439785395</v>
      </c>
      <c r="N12" s="44">
        <v>7.1099999999999997E-2</v>
      </c>
      <c r="O12" s="45"/>
      <c r="P12" s="46">
        <v>1</v>
      </c>
      <c r="Q12" s="36" t="s">
        <v>28</v>
      </c>
      <c r="R12" s="40">
        <v>33187</v>
      </c>
      <c r="S12" s="41">
        <v>45532</v>
      </c>
      <c r="T12" s="37">
        <v>46007</v>
      </c>
      <c r="U12" s="47">
        <v>3165196</v>
      </c>
      <c r="V12" s="48" t="s">
        <v>29</v>
      </c>
      <c r="W12" s="47">
        <v>0</v>
      </c>
      <c r="X12" s="47">
        <v>169200</v>
      </c>
      <c r="Y12" s="37">
        <v>46022</v>
      </c>
      <c r="Z12" s="47"/>
      <c r="AA12" s="49" t="str">
        <f>VLOOKUP(C12,$I$12:$I$994,1,0)</f>
        <v>EVA INDRIYANI</v>
      </c>
      <c r="AB12" s="50" t="str">
        <f t="shared" ref="AB12:AB19" si="0">IF(NOT(ISNA(AA12)),"","Baru ada di 2025")</f>
        <v/>
      </c>
      <c r="AC12" s="51" t="e">
        <f>VLOOKUP(I12,$C$12:$C$994,1,0)</f>
        <v>#N/A</v>
      </c>
      <c r="AD12" s="51" t="str">
        <f t="shared" ref="AD12:AD17" si="1">IF(ISNA(AC12),I12,"")</f>
        <v>AGUNG GUNAWAN MAKMUR</v>
      </c>
      <c r="AE12" s="1"/>
      <c r="AF12" s="51" t="e">
        <f t="shared" ref="AF12:AF17" si="2">IF(AD12="","",VLOOKUP(AD12,$Q$12:$Q$194,1,0))</f>
        <v>#N/A</v>
      </c>
      <c r="AG12" s="1" t="e">
        <f t="shared" ref="AG12:AG17" si="3">IF(AF12&lt;&gt;"","resign di 2025","")</f>
        <v>#N/A</v>
      </c>
      <c r="AI12" s="1" t="e">
        <f>VLOOKUP(C12,$Q$12:$Q$994,1,0)</f>
        <v>#N/A</v>
      </c>
      <c r="AJ12" s="11" t="e">
        <f>IF(AI12&lt;&gt;"","ada di data resign tapi masih aktif","")</f>
        <v>#N/A</v>
      </c>
      <c r="AL12" s="1" t="str">
        <f t="shared" ref="AL12:AL18" si="4">VLOOKUP(Q12,$I$12:$I$1000,1,0)</f>
        <v>ALDIN</v>
      </c>
      <c r="AN12" s="1" t="str">
        <f>IF(ISNA(AL12),Q12,"")</f>
        <v/>
      </c>
    </row>
    <row r="13" spans="1:255" x14ac:dyDescent="0.3">
      <c r="A13" s="1">
        <v>82400506</v>
      </c>
      <c r="B13" s="46">
        <f t="shared" ref="B13:B14" si="5">B12+1</f>
        <v>2</v>
      </c>
      <c r="C13" s="79" t="s">
        <v>68</v>
      </c>
      <c r="D13" s="41">
        <v>35554</v>
      </c>
      <c r="E13" s="74">
        <v>44779</v>
      </c>
      <c r="F13" s="38">
        <v>5980000</v>
      </c>
      <c r="G13" s="38"/>
      <c r="H13" s="46">
        <f t="shared" ref="H13:H47" si="6">H12+1</f>
        <v>2</v>
      </c>
      <c r="I13" s="39" t="s">
        <v>30</v>
      </c>
      <c r="J13" s="40">
        <v>36936</v>
      </c>
      <c r="K13" s="41">
        <v>45320</v>
      </c>
      <c r="L13" s="43">
        <v>3850000</v>
      </c>
      <c r="M13" s="42">
        <v>398550.98596077721</v>
      </c>
      <c r="N13" s="52">
        <v>7.1099999999999997E-2</v>
      </c>
      <c r="O13" s="53"/>
      <c r="P13" s="46">
        <f>P12+1</f>
        <v>2</v>
      </c>
      <c r="Q13" s="36" t="s">
        <v>31</v>
      </c>
      <c r="R13" s="41">
        <v>36807</v>
      </c>
      <c r="S13" s="41">
        <v>45532</v>
      </c>
      <c r="T13" s="37">
        <v>46007</v>
      </c>
      <c r="U13" s="47">
        <v>6509856</v>
      </c>
      <c r="V13" s="48" t="s">
        <v>32</v>
      </c>
      <c r="W13" s="47">
        <v>1228400</v>
      </c>
      <c r="X13" s="47">
        <v>0</v>
      </c>
      <c r="Y13" s="41">
        <v>46022</v>
      </c>
      <c r="Z13" s="47"/>
      <c r="AA13" s="49" t="e">
        <f t="shared" ref="AA13:AA76" si="7">VLOOKUP(C13,$I$12:$I$994,1,0)</f>
        <v>#N/A</v>
      </c>
      <c r="AB13" s="50" t="str">
        <f t="shared" ref="AB13:AB76" si="8">IF(NOT(ISNA(AA13)),"","Baru ada di 2025")</f>
        <v>Baru ada di 2025</v>
      </c>
      <c r="AC13" s="51" t="e">
        <f t="shared" ref="AC13:AC47" si="9">VLOOKUP(I13,$C$12:$C$994,1,0)</f>
        <v>#N/A</v>
      </c>
      <c r="AD13" s="51" t="str">
        <f t="shared" ref="AD13:AD47" si="10">IF(ISNA(AC13),I13,"")</f>
        <v>ALMIRA NOPY VALENCIA</v>
      </c>
      <c r="AE13" s="1"/>
      <c r="AF13" s="51" t="e">
        <f t="shared" ref="AF13:AF47" si="11">IF(AD13="","",VLOOKUP(AD13,$Q$12:$Q$194,1,0))</f>
        <v>#N/A</v>
      </c>
      <c r="AG13" s="1" t="e">
        <f t="shared" ref="AG13:AG47" si="12">IF(AF13&lt;&gt;"","resign di 2025","")</f>
        <v>#N/A</v>
      </c>
      <c r="AI13" s="1" t="e">
        <f t="shared" ref="AI13:AI47" si="13">VLOOKUP(C13,$Q$12:$Q$994,1,0)</f>
        <v>#N/A</v>
      </c>
      <c r="AJ13" s="11" t="e">
        <f t="shared" ref="AJ13:AJ47" si="14">IF(AI13&lt;&gt;"","ada di data resign tapi masih aktif","")</f>
        <v>#N/A</v>
      </c>
      <c r="AL13" s="1" t="str">
        <f t="shared" ref="AL13:AL47" si="15">VLOOKUP(Q13,$I$12:$I$1000,1,0)</f>
        <v>ASDI ANTHON RAYO</v>
      </c>
      <c r="AN13" s="1" t="str">
        <f t="shared" ref="AN13:AN47" si="16">IF(ISNA(AL13),Q13,"")</f>
        <v/>
      </c>
    </row>
    <row r="14" spans="1:255" x14ac:dyDescent="0.3">
      <c r="A14" s="1">
        <v>87900152</v>
      </c>
      <c r="B14" s="46">
        <f>B13+1</f>
        <v>3</v>
      </c>
      <c r="C14" s="95" t="s">
        <v>69</v>
      </c>
      <c r="D14" s="40">
        <v>34691</v>
      </c>
      <c r="E14" s="74">
        <v>45852</v>
      </c>
      <c r="F14" s="38">
        <v>4058000</v>
      </c>
      <c r="G14" s="38"/>
      <c r="H14" s="46">
        <f t="shared" si="6"/>
        <v>3</v>
      </c>
      <c r="I14" s="39" t="s">
        <v>26</v>
      </c>
      <c r="J14" s="40">
        <v>35364</v>
      </c>
      <c r="K14" s="41">
        <v>45327</v>
      </c>
      <c r="L14" s="43">
        <v>3780000</v>
      </c>
      <c r="M14" s="43">
        <v>413691.14244039857</v>
      </c>
      <c r="N14" s="44">
        <v>7.1099999999999997E-2</v>
      </c>
      <c r="O14" s="45"/>
      <c r="P14" s="46">
        <f t="shared" ref="P14:P16" si="17">P13+1</f>
        <v>3</v>
      </c>
      <c r="Q14" s="36" t="s">
        <v>33</v>
      </c>
      <c r="R14" s="54">
        <v>37541</v>
      </c>
      <c r="S14" s="54">
        <v>45768</v>
      </c>
      <c r="T14" s="37">
        <v>45986</v>
      </c>
      <c r="U14" s="47">
        <v>408993</v>
      </c>
      <c r="V14" s="48" t="s">
        <v>29</v>
      </c>
      <c r="W14" s="47">
        <v>0</v>
      </c>
      <c r="X14" s="47">
        <v>0</v>
      </c>
      <c r="Y14" s="54">
        <v>46022</v>
      </c>
      <c r="Z14" s="47"/>
      <c r="AA14" s="49" t="e">
        <f t="shared" si="7"/>
        <v>#N/A</v>
      </c>
      <c r="AB14" s="50" t="str">
        <f t="shared" si="8"/>
        <v>Baru ada di 2025</v>
      </c>
      <c r="AC14" s="51" t="str">
        <f t="shared" si="9"/>
        <v>EVA INDRIYANI</v>
      </c>
      <c r="AD14" s="51" t="str">
        <f t="shared" si="10"/>
        <v/>
      </c>
      <c r="AE14" s="1"/>
      <c r="AF14" s="51" t="str">
        <f t="shared" si="11"/>
        <v/>
      </c>
      <c r="AG14" s="1" t="str">
        <f t="shared" si="12"/>
        <v/>
      </c>
      <c r="AI14" s="1" t="e">
        <f t="shared" si="13"/>
        <v>#N/A</v>
      </c>
      <c r="AJ14" s="11" t="e">
        <f t="shared" si="14"/>
        <v>#N/A</v>
      </c>
      <c r="AL14" s="1" t="e">
        <f t="shared" si="15"/>
        <v>#N/A</v>
      </c>
      <c r="AN14" s="1" t="str">
        <f t="shared" si="16"/>
        <v>IKRAM MUFADDHAL</v>
      </c>
    </row>
    <row r="15" spans="1:255" x14ac:dyDescent="0.3">
      <c r="B15" s="46"/>
      <c r="C15" s="36"/>
      <c r="D15" s="37"/>
      <c r="E15" s="10"/>
      <c r="F15" s="38"/>
      <c r="G15" s="38"/>
      <c r="H15" s="46">
        <f t="shared" si="6"/>
        <v>4</v>
      </c>
      <c r="I15" s="39" t="s">
        <v>34</v>
      </c>
      <c r="J15" s="40">
        <v>36239</v>
      </c>
      <c r="K15" s="41">
        <v>45436</v>
      </c>
      <c r="L15" s="42">
        <v>3850000</v>
      </c>
      <c r="M15" s="43">
        <v>407328.91889902647</v>
      </c>
      <c r="N15" s="44">
        <v>7.1099999999999997E-2</v>
      </c>
      <c r="O15" s="45"/>
      <c r="P15" s="46">
        <f t="shared" si="17"/>
        <v>4</v>
      </c>
      <c r="Q15" s="55" t="s">
        <v>35</v>
      </c>
      <c r="R15" s="41">
        <v>36024</v>
      </c>
      <c r="S15" s="41">
        <v>45790</v>
      </c>
      <c r="T15" s="37">
        <v>45689</v>
      </c>
      <c r="U15" s="56">
        <v>2097555</v>
      </c>
      <c r="V15" s="48" t="s">
        <v>29</v>
      </c>
      <c r="W15" s="56">
        <v>0</v>
      </c>
      <c r="X15" s="56">
        <v>0</v>
      </c>
      <c r="Y15" s="41">
        <v>46022</v>
      </c>
      <c r="Z15" s="56"/>
      <c r="AA15" s="49"/>
      <c r="AB15" s="50"/>
      <c r="AC15" s="51" t="e">
        <f t="shared" si="9"/>
        <v>#N/A</v>
      </c>
      <c r="AD15" s="51" t="str">
        <f t="shared" si="10"/>
        <v>LADY VIOLA MAHARANI</v>
      </c>
      <c r="AE15" s="1"/>
      <c r="AF15" s="51" t="e">
        <f t="shared" si="11"/>
        <v>#N/A</v>
      </c>
      <c r="AG15" s="1" t="e">
        <f t="shared" si="12"/>
        <v>#N/A</v>
      </c>
      <c r="AI15" s="1" t="e">
        <f t="shared" si="13"/>
        <v>#N/A</v>
      </c>
      <c r="AJ15" s="11" t="e">
        <f t="shared" si="14"/>
        <v>#N/A</v>
      </c>
      <c r="AL15" s="1" t="e">
        <f t="shared" si="15"/>
        <v>#N/A</v>
      </c>
      <c r="AN15" s="1" t="str">
        <f t="shared" si="16"/>
        <v>DIRGA AGUSTIAWAN</v>
      </c>
    </row>
    <row r="16" spans="1:255" x14ac:dyDescent="0.3">
      <c r="B16" s="46"/>
      <c r="C16" s="36"/>
      <c r="D16" s="37"/>
      <c r="E16" s="10"/>
      <c r="F16" s="38"/>
      <c r="G16" s="38"/>
      <c r="H16" s="46">
        <f t="shared" si="6"/>
        <v>5</v>
      </c>
      <c r="I16" s="39" t="s">
        <v>36</v>
      </c>
      <c r="J16" s="40">
        <v>32077</v>
      </c>
      <c r="K16" s="41">
        <v>45474</v>
      </c>
      <c r="L16" s="43">
        <v>3850000</v>
      </c>
      <c r="M16" s="42">
        <v>1410786.3474324232</v>
      </c>
      <c r="N16" s="52">
        <v>7.0999999999999994E-2</v>
      </c>
      <c r="O16" s="53"/>
      <c r="P16" s="46">
        <f t="shared" si="17"/>
        <v>5</v>
      </c>
      <c r="Q16" s="55" t="s">
        <v>37</v>
      </c>
      <c r="R16" s="41">
        <v>38566</v>
      </c>
      <c r="S16" s="41">
        <v>45813</v>
      </c>
      <c r="T16" s="37">
        <v>45986</v>
      </c>
      <c r="U16" s="47">
        <v>1420699</v>
      </c>
      <c r="V16" s="48" t="s">
        <v>29</v>
      </c>
      <c r="W16" s="47">
        <v>0</v>
      </c>
      <c r="X16" s="47">
        <v>0</v>
      </c>
      <c r="Y16" s="41">
        <v>46022</v>
      </c>
      <c r="Z16" s="47"/>
      <c r="AA16" s="49"/>
      <c r="AB16" s="50"/>
      <c r="AC16" s="51" t="e">
        <f t="shared" si="9"/>
        <v>#N/A</v>
      </c>
      <c r="AD16" s="51" t="str">
        <f t="shared" si="10"/>
        <v>ELYP OKTAVIANUS</v>
      </c>
      <c r="AE16" s="1"/>
      <c r="AF16" s="51" t="e">
        <f t="shared" si="11"/>
        <v>#N/A</v>
      </c>
      <c r="AG16" s="1" t="e">
        <f t="shared" si="12"/>
        <v>#N/A</v>
      </c>
      <c r="AI16" s="1" t="e">
        <f t="shared" si="13"/>
        <v>#N/A</v>
      </c>
      <c r="AJ16" s="11" t="e">
        <f t="shared" si="14"/>
        <v>#N/A</v>
      </c>
      <c r="AL16" s="1" t="e">
        <f t="shared" si="15"/>
        <v>#N/A</v>
      </c>
      <c r="AN16" s="1" t="str">
        <f t="shared" si="16"/>
        <v>ANISA</v>
      </c>
    </row>
    <row r="17" spans="2:255" x14ac:dyDescent="0.3">
      <c r="B17" s="46"/>
      <c r="D17" s="37"/>
      <c r="E17" s="10"/>
      <c r="F17" s="38"/>
      <c r="G17" s="38"/>
      <c r="H17" s="46">
        <f t="shared" si="6"/>
        <v>6</v>
      </c>
      <c r="I17" s="39" t="s">
        <v>38</v>
      </c>
      <c r="J17" s="40">
        <v>36974</v>
      </c>
      <c r="K17" s="41">
        <v>45474</v>
      </c>
      <c r="L17" s="57">
        <v>3750000</v>
      </c>
      <c r="M17" s="43">
        <v>388199.01229945832</v>
      </c>
      <c r="N17" s="44">
        <v>7.1099999999999997E-2</v>
      </c>
      <c r="O17" s="45"/>
      <c r="P17" s="46">
        <v>6</v>
      </c>
      <c r="Q17" s="1" t="s">
        <v>39</v>
      </c>
      <c r="R17" s="37">
        <v>37929</v>
      </c>
      <c r="S17" s="37">
        <v>45821</v>
      </c>
      <c r="T17" s="58">
        <v>46042</v>
      </c>
      <c r="U17" s="47">
        <v>2612261</v>
      </c>
      <c r="V17" s="48" t="s">
        <v>29</v>
      </c>
      <c r="W17" s="47">
        <v>0</v>
      </c>
      <c r="X17" s="47">
        <v>0</v>
      </c>
      <c r="Y17" s="41">
        <v>46022</v>
      </c>
      <c r="Z17" s="47"/>
      <c r="AA17" s="49"/>
      <c r="AB17" s="50"/>
      <c r="AC17" s="51" t="e">
        <f t="shared" si="9"/>
        <v>#N/A</v>
      </c>
      <c r="AD17" s="51" t="str">
        <f t="shared" si="10"/>
        <v>AKLAH HARSAB WUNGKO</v>
      </c>
      <c r="AE17" s="1"/>
      <c r="AF17" s="51" t="e">
        <f t="shared" si="11"/>
        <v>#N/A</v>
      </c>
      <c r="AG17" s="1" t="e">
        <f t="shared" si="12"/>
        <v>#N/A</v>
      </c>
      <c r="AI17" s="1" t="e">
        <f t="shared" si="13"/>
        <v>#N/A</v>
      </c>
      <c r="AJ17" s="11" t="e">
        <f t="shared" si="14"/>
        <v>#N/A</v>
      </c>
      <c r="AL17" s="1" t="e">
        <f t="shared" si="15"/>
        <v>#N/A</v>
      </c>
      <c r="AN17" s="1" t="str">
        <f t="shared" si="16"/>
        <v>WISNU ABD HOLIS</v>
      </c>
    </row>
    <row r="18" spans="2:255" x14ac:dyDescent="0.3">
      <c r="B18" s="46"/>
      <c r="D18" s="37"/>
      <c r="E18" s="10"/>
      <c r="F18" s="38"/>
      <c r="G18" s="38"/>
      <c r="H18" s="46">
        <f t="shared" si="6"/>
        <v>7</v>
      </c>
      <c r="I18" s="39" t="s">
        <v>40</v>
      </c>
      <c r="J18" s="40">
        <v>36591</v>
      </c>
      <c r="K18" s="41">
        <v>45502</v>
      </c>
      <c r="L18" s="43">
        <v>3850000</v>
      </c>
      <c r="M18" s="57">
        <v>402747.70501594857</v>
      </c>
      <c r="N18" s="59">
        <v>7.1099999999999997E-2</v>
      </c>
      <c r="O18" s="60"/>
      <c r="P18" s="46"/>
      <c r="R18" s="37"/>
      <c r="S18" s="37"/>
      <c r="T18" s="37"/>
      <c r="U18" s="61"/>
      <c r="V18" s="48"/>
      <c r="W18" s="61"/>
      <c r="X18" s="61"/>
      <c r="Y18" s="37"/>
      <c r="Z18" s="61"/>
      <c r="AA18" s="49"/>
      <c r="AB18" s="50"/>
      <c r="AC18" s="51" t="e">
        <f t="shared" si="9"/>
        <v>#N/A</v>
      </c>
      <c r="AD18" s="51" t="str">
        <f t="shared" si="10"/>
        <v>Nurul Fadkhatussiyadah</v>
      </c>
      <c r="AE18" s="1"/>
      <c r="AF18" s="51" t="e">
        <f t="shared" si="11"/>
        <v>#N/A</v>
      </c>
      <c r="AG18" s="1" t="e">
        <f t="shared" si="12"/>
        <v>#N/A</v>
      </c>
      <c r="AI18" s="1" t="e">
        <f t="shared" si="13"/>
        <v>#N/A</v>
      </c>
      <c r="AJ18" s="11" t="e">
        <f t="shared" si="14"/>
        <v>#N/A</v>
      </c>
      <c r="AL18" s="1" t="e">
        <f t="shared" si="15"/>
        <v>#N/A</v>
      </c>
      <c r="AN18" s="1">
        <f t="shared" si="16"/>
        <v>0</v>
      </c>
    </row>
    <row r="19" spans="2:255" x14ac:dyDescent="0.3">
      <c r="B19" s="46"/>
      <c r="D19" s="37"/>
      <c r="E19" s="10"/>
      <c r="F19" s="38"/>
      <c r="G19" s="38"/>
      <c r="H19" s="46">
        <f t="shared" si="6"/>
        <v>8</v>
      </c>
      <c r="I19" s="39" t="s">
        <v>41</v>
      </c>
      <c r="J19" s="40">
        <v>37068</v>
      </c>
      <c r="K19" s="41">
        <v>45502</v>
      </c>
      <c r="L19" s="43">
        <v>3750000</v>
      </c>
      <c r="M19" s="43">
        <v>388199.01229945832</v>
      </c>
      <c r="N19" s="44">
        <v>7.1099999999999997E-2</v>
      </c>
      <c r="O19" s="45"/>
      <c r="P19" s="46"/>
      <c r="R19" s="37"/>
      <c r="S19" s="37"/>
      <c r="T19" s="37"/>
      <c r="U19" s="61"/>
      <c r="V19" s="48"/>
      <c r="W19" s="61"/>
      <c r="X19" s="61"/>
      <c r="Y19" s="63"/>
      <c r="Z19" s="61"/>
      <c r="AA19" s="49"/>
      <c r="AB19" s="50"/>
      <c r="AC19" s="51" t="e">
        <f t="shared" si="9"/>
        <v>#N/A</v>
      </c>
      <c r="AD19" s="51" t="str">
        <f t="shared" si="10"/>
        <v>ARIFIAH MUFLIKHATI PUTRI</v>
      </c>
      <c r="AE19" s="1"/>
      <c r="AF19" s="51" t="e">
        <f t="shared" si="11"/>
        <v>#N/A</v>
      </c>
      <c r="AG19" s="1" t="e">
        <f t="shared" si="12"/>
        <v>#N/A</v>
      </c>
      <c r="AI19" s="1" t="e">
        <f t="shared" si="13"/>
        <v>#N/A</v>
      </c>
      <c r="AJ19" s="11" t="e">
        <f t="shared" si="14"/>
        <v>#N/A</v>
      </c>
      <c r="AL19" s="1" t="e">
        <f t="shared" si="15"/>
        <v>#N/A</v>
      </c>
      <c r="AN19" s="1">
        <f t="shared" si="16"/>
        <v>0</v>
      </c>
    </row>
    <row r="20" spans="2:255" x14ac:dyDescent="0.3">
      <c r="B20" s="46"/>
      <c r="D20" s="37"/>
      <c r="E20" s="10"/>
      <c r="F20" s="38"/>
      <c r="G20" s="38"/>
      <c r="H20" s="46">
        <f t="shared" si="6"/>
        <v>9</v>
      </c>
      <c r="I20" s="39" t="s">
        <v>42</v>
      </c>
      <c r="J20" s="40">
        <v>36456</v>
      </c>
      <c r="K20" s="41">
        <v>45502</v>
      </c>
      <c r="L20" s="43">
        <v>3750000</v>
      </c>
      <c r="M20" s="43">
        <v>392286.72566488513</v>
      </c>
      <c r="N20" s="44">
        <v>7.1099999999999997E-2</v>
      </c>
      <c r="O20" s="45"/>
      <c r="P20" s="46"/>
      <c r="R20" s="37"/>
      <c r="S20" s="37"/>
      <c r="T20" s="37"/>
      <c r="U20" s="61"/>
      <c r="V20" s="48"/>
      <c r="W20" s="61"/>
      <c r="X20" s="61"/>
      <c r="Y20" s="63"/>
      <c r="Z20" s="61"/>
      <c r="AA20" s="49"/>
      <c r="AB20" s="50"/>
      <c r="AC20" s="51" t="e">
        <f t="shared" si="9"/>
        <v>#N/A</v>
      </c>
      <c r="AD20" s="51" t="str">
        <f t="shared" si="10"/>
        <v>INDAH MUTHMAINNAH MONOARFA</v>
      </c>
      <c r="AE20" s="1"/>
      <c r="AF20" s="51" t="e">
        <f t="shared" si="11"/>
        <v>#N/A</v>
      </c>
      <c r="AG20" s="1" t="e">
        <f t="shared" si="12"/>
        <v>#N/A</v>
      </c>
      <c r="AI20" s="1" t="e">
        <f t="shared" si="13"/>
        <v>#N/A</v>
      </c>
      <c r="AJ20" s="11" t="e">
        <f t="shared" si="14"/>
        <v>#N/A</v>
      </c>
      <c r="AL20" s="1" t="e">
        <f t="shared" si="15"/>
        <v>#N/A</v>
      </c>
      <c r="AN20" s="1">
        <f t="shared" si="16"/>
        <v>0</v>
      </c>
    </row>
    <row r="21" spans="2:255" x14ac:dyDescent="0.3">
      <c r="B21" s="46"/>
      <c r="D21" s="37"/>
      <c r="E21" s="10"/>
      <c r="F21" s="38"/>
      <c r="G21" s="38"/>
      <c r="H21" s="46">
        <f t="shared" si="6"/>
        <v>10</v>
      </c>
      <c r="I21" s="39" t="s">
        <v>43</v>
      </c>
      <c r="J21" s="40">
        <v>38307</v>
      </c>
      <c r="K21" s="41">
        <v>45509</v>
      </c>
      <c r="L21" s="43">
        <v>3850000</v>
      </c>
      <c r="M21" s="43">
        <v>388473.496424774</v>
      </c>
      <c r="N21" s="44">
        <v>7.1099999999999997E-2</v>
      </c>
      <c r="O21" s="45"/>
      <c r="P21" s="46"/>
      <c r="R21" s="37"/>
      <c r="S21" s="37"/>
      <c r="T21" s="37"/>
      <c r="U21" s="61"/>
      <c r="V21" s="64"/>
      <c r="W21" s="61"/>
      <c r="X21" s="61"/>
      <c r="Y21" s="63"/>
      <c r="Z21" s="61"/>
      <c r="AA21" s="49"/>
      <c r="AB21" s="50"/>
      <c r="AC21" s="51" t="e">
        <f t="shared" si="9"/>
        <v>#N/A</v>
      </c>
      <c r="AD21" s="51" t="str">
        <f t="shared" si="10"/>
        <v>RINALDI</v>
      </c>
      <c r="AE21" s="1"/>
      <c r="AF21" s="51" t="e">
        <f t="shared" si="11"/>
        <v>#N/A</v>
      </c>
      <c r="AG21" s="1" t="e">
        <f t="shared" si="12"/>
        <v>#N/A</v>
      </c>
      <c r="AI21" s="1" t="e">
        <f t="shared" si="13"/>
        <v>#N/A</v>
      </c>
      <c r="AJ21" s="11" t="e">
        <f t="shared" si="14"/>
        <v>#N/A</v>
      </c>
      <c r="AL21" s="1" t="e">
        <f t="shared" si="15"/>
        <v>#N/A</v>
      </c>
      <c r="AN21" s="1">
        <f t="shared" si="16"/>
        <v>0</v>
      </c>
    </row>
    <row r="22" spans="2:255" x14ac:dyDescent="0.3">
      <c r="B22" s="46"/>
      <c r="D22" s="37"/>
      <c r="E22" s="10"/>
      <c r="F22" s="38"/>
      <c r="G22" s="38"/>
      <c r="H22" s="46">
        <f t="shared" si="6"/>
        <v>11</v>
      </c>
      <c r="I22" s="65" t="s">
        <v>28</v>
      </c>
      <c r="J22" s="41">
        <v>33187</v>
      </c>
      <c r="K22" s="41">
        <v>45532</v>
      </c>
      <c r="L22" s="43">
        <v>3950000</v>
      </c>
      <c r="M22" s="43">
        <v>730668.30569003872</v>
      </c>
      <c r="N22" s="44">
        <v>7.1099999999999997E-2</v>
      </c>
      <c r="O22" s="45"/>
      <c r="P22" s="46"/>
      <c r="R22" s="37"/>
      <c r="S22" s="37"/>
      <c r="T22" s="37"/>
      <c r="U22" s="61"/>
      <c r="V22" s="64"/>
      <c r="W22" s="61"/>
      <c r="X22" s="61"/>
      <c r="Y22" s="63"/>
      <c r="Z22" s="61"/>
      <c r="AA22" s="49"/>
      <c r="AB22" s="50"/>
      <c r="AC22" s="51" t="e">
        <f t="shared" si="9"/>
        <v>#N/A</v>
      </c>
      <c r="AD22" s="51" t="str">
        <f t="shared" si="10"/>
        <v>ALDIN</v>
      </c>
      <c r="AE22" s="1"/>
      <c r="AF22" s="51" t="str">
        <f t="shared" si="11"/>
        <v>ALDIN</v>
      </c>
      <c r="AG22" s="1" t="str">
        <f t="shared" si="12"/>
        <v>resign di 2025</v>
      </c>
      <c r="AI22" s="1" t="e">
        <f t="shared" si="13"/>
        <v>#N/A</v>
      </c>
      <c r="AJ22" s="11" t="e">
        <f t="shared" si="14"/>
        <v>#N/A</v>
      </c>
      <c r="AL22" s="1" t="e">
        <f t="shared" si="15"/>
        <v>#N/A</v>
      </c>
      <c r="AN22" s="1">
        <f t="shared" si="16"/>
        <v>0</v>
      </c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29"/>
      <c r="EG22" s="29"/>
      <c r="EH22" s="29"/>
      <c r="EI22" s="29"/>
      <c r="EJ22" s="29"/>
      <c r="EK22" s="29"/>
      <c r="EL22" s="29"/>
      <c r="EM22" s="29"/>
      <c r="EN22" s="29"/>
      <c r="EO22" s="29"/>
      <c r="EP22" s="29"/>
      <c r="EQ22" s="29"/>
      <c r="ER22" s="29"/>
      <c r="ES22" s="29"/>
      <c r="ET22" s="29"/>
      <c r="EU22" s="29"/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29"/>
      <c r="FL22" s="29"/>
      <c r="FM22" s="29"/>
      <c r="FN22" s="29"/>
      <c r="FO22" s="29"/>
      <c r="FP22" s="29"/>
      <c r="FQ22" s="29"/>
      <c r="FR22" s="29"/>
      <c r="FS22" s="29"/>
      <c r="FT22" s="29"/>
      <c r="FU22" s="29"/>
      <c r="FV22" s="29"/>
      <c r="FW22" s="29"/>
      <c r="FX22" s="29"/>
      <c r="FY22" s="29"/>
      <c r="FZ22" s="29"/>
      <c r="GA22" s="29"/>
      <c r="GB22" s="29"/>
      <c r="GC22" s="29"/>
      <c r="GD22" s="29"/>
      <c r="GE22" s="29"/>
      <c r="GF22" s="29"/>
      <c r="GG22" s="29"/>
      <c r="GH22" s="29"/>
      <c r="GI22" s="29"/>
      <c r="GJ22" s="29"/>
      <c r="GK22" s="29"/>
      <c r="GL22" s="29"/>
      <c r="GM22" s="29"/>
      <c r="GN22" s="29"/>
      <c r="GO22" s="29"/>
      <c r="GP22" s="29"/>
      <c r="GQ22" s="29"/>
      <c r="GR22" s="29"/>
      <c r="GS22" s="29"/>
      <c r="GT22" s="29"/>
      <c r="GU22" s="29"/>
      <c r="GV22" s="29"/>
      <c r="GW22" s="29"/>
      <c r="GX22" s="29"/>
      <c r="GY22" s="29"/>
      <c r="GZ22" s="29"/>
      <c r="HA22" s="29"/>
      <c r="HB22" s="29"/>
      <c r="HC22" s="29"/>
      <c r="HD22" s="29"/>
      <c r="HE22" s="29"/>
      <c r="HF22" s="29"/>
      <c r="HG22" s="29"/>
      <c r="HH22" s="29"/>
      <c r="HI22" s="29"/>
      <c r="HJ22" s="29"/>
      <c r="HK22" s="29"/>
      <c r="HL22" s="29"/>
      <c r="HM22" s="29"/>
      <c r="HN22" s="29"/>
      <c r="HO22" s="29"/>
      <c r="HP22" s="29"/>
      <c r="HQ22" s="29"/>
      <c r="HR22" s="29"/>
      <c r="HS22" s="29"/>
      <c r="HT22" s="29"/>
      <c r="HU22" s="29"/>
      <c r="HV22" s="29"/>
      <c r="HW22" s="29"/>
      <c r="HX22" s="29"/>
      <c r="HY22" s="29"/>
      <c r="HZ22" s="29"/>
      <c r="IA22" s="29"/>
      <c r="IB22" s="29"/>
      <c r="IC22" s="29"/>
      <c r="ID22" s="29"/>
      <c r="IE22" s="29"/>
      <c r="IF22" s="29"/>
      <c r="IG22" s="29"/>
      <c r="IH22" s="29"/>
      <c r="II22" s="29"/>
      <c r="IJ22" s="29"/>
      <c r="IK22" s="29"/>
      <c r="IL22" s="29"/>
      <c r="IM22" s="29"/>
      <c r="IN22" s="29"/>
      <c r="IO22" s="29"/>
      <c r="IP22" s="29"/>
      <c r="IQ22" s="29"/>
      <c r="IR22" s="29"/>
      <c r="IS22" s="29"/>
      <c r="IT22" s="29"/>
      <c r="IU22" s="29"/>
    </row>
    <row r="23" spans="2:255" x14ac:dyDescent="0.3">
      <c r="B23" s="46"/>
      <c r="D23" s="37"/>
      <c r="E23" s="10"/>
      <c r="F23" s="38"/>
      <c r="G23" s="38"/>
      <c r="H23" s="46">
        <f t="shared" si="6"/>
        <v>12</v>
      </c>
      <c r="I23" s="39" t="s">
        <v>31</v>
      </c>
      <c r="J23" s="40">
        <v>36807</v>
      </c>
      <c r="K23" s="41">
        <v>45532</v>
      </c>
      <c r="L23" s="43">
        <v>3750000</v>
      </c>
      <c r="M23" s="43">
        <v>388199.01229945832</v>
      </c>
      <c r="N23" s="44">
        <v>7.1099999999999997E-2</v>
      </c>
      <c r="O23" s="45"/>
      <c r="P23" s="46"/>
      <c r="R23" s="37"/>
      <c r="S23" s="37"/>
      <c r="T23" s="37"/>
      <c r="U23" s="61"/>
      <c r="V23" s="64"/>
      <c r="W23" s="61"/>
      <c r="X23" s="61"/>
      <c r="Y23" s="63"/>
      <c r="Z23" s="61"/>
      <c r="AA23" s="49"/>
      <c r="AB23" s="50"/>
      <c r="AC23" s="51" t="e">
        <f t="shared" si="9"/>
        <v>#N/A</v>
      </c>
      <c r="AD23" s="51" t="str">
        <f t="shared" si="10"/>
        <v>ASDI ANTHON RAYO</v>
      </c>
      <c r="AE23" s="1"/>
      <c r="AF23" s="51" t="str">
        <f t="shared" si="11"/>
        <v>ASDI ANTHON RAYO</v>
      </c>
      <c r="AG23" s="1" t="str">
        <f t="shared" si="12"/>
        <v>resign di 2025</v>
      </c>
      <c r="AI23" s="1" t="e">
        <f t="shared" si="13"/>
        <v>#N/A</v>
      </c>
      <c r="AJ23" s="11" t="e">
        <f t="shared" si="14"/>
        <v>#N/A</v>
      </c>
      <c r="AL23" s="1" t="e">
        <f t="shared" si="15"/>
        <v>#N/A</v>
      </c>
      <c r="AN23" s="1">
        <f t="shared" si="16"/>
        <v>0</v>
      </c>
    </row>
    <row r="24" spans="2:255" x14ac:dyDescent="0.3">
      <c r="B24" s="46"/>
      <c r="D24" s="37"/>
      <c r="E24" s="10"/>
      <c r="F24" s="38"/>
      <c r="G24" s="38"/>
      <c r="H24" s="46">
        <f t="shared" si="6"/>
        <v>13</v>
      </c>
      <c r="I24" s="39" t="s">
        <v>45</v>
      </c>
      <c r="J24" s="40">
        <v>36094</v>
      </c>
      <c r="K24" s="41">
        <v>45532</v>
      </c>
      <c r="L24" s="43">
        <v>3950000</v>
      </c>
      <c r="M24" s="43">
        <v>417908.89081848174</v>
      </c>
      <c r="N24" s="44">
        <v>7.1099999999999997E-2</v>
      </c>
      <c r="O24" s="45"/>
      <c r="P24" s="46"/>
      <c r="R24" s="37"/>
      <c r="S24" s="37"/>
      <c r="T24" s="37"/>
      <c r="U24" s="61"/>
      <c r="V24" s="64"/>
      <c r="W24" s="61"/>
      <c r="X24" s="61"/>
      <c r="Y24" s="63"/>
      <c r="Z24" s="61"/>
      <c r="AA24" s="49"/>
      <c r="AB24" s="50"/>
      <c r="AC24" s="51" t="e">
        <f t="shared" si="9"/>
        <v>#N/A</v>
      </c>
      <c r="AD24" s="51" t="str">
        <f t="shared" si="10"/>
        <v>TEGUH SUMARSONO</v>
      </c>
      <c r="AE24" s="1"/>
      <c r="AF24" s="51" t="e">
        <f t="shared" si="11"/>
        <v>#N/A</v>
      </c>
      <c r="AG24" s="1" t="e">
        <f t="shared" si="12"/>
        <v>#N/A</v>
      </c>
      <c r="AI24" s="1" t="e">
        <f t="shared" si="13"/>
        <v>#N/A</v>
      </c>
      <c r="AJ24" s="11" t="e">
        <f t="shared" si="14"/>
        <v>#N/A</v>
      </c>
      <c r="AL24" s="1" t="e">
        <f t="shared" si="15"/>
        <v>#N/A</v>
      </c>
      <c r="AN24" s="1">
        <f t="shared" si="16"/>
        <v>0</v>
      </c>
    </row>
    <row r="25" spans="2:255" x14ac:dyDescent="0.3">
      <c r="B25" s="46"/>
      <c r="D25" s="37"/>
      <c r="E25" s="10"/>
      <c r="F25" s="38"/>
      <c r="G25" s="38"/>
      <c r="H25" s="46">
        <f t="shared" si="6"/>
        <v>14</v>
      </c>
      <c r="I25" s="39" t="s">
        <v>47</v>
      </c>
      <c r="J25" s="40">
        <v>36617</v>
      </c>
      <c r="K25" s="41">
        <v>45548</v>
      </c>
      <c r="L25" s="43">
        <v>3750000</v>
      </c>
      <c r="M25" s="43">
        <v>392286.72566488513</v>
      </c>
      <c r="N25" s="44">
        <v>7.1099999999999997E-2</v>
      </c>
      <c r="O25" s="45"/>
      <c r="P25" s="46"/>
      <c r="R25" s="37"/>
      <c r="S25" s="37"/>
      <c r="T25" s="37"/>
      <c r="U25" s="61"/>
      <c r="V25" s="64"/>
      <c r="W25" s="61"/>
      <c r="X25" s="61"/>
      <c r="Y25" s="63"/>
      <c r="Z25" s="61"/>
      <c r="AA25" s="49"/>
      <c r="AB25" s="50"/>
      <c r="AC25" s="51" t="e">
        <f t="shared" si="9"/>
        <v>#N/A</v>
      </c>
      <c r="AD25" s="51" t="str">
        <f t="shared" si="10"/>
        <v>MUHAMAD AMIN PUTRA SALIM</v>
      </c>
      <c r="AE25" s="1"/>
      <c r="AF25" s="51" t="e">
        <f t="shared" si="11"/>
        <v>#N/A</v>
      </c>
      <c r="AG25" s="1" t="e">
        <f t="shared" si="12"/>
        <v>#N/A</v>
      </c>
      <c r="AI25" s="1" t="e">
        <f t="shared" si="13"/>
        <v>#N/A</v>
      </c>
      <c r="AJ25" s="11" t="e">
        <f t="shared" si="14"/>
        <v>#N/A</v>
      </c>
      <c r="AL25" s="1" t="e">
        <f t="shared" si="15"/>
        <v>#N/A</v>
      </c>
      <c r="AN25" s="1">
        <f t="shared" si="16"/>
        <v>0</v>
      </c>
    </row>
    <row r="26" spans="2:255" x14ac:dyDescent="0.3">
      <c r="B26" s="46"/>
      <c r="D26" s="37"/>
      <c r="E26" s="10"/>
      <c r="F26" s="38"/>
      <c r="G26" s="38"/>
      <c r="H26" s="46">
        <f t="shared" si="6"/>
        <v>15</v>
      </c>
      <c r="I26" s="39" t="s">
        <v>49</v>
      </c>
      <c r="J26" s="40">
        <v>37907</v>
      </c>
      <c r="K26" s="41">
        <v>45548</v>
      </c>
      <c r="L26" s="43">
        <v>3750000</v>
      </c>
      <c r="M26" s="43">
        <v>379997.28042489325</v>
      </c>
      <c r="N26" s="44">
        <v>7.1099999999999997E-2</v>
      </c>
      <c r="O26" s="45"/>
      <c r="P26" s="46"/>
      <c r="R26" s="37"/>
      <c r="S26" s="37"/>
      <c r="T26" s="37"/>
      <c r="U26" s="61"/>
      <c r="V26" s="64"/>
      <c r="W26" s="61"/>
      <c r="X26" s="61"/>
      <c r="Y26" s="63"/>
      <c r="Z26" s="61"/>
      <c r="AA26" s="49"/>
      <c r="AB26" s="50"/>
      <c r="AC26" s="51" t="e">
        <f t="shared" si="9"/>
        <v>#N/A</v>
      </c>
      <c r="AD26" s="51" t="str">
        <f t="shared" si="10"/>
        <v>RADEN</v>
      </c>
      <c r="AE26" s="1"/>
      <c r="AF26" s="51" t="e">
        <f t="shared" si="11"/>
        <v>#N/A</v>
      </c>
      <c r="AG26" s="1" t="e">
        <f t="shared" si="12"/>
        <v>#N/A</v>
      </c>
      <c r="AI26" s="1" t="e">
        <f t="shared" si="13"/>
        <v>#N/A</v>
      </c>
      <c r="AJ26" s="11" t="e">
        <f t="shared" si="14"/>
        <v>#N/A</v>
      </c>
      <c r="AL26" s="1" t="e">
        <f t="shared" si="15"/>
        <v>#N/A</v>
      </c>
      <c r="AN26" s="1">
        <f t="shared" si="16"/>
        <v>0</v>
      </c>
    </row>
    <row r="27" spans="2:255" x14ac:dyDescent="0.3">
      <c r="B27" s="46"/>
      <c r="D27" s="37"/>
      <c r="E27" s="10"/>
      <c r="F27" s="38"/>
      <c r="G27" s="38"/>
      <c r="H27" s="46">
        <f t="shared" si="6"/>
        <v>16</v>
      </c>
      <c r="I27" s="39" t="s">
        <v>51</v>
      </c>
      <c r="J27" s="40">
        <v>34699</v>
      </c>
      <c r="K27" s="41">
        <v>45548</v>
      </c>
      <c r="L27" s="43">
        <v>3950000</v>
      </c>
      <c r="M27" s="43">
        <v>449057.28146161896</v>
      </c>
      <c r="N27" s="44">
        <v>7.1099999999999997E-2</v>
      </c>
      <c r="O27" s="45"/>
      <c r="P27" s="66"/>
      <c r="R27" s="37"/>
      <c r="S27" s="37"/>
      <c r="T27" s="37"/>
      <c r="U27" s="61"/>
      <c r="V27" s="67"/>
      <c r="W27" s="61"/>
      <c r="X27" s="61"/>
      <c r="Y27" s="63"/>
      <c r="Z27" s="61"/>
      <c r="AA27" s="49"/>
      <c r="AB27" s="50"/>
      <c r="AC27" s="51" t="e">
        <f t="shared" si="9"/>
        <v>#N/A</v>
      </c>
      <c r="AD27" s="51" t="str">
        <f t="shared" si="10"/>
        <v>MUH AKBAR</v>
      </c>
      <c r="AE27" s="1"/>
      <c r="AF27" s="51" t="e">
        <f t="shared" si="11"/>
        <v>#N/A</v>
      </c>
      <c r="AG27" s="1" t="e">
        <f t="shared" si="12"/>
        <v>#N/A</v>
      </c>
      <c r="AI27" s="1" t="e">
        <f t="shared" si="13"/>
        <v>#N/A</v>
      </c>
      <c r="AJ27" s="11" t="e">
        <f t="shared" si="14"/>
        <v>#N/A</v>
      </c>
      <c r="AL27" s="1" t="e">
        <f t="shared" si="15"/>
        <v>#N/A</v>
      </c>
      <c r="AN27" s="1">
        <f t="shared" si="16"/>
        <v>0</v>
      </c>
    </row>
    <row r="28" spans="2:255" x14ac:dyDescent="0.3">
      <c r="B28" s="46"/>
      <c r="D28" s="37"/>
      <c r="E28" s="10"/>
      <c r="F28" s="38"/>
      <c r="G28" s="38"/>
      <c r="H28" s="46">
        <f t="shared" si="6"/>
        <v>17</v>
      </c>
      <c r="I28" s="39" t="s">
        <v>44</v>
      </c>
      <c r="J28" s="40">
        <v>36320</v>
      </c>
      <c r="K28" s="41">
        <v>45532</v>
      </c>
      <c r="L28" s="43">
        <v>3900000</v>
      </c>
      <c r="M28" s="43">
        <v>412618.90485875413</v>
      </c>
      <c r="N28" s="44">
        <v>7.1099999999999997E-2</v>
      </c>
      <c r="O28" s="45"/>
      <c r="P28" s="66"/>
      <c r="R28" s="37"/>
      <c r="S28" s="37"/>
      <c r="T28" s="37"/>
      <c r="U28" s="61"/>
      <c r="V28" s="67"/>
      <c r="W28" s="61"/>
      <c r="X28" s="61"/>
      <c r="Y28" s="63"/>
      <c r="Z28" s="61"/>
      <c r="AA28" s="49"/>
      <c r="AB28" s="50"/>
      <c r="AC28" s="51" t="e">
        <f t="shared" si="9"/>
        <v>#N/A</v>
      </c>
      <c r="AD28" s="51" t="str">
        <f t="shared" si="10"/>
        <v>ARI SYAH RIDAR</v>
      </c>
      <c r="AE28" s="1"/>
      <c r="AF28" s="51" t="e">
        <f t="shared" si="11"/>
        <v>#N/A</v>
      </c>
      <c r="AG28" s="1" t="e">
        <f t="shared" si="12"/>
        <v>#N/A</v>
      </c>
      <c r="AI28" s="1" t="e">
        <f t="shared" si="13"/>
        <v>#N/A</v>
      </c>
      <c r="AJ28" s="11" t="e">
        <f t="shared" si="14"/>
        <v>#N/A</v>
      </c>
      <c r="AL28" s="1" t="e">
        <f t="shared" si="15"/>
        <v>#N/A</v>
      </c>
      <c r="AN28" s="1">
        <f t="shared" si="16"/>
        <v>0</v>
      </c>
    </row>
    <row r="29" spans="2:255" x14ac:dyDescent="0.3">
      <c r="B29" s="46"/>
      <c r="D29" s="37"/>
      <c r="E29" s="10"/>
      <c r="F29" s="38"/>
      <c r="G29" s="38"/>
      <c r="H29" s="46">
        <f t="shared" si="6"/>
        <v>18</v>
      </c>
      <c r="I29" s="65" t="s">
        <v>46</v>
      </c>
      <c r="J29" s="41">
        <v>37528</v>
      </c>
      <c r="K29" s="41">
        <v>45532</v>
      </c>
      <c r="L29" s="43">
        <v>3750000</v>
      </c>
      <c r="M29" s="43">
        <v>382085.88195810013</v>
      </c>
      <c r="N29" s="44">
        <v>7.1099999999999997E-2</v>
      </c>
      <c r="O29" s="45"/>
      <c r="P29" s="66"/>
      <c r="R29" s="37"/>
      <c r="S29" s="37"/>
      <c r="T29" s="37"/>
      <c r="U29" s="61"/>
      <c r="V29" s="67"/>
      <c r="W29" s="61"/>
      <c r="X29" s="61"/>
      <c r="Y29" s="63"/>
      <c r="Z29" s="61"/>
      <c r="AA29" s="49"/>
      <c r="AB29" s="50"/>
      <c r="AC29" s="51" t="e">
        <f t="shared" si="9"/>
        <v>#N/A</v>
      </c>
      <c r="AD29" s="51" t="str">
        <f t="shared" si="10"/>
        <v>STEVEN TOMBI RA'PAK LANGI</v>
      </c>
      <c r="AE29" s="1"/>
      <c r="AF29" s="51" t="e">
        <f t="shared" si="11"/>
        <v>#N/A</v>
      </c>
      <c r="AG29" s="1" t="e">
        <f t="shared" si="12"/>
        <v>#N/A</v>
      </c>
      <c r="AI29" s="1" t="e">
        <f t="shared" si="13"/>
        <v>#N/A</v>
      </c>
      <c r="AJ29" s="11" t="e">
        <f t="shared" si="14"/>
        <v>#N/A</v>
      </c>
      <c r="AL29" s="1" t="e">
        <f t="shared" si="15"/>
        <v>#N/A</v>
      </c>
      <c r="AN29" s="1">
        <f t="shared" si="16"/>
        <v>0</v>
      </c>
    </row>
    <row r="30" spans="2:255" x14ac:dyDescent="0.3">
      <c r="B30" s="46"/>
      <c r="D30" s="37"/>
      <c r="E30" s="10"/>
      <c r="F30" s="38"/>
      <c r="G30" s="38"/>
      <c r="H30" s="46">
        <f t="shared" si="6"/>
        <v>19</v>
      </c>
      <c r="I30" s="65" t="s">
        <v>48</v>
      </c>
      <c r="J30" s="41">
        <v>38456</v>
      </c>
      <c r="K30" s="41">
        <v>45548</v>
      </c>
      <c r="L30" s="43">
        <v>3750000</v>
      </c>
      <c r="M30" s="43">
        <v>378383.27573841624</v>
      </c>
      <c r="N30" s="44">
        <v>7.1099999999999997E-2</v>
      </c>
      <c r="O30" s="45"/>
      <c r="P30" s="66"/>
      <c r="R30" s="37"/>
      <c r="S30" s="37"/>
      <c r="T30" s="37"/>
      <c r="U30" s="61"/>
      <c r="V30" s="67"/>
      <c r="W30" s="61"/>
      <c r="X30" s="61"/>
      <c r="Y30" s="63"/>
      <c r="Z30" s="61"/>
      <c r="AA30" s="49"/>
      <c r="AB30" s="50"/>
      <c r="AC30" s="51" t="e">
        <f t="shared" si="9"/>
        <v>#N/A</v>
      </c>
      <c r="AD30" s="51" t="str">
        <f t="shared" si="10"/>
        <v>ALPEN DANGGULU</v>
      </c>
      <c r="AE30" s="1"/>
      <c r="AF30" s="51" t="e">
        <f t="shared" si="11"/>
        <v>#N/A</v>
      </c>
      <c r="AG30" s="1" t="e">
        <f t="shared" si="12"/>
        <v>#N/A</v>
      </c>
      <c r="AI30" s="1" t="e">
        <f t="shared" si="13"/>
        <v>#N/A</v>
      </c>
      <c r="AJ30" s="11" t="e">
        <f t="shared" si="14"/>
        <v>#N/A</v>
      </c>
      <c r="AL30" s="1" t="e">
        <f t="shared" si="15"/>
        <v>#N/A</v>
      </c>
      <c r="AN30" s="1">
        <f t="shared" si="16"/>
        <v>0</v>
      </c>
    </row>
    <row r="31" spans="2:255" x14ac:dyDescent="0.3">
      <c r="B31" s="46"/>
      <c r="D31" s="37"/>
      <c r="E31" s="10"/>
      <c r="F31" s="38"/>
      <c r="G31" s="38"/>
      <c r="H31" s="46">
        <f t="shared" si="6"/>
        <v>20</v>
      </c>
      <c r="I31" s="39" t="s">
        <v>50</v>
      </c>
      <c r="J31" s="40">
        <v>37411</v>
      </c>
      <c r="K31" s="41">
        <v>45548</v>
      </c>
      <c r="L31" s="43">
        <v>3750000</v>
      </c>
      <c r="M31" s="43">
        <v>384798.88315991953</v>
      </c>
      <c r="N31" s="44">
        <v>7.1099999999999997E-2</v>
      </c>
      <c r="O31" s="45"/>
      <c r="P31" s="66"/>
      <c r="R31" s="37"/>
      <c r="S31" s="37"/>
      <c r="T31" s="37"/>
      <c r="U31" s="61"/>
      <c r="V31" s="67"/>
      <c r="W31" s="61"/>
      <c r="X31" s="61"/>
      <c r="Y31" s="63"/>
      <c r="Z31" s="61"/>
      <c r="AA31" s="49"/>
      <c r="AB31" s="50"/>
      <c r="AC31" s="51" t="e">
        <f t="shared" si="9"/>
        <v>#N/A</v>
      </c>
      <c r="AD31" s="51" t="str">
        <f t="shared" si="10"/>
        <v>ARIF</v>
      </c>
      <c r="AE31" s="1"/>
      <c r="AF31" s="51" t="e">
        <f t="shared" si="11"/>
        <v>#N/A</v>
      </c>
      <c r="AG31" s="1" t="e">
        <f t="shared" si="12"/>
        <v>#N/A</v>
      </c>
      <c r="AI31" s="1" t="e">
        <f t="shared" si="13"/>
        <v>#N/A</v>
      </c>
      <c r="AJ31" s="11" t="e">
        <f t="shared" si="14"/>
        <v>#N/A</v>
      </c>
      <c r="AL31" s="1" t="e">
        <f t="shared" si="15"/>
        <v>#N/A</v>
      </c>
      <c r="AN31" s="1">
        <f t="shared" si="16"/>
        <v>0</v>
      </c>
    </row>
    <row r="32" spans="2:255" x14ac:dyDescent="0.3">
      <c r="B32" s="46"/>
      <c r="D32" s="37"/>
      <c r="E32" s="10"/>
      <c r="F32" s="38"/>
      <c r="G32" s="38"/>
      <c r="H32" s="46">
        <f t="shared" si="6"/>
        <v>21</v>
      </c>
      <c r="I32" s="65" t="s">
        <v>52</v>
      </c>
      <c r="J32" s="41">
        <v>35110</v>
      </c>
      <c r="K32" s="41">
        <v>45548</v>
      </c>
      <c r="L32" s="43">
        <v>4000000</v>
      </c>
      <c r="M32" s="43">
        <v>445923.54078949528</v>
      </c>
      <c r="N32" s="44">
        <v>7.1099999999999997E-2</v>
      </c>
      <c r="O32" s="45"/>
      <c r="P32" s="66"/>
      <c r="R32" s="37"/>
      <c r="S32" s="37"/>
      <c r="T32" s="37"/>
      <c r="U32" s="61"/>
      <c r="V32" s="67"/>
      <c r="W32" s="61"/>
      <c r="X32" s="61"/>
      <c r="Y32" s="63"/>
      <c r="Z32" s="61"/>
      <c r="AA32" s="49"/>
      <c r="AB32" s="50"/>
      <c r="AC32" s="51" t="e">
        <f t="shared" si="9"/>
        <v>#N/A</v>
      </c>
      <c r="AD32" s="51" t="str">
        <f t="shared" si="10"/>
        <v>ESRONI BABUNO</v>
      </c>
      <c r="AE32" s="1"/>
      <c r="AF32" s="51" t="e">
        <f t="shared" si="11"/>
        <v>#N/A</v>
      </c>
      <c r="AG32" s="1" t="e">
        <f t="shared" si="12"/>
        <v>#N/A</v>
      </c>
      <c r="AI32" s="1" t="e">
        <f t="shared" si="13"/>
        <v>#N/A</v>
      </c>
      <c r="AJ32" s="11" t="e">
        <f t="shared" si="14"/>
        <v>#N/A</v>
      </c>
      <c r="AL32" s="1" t="e">
        <f t="shared" si="15"/>
        <v>#N/A</v>
      </c>
      <c r="AN32" s="1">
        <f t="shared" si="16"/>
        <v>0</v>
      </c>
    </row>
    <row r="33" spans="2:40" x14ac:dyDescent="0.3">
      <c r="B33" s="46"/>
      <c r="D33" s="37"/>
      <c r="E33" s="10"/>
      <c r="F33" s="38"/>
      <c r="G33" s="38"/>
      <c r="H33" s="46">
        <f t="shared" si="6"/>
        <v>22</v>
      </c>
      <c r="I33" s="65" t="s">
        <v>53</v>
      </c>
      <c r="J33" s="41">
        <v>37603</v>
      </c>
      <c r="K33" s="41">
        <v>45548</v>
      </c>
      <c r="L33" s="43">
        <v>3750000</v>
      </c>
      <c r="M33" s="43">
        <v>382085.88195810013</v>
      </c>
      <c r="N33" s="44">
        <v>7.1099999999999997E-2</v>
      </c>
      <c r="O33" s="45"/>
      <c r="P33" s="66"/>
      <c r="R33" s="37"/>
      <c r="S33" s="37"/>
      <c r="T33" s="37"/>
      <c r="U33" s="61"/>
      <c r="V33" s="67"/>
      <c r="W33" s="61"/>
      <c r="X33" s="61"/>
      <c r="Y33" s="63"/>
      <c r="Z33" s="61"/>
      <c r="AA33" s="49"/>
      <c r="AB33" s="50"/>
      <c r="AC33" s="51" t="e">
        <f t="shared" si="9"/>
        <v>#N/A</v>
      </c>
      <c r="AD33" s="51" t="str">
        <f t="shared" si="10"/>
        <v>FIRMANSYAH</v>
      </c>
      <c r="AE33" s="1"/>
      <c r="AF33" s="51" t="e">
        <f t="shared" si="11"/>
        <v>#N/A</v>
      </c>
      <c r="AG33" s="1" t="e">
        <f t="shared" si="12"/>
        <v>#N/A</v>
      </c>
      <c r="AI33" s="1" t="e">
        <f t="shared" si="13"/>
        <v>#N/A</v>
      </c>
      <c r="AJ33" s="11" t="e">
        <f t="shared" si="14"/>
        <v>#N/A</v>
      </c>
      <c r="AL33" s="1" t="e">
        <f t="shared" si="15"/>
        <v>#N/A</v>
      </c>
      <c r="AN33" s="1">
        <f t="shared" si="16"/>
        <v>0</v>
      </c>
    </row>
    <row r="34" spans="2:40" x14ac:dyDescent="0.3">
      <c r="B34" s="46"/>
      <c r="D34" s="37"/>
      <c r="E34" s="10"/>
      <c r="F34" s="38"/>
      <c r="G34" s="38"/>
      <c r="H34" s="46">
        <f t="shared" si="6"/>
        <v>23</v>
      </c>
      <c r="I34" s="65" t="s">
        <v>54</v>
      </c>
      <c r="J34" s="41">
        <v>37956</v>
      </c>
      <c r="K34" s="41">
        <v>45548</v>
      </c>
      <c r="L34" s="43">
        <v>3750000</v>
      </c>
      <c r="M34" s="43">
        <v>379997.28042489325</v>
      </c>
      <c r="N34" s="44">
        <v>7.1099999999999997E-2</v>
      </c>
      <c r="O34" s="45"/>
      <c r="P34" s="66"/>
      <c r="R34" s="37"/>
      <c r="S34" s="37"/>
      <c r="T34" s="37"/>
      <c r="U34" s="61"/>
      <c r="V34" s="67"/>
      <c r="W34" s="61"/>
      <c r="X34" s="61"/>
      <c r="Y34" s="63"/>
      <c r="Z34" s="61"/>
      <c r="AA34" s="49"/>
      <c r="AB34" s="50"/>
      <c r="AC34" s="51" t="e">
        <f t="shared" si="9"/>
        <v>#N/A</v>
      </c>
      <c r="AD34" s="51" t="str">
        <f t="shared" si="10"/>
        <v>KEVIN MARCELINO METOLI</v>
      </c>
      <c r="AE34" s="1"/>
      <c r="AF34" s="51" t="e">
        <f t="shared" si="11"/>
        <v>#N/A</v>
      </c>
      <c r="AG34" s="1" t="e">
        <f t="shared" si="12"/>
        <v>#N/A</v>
      </c>
      <c r="AI34" s="1" t="e">
        <f t="shared" si="13"/>
        <v>#N/A</v>
      </c>
      <c r="AJ34" s="11" t="e">
        <f t="shared" si="14"/>
        <v>#N/A</v>
      </c>
      <c r="AL34" s="1" t="e">
        <f t="shared" si="15"/>
        <v>#N/A</v>
      </c>
      <c r="AN34" s="1">
        <f t="shared" si="16"/>
        <v>0</v>
      </c>
    </row>
    <row r="35" spans="2:40" x14ac:dyDescent="0.3">
      <c r="B35" s="46"/>
      <c r="D35" s="37"/>
      <c r="E35" s="10"/>
      <c r="F35" s="38"/>
      <c r="G35" s="38"/>
      <c r="H35" s="46">
        <f t="shared" si="6"/>
        <v>24</v>
      </c>
      <c r="I35" s="39" t="s">
        <v>55</v>
      </c>
      <c r="J35" s="40">
        <v>37572</v>
      </c>
      <c r="K35" s="41">
        <v>45548</v>
      </c>
      <c r="L35" s="43">
        <v>3750000</v>
      </c>
      <c r="M35" s="43">
        <v>382085.88195810013</v>
      </c>
      <c r="N35" s="44">
        <v>7.1099999999999997E-2</v>
      </c>
      <c r="O35" s="45"/>
      <c r="P35" s="66"/>
      <c r="Q35" s="13"/>
      <c r="R35" s="37"/>
      <c r="S35" s="37"/>
      <c r="T35" s="37"/>
      <c r="U35" s="61"/>
      <c r="V35" s="67"/>
      <c r="W35" s="61"/>
      <c r="X35" s="61"/>
      <c r="Y35" s="61"/>
      <c r="Z35" s="61"/>
      <c r="AA35" s="49"/>
      <c r="AB35" s="50"/>
      <c r="AC35" s="51" t="e">
        <f t="shared" si="9"/>
        <v>#N/A</v>
      </c>
      <c r="AD35" s="51" t="str">
        <f t="shared" si="10"/>
        <v>MALIK</v>
      </c>
      <c r="AE35" s="1"/>
      <c r="AF35" s="51" t="e">
        <f t="shared" si="11"/>
        <v>#N/A</v>
      </c>
      <c r="AG35" s="1" t="e">
        <f t="shared" si="12"/>
        <v>#N/A</v>
      </c>
      <c r="AI35" s="1" t="e">
        <f t="shared" si="13"/>
        <v>#N/A</v>
      </c>
      <c r="AJ35" s="11" t="e">
        <f t="shared" si="14"/>
        <v>#N/A</v>
      </c>
      <c r="AL35" s="1" t="e">
        <f t="shared" si="15"/>
        <v>#N/A</v>
      </c>
      <c r="AN35" s="1">
        <f t="shared" si="16"/>
        <v>0</v>
      </c>
    </row>
    <row r="36" spans="2:40" x14ac:dyDescent="0.3">
      <c r="B36" s="46"/>
      <c r="D36" s="37"/>
      <c r="E36" s="37"/>
      <c r="F36" s="38"/>
      <c r="G36" s="38"/>
      <c r="H36" s="46">
        <f t="shared" si="6"/>
        <v>25</v>
      </c>
      <c r="I36" s="39" t="s">
        <v>56</v>
      </c>
      <c r="J36" s="40">
        <v>36376</v>
      </c>
      <c r="K36" s="41">
        <v>45548</v>
      </c>
      <c r="L36" s="43">
        <v>3750000</v>
      </c>
      <c r="M36" s="43">
        <v>392286.72566488513</v>
      </c>
      <c r="N36" s="44">
        <v>7.1099999999999997E-2</v>
      </c>
      <c r="O36" s="45"/>
      <c r="P36" s="66"/>
      <c r="Q36" s="13"/>
      <c r="R36" s="37"/>
      <c r="S36" s="37"/>
      <c r="T36" s="37"/>
      <c r="U36" s="61"/>
      <c r="V36" s="67"/>
      <c r="W36" s="61"/>
      <c r="X36" s="61"/>
      <c r="Y36" s="61"/>
      <c r="Z36" s="61"/>
      <c r="AA36" s="49"/>
      <c r="AB36" s="50"/>
      <c r="AC36" s="51" t="e">
        <f t="shared" si="9"/>
        <v>#N/A</v>
      </c>
      <c r="AD36" s="51" t="str">
        <f t="shared" si="10"/>
        <v>RIFKA TOGON</v>
      </c>
      <c r="AE36" s="1"/>
      <c r="AF36" s="51" t="e">
        <f t="shared" si="11"/>
        <v>#N/A</v>
      </c>
      <c r="AG36" s="1" t="e">
        <f t="shared" si="12"/>
        <v>#N/A</v>
      </c>
      <c r="AI36" s="1" t="e">
        <f t="shared" si="13"/>
        <v>#N/A</v>
      </c>
      <c r="AJ36" s="11" t="e">
        <f t="shared" si="14"/>
        <v>#N/A</v>
      </c>
      <c r="AL36" s="1" t="e">
        <f t="shared" si="15"/>
        <v>#N/A</v>
      </c>
      <c r="AN36" s="1">
        <f t="shared" si="16"/>
        <v>0</v>
      </c>
    </row>
    <row r="37" spans="2:40" x14ac:dyDescent="0.3">
      <c r="B37" s="46"/>
      <c r="D37" s="37"/>
      <c r="E37" s="37"/>
      <c r="F37" s="38"/>
      <c r="G37" s="38"/>
      <c r="H37" s="46">
        <f t="shared" si="6"/>
        <v>26</v>
      </c>
      <c r="I37" s="65" t="s">
        <v>57</v>
      </c>
      <c r="J37" s="41">
        <v>37021</v>
      </c>
      <c r="K37" s="41">
        <v>45548</v>
      </c>
      <c r="L37" s="43">
        <v>3750000</v>
      </c>
      <c r="M37" s="43">
        <v>388199.01229945832</v>
      </c>
      <c r="N37" s="44">
        <v>7.1099999999999997E-2</v>
      </c>
      <c r="O37" s="45"/>
      <c r="P37" s="66"/>
      <c r="Q37" s="13"/>
      <c r="R37" s="37"/>
      <c r="S37" s="37"/>
      <c r="T37" s="37"/>
      <c r="U37" s="61"/>
      <c r="V37" s="67"/>
      <c r="W37" s="61"/>
      <c r="X37" s="61"/>
      <c r="Y37" s="61"/>
      <c r="Z37" s="61"/>
      <c r="AA37" s="49"/>
      <c r="AB37" s="50"/>
      <c r="AC37" s="51" t="e">
        <f t="shared" si="9"/>
        <v>#N/A</v>
      </c>
      <c r="AD37" s="51" t="str">
        <f t="shared" si="10"/>
        <v>RIZALDI</v>
      </c>
      <c r="AE37" s="1"/>
      <c r="AF37" s="51" t="e">
        <f t="shared" si="11"/>
        <v>#N/A</v>
      </c>
      <c r="AG37" s="1" t="e">
        <f t="shared" si="12"/>
        <v>#N/A</v>
      </c>
      <c r="AI37" s="1" t="e">
        <f t="shared" si="13"/>
        <v>#N/A</v>
      </c>
      <c r="AJ37" s="11" t="e">
        <f t="shared" si="14"/>
        <v>#N/A</v>
      </c>
      <c r="AL37" s="1" t="e">
        <f t="shared" si="15"/>
        <v>#N/A</v>
      </c>
      <c r="AN37" s="1">
        <f t="shared" si="16"/>
        <v>0</v>
      </c>
    </row>
    <row r="38" spans="2:40" x14ac:dyDescent="0.3">
      <c r="B38" s="46"/>
      <c r="D38" s="37"/>
      <c r="E38" s="37"/>
      <c r="F38" s="38"/>
      <c r="G38" s="38"/>
      <c r="H38" s="46">
        <f t="shared" si="6"/>
        <v>27</v>
      </c>
      <c r="I38" s="39" t="s">
        <v>60</v>
      </c>
      <c r="J38" s="40">
        <v>36412</v>
      </c>
      <c r="K38" s="41">
        <v>45548</v>
      </c>
      <c r="L38" s="43">
        <v>3750000</v>
      </c>
      <c r="M38" s="43">
        <v>392286.72566488513</v>
      </c>
      <c r="N38" s="44">
        <v>7.1099999999999997E-2</v>
      </c>
      <c r="O38" s="45"/>
      <c r="P38" s="66"/>
      <c r="Q38" s="13"/>
      <c r="R38" s="37"/>
      <c r="S38" s="37"/>
      <c r="T38" s="37"/>
      <c r="U38" s="61"/>
      <c r="V38" s="67"/>
      <c r="W38" s="61"/>
      <c r="X38" s="61"/>
      <c r="Y38" s="61"/>
      <c r="Z38" s="61"/>
      <c r="AA38" s="49"/>
      <c r="AB38" s="50"/>
      <c r="AC38" s="51" t="e">
        <f t="shared" si="9"/>
        <v>#N/A</v>
      </c>
      <c r="AD38" s="51" t="str">
        <f t="shared" si="10"/>
        <v>YULIANI</v>
      </c>
      <c r="AE38" s="1"/>
      <c r="AF38" s="51" t="e">
        <f t="shared" si="11"/>
        <v>#N/A</v>
      </c>
      <c r="AG38" s="1" t="e">
        <f t="shared" si="12"/>
        <v>#N/A</v>
      </c>
      <c r="AI38" s="1" t="e">
        <f t="shared" si="13"/>
        <v>#N/A</v>
      </c>
      <c r="AJ38" s="11" t="e">
        <f t="shared" si="14"/>
        <v>#N/A</v>
      </c>
      <c r="AL38" s="1" t="e">
        <f t="shared" si="15"/>
        <v>#N/A</v>
      </c>
      <c r="AN38" s="1">
        <f t="shared" si="16"/>
        <v>0</v>
      </c>
    </row>
    <row r="39" spans="2:40" x14ac:dyDescent="0.3">
      <c r="B39" s="46"/>
      <c r="D39" s="37"/>
      <c r="E39" s="37"/>
      <c r="F39" s="38"/>
      <c r="G39" s="38"/>
      <c r="H39" s="46">
        <f t="shared" si="6"/>
        <v>28</v>
      </c>
      <c r="I39" s="65" t="s">
        <v>62</v>
      </c>
      <c r="J39" s="41">
        <v>37883</v>
      </c>
      <c r="K39" s="41">
        <v>45548</v>
      </c>
      <c r="L39" s="43">
        <v>3850000</v>
      </c>
      <c r="M39" s="43">
        <v>390130.54123622377</v>
      </c>
      <c r="N39" s="44">
        <v>7.1099999999999997E-2</v>
      </c>
      <c r="O39" s="45"/>
      <c r="P39" s="66"/>
      <c r="Q39" s="13"/>
      <c r="R39" s="37"/>
      <c r="S39" s="37"/>
      <c r="T39" s="37"/>
      <c r="U39" s="61"/>
      <c r="V39" s="67"/>
      <c r="W39" s="61"/>
      <c r="X39" s="61"/>
      <c r="Y39" s="61"/>
      <c r="Z39" s="61"/>
      <c r="AA39" s="49"/>
      <c r="AB39" s="50"/>
      <c r="AC39" s="51" t="e">
        <f t="shared" si="9"/>
        <v>#N/A</v>
      </c>
      <c r="AD39" s="51" t="str">
        <f t="shared" si="10"/>
        <v>AYU SEPTIA RIZKY RABBANA</v>
      </c>
      <c r="AE39" s="1"/>
      <c r="AF39" s="51" t="e">
        <f t="shared" si="11"/>
        <v>#N/A</v>
      </c>
      <c r="AG39" s="1" t="e">
        <f t="shared" si="12"/>
        <v>#N/A</v>
      </c>
      <c r="AI39" s="1" t="e">
        <f t="shared" si="13"/>
        <v>#N/A</v>
      </c>
      <c r="AJ39" s="11" t="e">
        <f t="shared" si="14"/>
        <v>#N/A</v>
      </c>
      <c r="AL39" s="1" t="e">
        <f t="shared" si="15"/>
        <v>#N/A</v>
      </c>
      <c r="AN39" s="1">
        <f t="shared" si="16"/>
        <v>0</v>
      </c>
    </row>
    <row r="40" spans="2:40" x14ac:dyDescent="0.3">
      <c r="B40" s="46"/>
      <c r="D40" s="37"/>
      <c r="E40" s="37"/>
      <c r="F40" s="38"/>
      <c r="G40" s="38"/>
      <c r="H40" s="46">
        <f t="shared" si="6"/>
        <v>29</v>
      </c>
      <c r="I40" s="65" t="s">
        <v>64</v>
      </c>
      <c r="J40" s="41">
        <v>37364</v>
      </c>
      <c r="K40" s="41">
        <v>45556</v>
      </c>
      <c r="L40" s="57">
        <v>3750000</v>
      </c>
      <c r="M40" s="57">
        <v>384798.88315991953</v>
      </c>
      <c r="N40" s="59">
        <v>7.1099999999999997E-2</v>
      </c>
      <c r="O40" s="60"/>
      <c r="P40" s="66"/>
      <c r="Q40" s="13"/>
      <c r="R40" s="37"/>
      <c r="S40" s="37"/>
      <c r="T40" s="37"/>
      <c r="U40" s="61"/>
      <c r="V40" s="67"/>
      <c r="W40" s="61"/>
      <c r="X40" s="61"/>
      <c r="Y40" s="61"/>
      <c r="Z40" s="61"/>
      <c r="AA40" s="49"/>
      <c r="AB40" s="50"/>
      <c r="AC40" s="51" t="e">
        <f t="shared" si="9"/>
        <v>#N/A</v>
      </c>
      <c r="AD40" s="51" t="str">
        <f t="shared" si="10"/>
        <v>RENALDY FRANSISKUS TULENAN</v>
      </c>
      <c r="AE40" s="1"/>
      <c r="AF40" s="51" t="e">
        <f t="shared" si="11"/>
        <v>#N/A</v>
      </c>
      <c r="AG40" s="1" t="e">
        <f t="shared" si="12"/>
        <v>#N/A</v>
      </c>
      <c r="AI40" s="1" t="e">
        <f t="shared" si="13"/>
        <v>#N/A</v>
      </c>
      <c r="AJ40" s="11" t="e">
        <f t="shared" si="14"/>
        <v>#N/A</v>
      </c>
      <c r="AL40" s="1" t="e">
        <f t="shared" si="15"/>
        <v>#N/A</v>
      </c>
      <c r="AN40" s="1">
        <f t="shared" si="16"/>
        <v>0</v>
      </c>
    </row>
    <row r="41" spans="2:40" x14ac:dyDescent="0.3">
      <c r="B41" s="46"/>
      <c r="D41" s="37"/>
      <c r="E41" s="37"/>
      <c r="F41" s="38"/>
      <c r="G41" s="38"/>
      <c r="H41" s="46">
        <f t="shared" si="6"/>
        <v>30</v>
      </c>
      <c r="I41" s="39" t="s">
        <v>59</v>
      </c>
      <c r="J41" s="40">
        <v>37998</v>
      </c>
      <c r="K41" s="41">
        <v>45556</v>
      </c>
      <c r="L41" s="57">
        <v>3750000</v>
      </c>
      <c r="M41" s="57">
        <v>379997.28042489325</v>
      </c>
      <c r="N41" s="59">
        <v>7.1099999999999997E-2</v>
      </c>
      <c r="O41" s="60"/>
      <c r="P41" s="66"/>
      <c r="Q41" s="13"/>
      <c r="R41" s="37"/>
      <c r="S41" s="37"/>
      <c r="T41" s="37"/>
      <c r="U41" s="61"/>
      <c r="V41" s="67"/>
      <c r="W41" s="61"/>
      <c r="X41" s="61"/>
      <c r="Y41" s="61"/>
      <c r="Z41" s="61"/>
      <c r="AA41" s="49"/>
      <c r="AB41" s="50"/>
      <c r="AC41" s="51" t="e">
        <f t="shared" si="9"/>
        <v>#N/A</v>
      </c>
      <c r="AD41" s="51" t="str">
        <f t="shared" si="10"/>
        <v>ANDI SELVI</v>
      </c>
      <c r="AE41" s="1"/>
      <c r="AF41" s="51" t="e">
        <f t="shared" si="11"/>
        <v>#N/A</v>
      </c>
      <c r="AG41" s="1" t="e">
        <f t="shared" si="12"/>
        <v>#N/A</v>
      </c>
      <c r="AI41" s="1" t="e">
        <f t="shared" si="13"/>
        <v>#N/A</v>
      </c>
      <c r="AJ41" s="11" t="e">
        <f t="shared" si="14"/>
        <v>#N/A</v>
      </c>
      <c r="AL41" s="1" t="e">
        <f t="shared" si="15"/>
        <v>#N/A</v>
      </c>
      <c r="AN41" s="1">
        <f t="shared" si="16"/>
        <v>0</v>
      </c>
    </row>
    <row r="42" spans="2:40" x14ac:dyDescent="0.3">
      <c r="B42" s="46"/>
      <c r="D42" s="37"/>
      <c r="E42" s="37"/>
      <c r="F42" s="38"/>
      <c r="G42" s="38"/>
      <c r="H42" s="46">
        <f t="shared" si="6"/>
        <v>31</v>
      </c>
      <c r="I42" s="65" t="s">
        <v>58</v>
      </c>
      <c r="J42" s="41">
        <v>38205</v>
      </c>
      <c r="K42" s="41">
        <v>45556</v>
      </c>
      <c r="L42" s="43">
        <v>3750000</v>
      </c>
      <c r="M42" s="43">
        <v>378383.27573841624</v>
      </c>
      <c r="N42" s="44">
        <v>7.1099999999999997E-2</v>
      </c>
      <c r="O42" s="45"/>
      <c r="P42" s="66"/>
      <c r="Q42" s="13"/>
      <c r="R42" s="37"/>
      <c r="S42" s="37"/>
      <c r="T42" s="37"/>
      <c r="U42" s="61"/>
      <c r="V42" s="67"/>
      <c r="W42" s="61"/>
      <c r="X42" s="61"/>
      <c r="Y42" s="61"/>
      <c r="Z42" s="61"/>
      <c r="AA42" s="49"/>
      <c r="AB42" s="50"/>
      <c r="AC42" s="51" t="e">
        <f t="shared" si="9"/>
        <v>#N/A</v>
      </c>
      <c r="AD42" s="51" t="str">
        <f t="shared" si="10"/>
        <v>ALIYAH SAFIRA</v>
      </c>
      <c r="AE42" s="1"/>
      <c r="AF42" s="51" t="e">
        <f t="shared" si="11"/>
        <v>#N/A</v>
      </c>
      <c r="AG42" s="1" t="e">
        <f t="shared" si="12"/>
        <v>#N/A</v>
      </c>
      <c r="AI42" s="1" t="e">
        <f t="shared" si="13"/>
        <v>#N/A</v>
      </c>
      <c r="AJ42" s="11" t="e">
        <f t="shared" si="14"/>
        <v>#N/A</v>
      </c>
      <c r="AL42" s="1" t="e">
        <f t="shared" si="15"/>
        <v>#N/A</v>
      </c>
      <c r="AN42" s="1">
        <f t="shared" si="16"/>
        <v>0</v>
      </c>
    </row>
    <row r="43" spans="2:40" x14ac:dyDescent="0.3">
      <c r="B43" s="46"/>
      <c r="D43" s="37"/>
      <c r="E43" s="37"/>
      <c r="F43" s="38"/>
      <c r="G43" s="38"/>
      <c r="H43" s="46">
        <f t="shared" si="6"/>
        <v>32</v>
      </c>
      <c r="I43" s="39" t="s">
        <v>61</v>
      </c>
      <c r="J43" s="40">
        <v>37205</v>
      </c>
      <c r="K43" s="41">
        <v>45556</v>
      </c>
      <c r="L43" s="43">
        <v>3950000</v>
      </c>
      <c r="M43" s="43">
        <v>405321.49026178202</v>
      </c>
      <c r="N43" s="44">
        <v>7.1099999999999997E-2</v>
      </c>
      <c r="O43" s="45"/>
      <c r="P43" s="66"/>
      <c r="Q43" s="13"/>
      <c r="R43" s="37"/>
      <c r="S43" s="37"/>
      <c r="T43" s="37"/>
      <c r="U43" s="61"/>
      <c r="V43" s="67"/>
      <c r="W43" s="61"/>
      <c r="X43" s="61"/>
      <c r="Y43" s="61"/>
      <c r="Z43" s="61"/>
      <c r="AA43" s="49"/>
      <c r="AB43" s="50"/>
      <c r="AC43" s="51" t="e">
        <f t="shared" si="9"/>
        <v>#N/A</v>
      </c>
      <c r="AD43" s="51" t="str">
        <f t="shared" si="10"/>
        <v>ATMIN LAMBA</v>
      </c>
      <c r="AE43" s="1"/>
      <c r="AF43" s="51" t="e">
        <f t="shared" si="11"/>
        <v>#N/A</v>
      </c>
      <c r="AG43" s="1" t="e">
        <f t="shared" si="12"/>
        <v>#N/A</v>
      </c>
      <c r="AI43" s="1" t="e">
        <f t="shared" si="13"/>
        <v>#N/A</v>
      </c>
      <c r="AJ43" s="11" t="e">
        <f t="shared" si="14"/>
        <v>#N/A</v>
      </c>
      <c r="AL43" s="1" t="e">
        <f t="shared" si="15"/>
        <v>#N/A</v>
      </c>
      <c r="AN43" s="1">
        <f t="shared" si="16"/>
        <v>0</v>
      </c>
    </row>
    <row r="44" spans="2:40" x14ac:dyDescent="0.3">
      <c r="B44" s="46"/>
      <c r="D44" s="37"/>
      <c r="E44" s="37"/>
      <c r="F44" s="38"/>
      <c r="G44" s="38"/>
      <c r="H44" s="46">
        <f t="shared" si="6"/>
        <v>33</v>
      </c>
      <c r="I44" s="65" t="s">
        <v>66</v>
      </c>
      <c r="J44" s="41">
        <v>36955</v>
      </c>
      <c r="K44" s="41">
        <v>45556</v>
      </c>
      <c r="L44" s="43">
        <v>3750000</v>
      </c>
      <c r="M44" s="43">
        <v>388199.01229945832</v>
      </c>
      <c r="N44" s="44">
        <v>7.1099999999999997E-2</v>
      </c>
      <c r="O44" s="45"/>
      <c r="P44" s="66"/>
      <c r="Q44" s="13"/>
      <c r="R44" s="37"/>
      <c r="S44" s="37"/>
      <c r="T44" s="37"/>
      <c r="U44" s="61"/>
      <c r="V44" s="67"/>
      <c r="W44" s="61"/>
      <c r="X44" s="61"/>
      <c r="Y44" s="61"/>
      <c r="Z44" s="61"/>
      <c r="AA44" s="49"/>
      <c r="AB44" s="50"/>
      <c r="AC44" s="51" t="e">
        <f t="shared" si="9"/>
        <v>#N/A</v>
      </c>
      <c r="AD44" s="51" t="str">
        <f t="shared" si="10"/>
        <v>ISMAIL LABONE</v>
      </c>
      <c r="AE44" s="1"/>
      <c r="AF44" s="51" t="e">
        <f t="shared" si="11"/>
        <v>#N/A</v>
      </c>
      <c r="AG44" s="1" t="e">
        <f t="shared" si="12"/>
        <v>#N/A</v>
      </c>
      <c r="AI44" s="1" t="e">
        <f t="shared" si="13"/>
        <v>#N/A</v>
      </c>
      <c r="AJ44" s="11" t="e">
        <f t="shared" si="14"/>
        <v>#N/A</v>
      </c>
      <c r="AL44" s="1" t="e">
        <f t="shared" si="15"/>
        <v>#N/A</v>
      </c>
      <c r="AN44" s="1">
        <f t="shared" si="16"/>
        <v>0</v>
      </c>
    </row>
    <row r="45" spans="2:40" x14ac:dyDescent="0.3">
      <c r="B45" s="46"/>
      <c r="D45" s="37"/>
      <c r="E45" s="37"/>
      <c r="F45" s="38"/>
      <c r="G45" s="38"/>
      <c r="H45" s="46">
        <f t="shared" si="6"/>
        <v>34</v>
      </c>
      <c r="I45" s="39" t="s">
        <v>67</v>
      </c>
      <c r="J45" s="40">
        <v>37561</v>
      </c>
      <c r="K45" s="41">
        <v>45556</v>
      </c>
      <c r="L45" s="42">
        <v>3750000</v>
      </c>
      <c r="M45" s="42">
        <v>382085.88195810013</v>
      </c>
      <c r="N45" s="52">
        <v>7.1099999999999997E-2</v>
      </c>
      <c r="O45" s="53"/>
      <c r="P45" s="66"/>
      <c r="R45" s="37"/>
      <c r="S45" s="37"/>
      <c r="T45" s="37"/>
      <c r="U45" s="61"/>
      <c r="V45" s="67"/>
      <c r="W45" s="61"/>
      <c r="X45" s="61"/>
      <c r="Y45" s="61"/>
      <c r="Z45" s="61"/>
      <c r="AA45" s="49"/>
      <c r="AB45" s="50"/>
      <c r="AC45" s="51" t="e">
        <f t="shared" si="9"/>
        <v>#N/A</v>
      </c>
      <c r="AD45" s="51" t="str">
        <f t="shared" si="10"/>
        <v>MOH ABIL</v>
      </c>
      <c r="AE45" s="1"/>
      <c r="AF45" s="51" t="e">
        <f t="shared" si="11"/>
        <v>#N/A</v>
      </c>
      <c r="AG45" s="1" t="e">
        <f t="shared" si="12"/>
        <v>#N/A</v>
      </c>
      <c r="AI45" s="1" t="e">
        <f t="shared" si="13"/>
        <v>#N/A</v>
      </c>
      <c r="AJ45" s="11" t="e">
        <f t="shared" si="14"/>
        <v>#N/A</v>
      </c>
      <c r="AL45" s="1" t="e">
        <f t="shared" si="15"/>
        <v>#N/A</v>
      </c>
      <c r="AN45" s="1">
        <f t="shared" si="16"/>
        <v>0</v>
      </c>
    </row>
    <row r="46" spans="2:40" x14ac:dyDescent="0.3">
      <c r="B46" s="46"/>
      <c r="D46" s="37"/>
      <c r="E46" s="37"/>
      <c r="F46" s="38"/>
      <c r="G46" s="38"/>
      <c r="H46" s="46">
        <f t="shared" si="6"/>
        <v>35</v>
      </c>
      <c r="I46" s="39" t="s">
        <v>63</v>
      </c>
      <c r="J46" s="40">
        <v>38410</v>
      </c>
      <c r="K46" s="41">
        <v>45556</v>
      </c>
      <c r="L46" s="68">
        <v>3750000</v>
      </c>
      <c r="M46" s="68">
        <v>378383.27573841624</v>
      </c>
      <c r="N46" s="69">
        <v>7.1099999999999997E-2</v>
      </c>
      <c r="O46" s="70"/>
      <c r="P46" s="66"/>
      <c r="Q46" s="71"/>
      <c r="R46" s="37"/>
      <c r="S46" s="37"/>
      <c r="T46" s="37"/>
      <c r="U46" s="61"/>
      <c r="V46" s="67"/>
      <c r="W46" s="61"/>
      <c r="X46" s="61"/>
      <c r="Y46" s="61"/>
      <c r="Z46" s="61"/>
      <c r="AA46" s="49"/>
      <c r="AB46" s="50"/>
      <c r="AC46" s="51" t="e">
        <f t="shared" si="9"/>
        <v>#N/A</v>
      </c>
      <c r="AD46" s="51" t="str">
        <f t="shared" si="10"/>
        <v>ELSA TRIWANI DAUD</v>
      </c>
      <c r="AE46" s="1"/>
      <c r="AF46" s="51" t="e">
        <f t="shared" si="11"/>
        <v>#N/A</v>
      </c>
      <c r="AG46" s="1" t="e">
        <f t="shared" si="12"/>
        <v>#N/A</v>
      </c>
      <c r="AI46" s="1" t="e">
        <f t="shared" si="13"/>
        <v>#N/A</v>
      </c>
      <c r="AJ46" s="11" t="e">
        <f t="shared" si="14"/>
        <v>#N/A</v>
      </c>
      <c r="AL46" s="1" t="e">
        <f t="shared" si="15"/>
        <v>#N/A</v>
      </c>
      <c r="AN46" s="1">
        <f t="shared" si="16"/>
        <v>0</v>
      </c>
    </row>
    <row r="47" spans="2:40" x14ac:dyDescent="0.3">
      <c r="B47" s="46"/>
      <c r="D47" s="37"/>
      <c r="E47" s="37"/>
      <c r="F47" s="38"/>
      <c r="G47" s="38"/>
      <c r="H47" s="46">
        <f t="shared" si="6"/>
        <v>36</v>
      </c>
      <c r="I47" s="39" t="s">
        <v>65</v>
      </c>
      <c r="J47" s="40">
        <v>37750</v>
      </c>
      <c r="K47" s="41">
        <v>45556</v>
      </c>
      <c r="L47" s="68">
        <v>3750000</v>
      </c>
      <c r="M47" s="68">
        <v>382085.88195810013</v>
      </c>
      <c r="N47" s="69">
        <v>7.1099999999999997E-2</v>
      </c>
      <c r="O47" s="70"/>
      <c r="P47" s="66"/>
      <c r="Q47" s="71"/>
      <c r="R47" s="37"/>
      <c r="S47" s="37"/>
      <c r="T47" s="37"/>
      <c r="U47" s="61"/>
      <c r="V47" s="72"/>
      <c r="W47" s="61"/>
      <c r="X47" s="61"/>
      <c r="Y47" s="61"/>
      <c r="Z47" s="61"/>
      <c r="AA47" s="49"/>
      <c r="AB47" s="50"/>
      <c r="AC47" s="51" t="e">
        <f t="shared" si="9"/>
        <v>#N/A</v>
      </c>
      <c r="AD47" s="51" t="str">
        <f t="shared" si="10"/>
        <v>FARIT HIDAYAT</v>
      </c>
      <c r="AE47" s="1"/>
      <c r="AF47" s="51" t="e">
        <f t="shared" si="11"/>
        <v>#N/A</v>
      </c>
      <c r="AG47" s="1" t="e">
        <f t="shared" si="12"/>
        <v>#N/A</v>
      </c>
      <c r="AI47" s="1" t="e">
        <f t="shared" si="13"/>
        <v>#N/A</v>
      </c>
      <c r="AJ47" s="11" t="e">
        <f t="shared" si="14"/>
        <v>#N/A</v>
      </c>
      <c r="AL47" s="1" t="e">
        <f t="shared" si="15"/>
        <v>#N/A</v>
      </c>
      <c r="AN47" s="1">
        <f t="shared" si="16"/>
        <v>0</v>
      </c>
    </row>
    <row r="48" spans="2:40" x14ac:dyDescent="0.3">
      <c r="B48" s="46"/>
      <c r="D48" s="37"/>
      <c r="E48" s="37"/>
      <c r="F48" s="38"/>
      <c r="G48" s="38"/>
      <c r="H48" s="46"/>
      <c r="I48" s="65"/>
      <c r="J48" s="41"/>
      <c r="K48" s="41"/>
      <c r="L48" s="68"/>
      <c r="M48" s="68"/>
      <c r="N48" s="69"/>
      <c r="O48" s="70"/>
      <c r="P48" s="66"/>
      <c r="Q48" s="71"/>
      <c r="R48" s="37"/>
      <c r="S48" s="37"/>
      <c r="T48" s="37"/>
      <c r="U48" s="61"/>
      <c r="V48" s="67"/>
      <c r="W48" s="61"/>
      <c r="X48" s="61"/>
      <c r="Y48" s="61"/>
      <c r="Z48" s="61"/>
      <c r="AA48" s="49"/>
      <c r="AB48" s="50"/>
      <c r="AC48" s="51"/>
      <c r="AD48" s="51"/>
      <c r="AE48" s="1"/>
      <c r="AF48" s="51"/>
      <c r="AI48" s="1" t="e">
        <f t="shared" ref="AI13:AI70" si="18">VLOOKUP(C48,$Q$12:$Q$994,1,0)</f>
        <v>#N/A</v>
      </c>
      <c r="AJ48" s="11" t="e">
        <f t="shared" ref="AJ13:AJ70" si="19">IF(AI48&lt;&gt;"","ada di data resign tapi masih aktif","")</f>
        <v>#N/A</v>
      </c>
    </row>
    <row r="49" spans="2:36" x14ac:dyDescent="0.3">
      <c r="B49" s="46"/>
      <c r="D49" s="37"/>
      <c r="E49" s="37"/>
      <c r="F49" s="38"/>
      <c r="G49" s="38"/>
      <c r="H49" s="46"/>
      <c r="I49" s="65"/>
      <c r="J49" s="41"/>
      <c r="K49" s="41"/>
      <c r="L49" s="68"/>
      <c r="M49" s="68"/>
      <c r="N49" s="69"/>
      <c r="O49" s="70"/>
      <c r="P49" s="66"/>
      <c r="Q49" s="71"/>
      <c r="R49" s="37"/>
      <c r="S49" s="37"/>
      <c r="T49" s="37"/>
      <c r="U49" s="61"/>
      <c r="V49" s="67"/>
      <c r="W49" s="61"/>
      <c r="X49" s="61"/>
      <c r="Y49" s="61"/>
      <c r="Z49" s="61"/>
      <c r="AA49" s="49"/>
      <c r="AB49" s="50"/>
      <c r="AC49" s="51"/>
      <c r="AD49" s="51"/>
      <c r="AE49" s="1"/>
      <c r="AF49" s="51"/>
      <c r="AI49" s="1" t="e">
        <f t="shared" si="18"/>
        <v>#N/A</v>
      </c>
      <c r="AJ49" s="11" t="e">
        <f t="shared" si="19"/>
        <v>#N/A</v>
      </c>
    </row>
    <row r="50" spans="2:36" x14ac:dyDescent="0.3">
      <c r="B50" s="46"/>
      <c r="D50" s="37"/>
      <c r="E50" s="37"/>
      <c r="F50" s="73"/>
      <c r="G50" s="73"/>
      <c r="H50" s="46"/>
      <c r="I50" s="39"/>
      <c r="J50" s="40"/>
      <c r="K50" s="41"/>
      <c r="L50" s="68"/>
      <c r="M50" s="68"/>
      <c r="N50" s="69"/>
      <c r="O50" s="70"/>
      <c r="P50" s="66"/>
      <c r="Q50" s="71"/>
      <c r="R50" s="37"/>
      <c r="S50" s="37"/>
      <c r="T50" s="37"/>
      <c r="U50" s="61"/>
      <c r="V50" s="67"/>
      <c r="W50" s="61"/>
      <c r="X50" s="61"/>
      <c r="Y50" s="61"/>
      <c r="Z50" s="61"/>
      <c r="AA50" s="49"/>
      <c r="AB50" s="50"/>
      <c r="AC50" s="51"/>
      <c r="AD50" s="51"/>
      <c r="AE50" s="1"/>
      <c r="AF50" s="51"/>
      <c r="AI50" s="1" t="e">
        <f t="shared" si="18"/>
        <v>#N/A</v>
      </c>
      <c r="AJ50" s="11" t="e">
        <f t="shared" si="19"/>
        <v>#N/A</v>
      </c>
    </row>
    <row r="51" spans="2:36" x14ac:dyDescent="0.3">
      <c r="B51" s="46"/>
      <c r="D51" s="37"/>
      <c r="E51" s="37"/>
      <c r="F51" s="38"/>
      <c r="G51" s="38"/>
      <c r="H51" s="46"/>
      <c r="I51" s="1"/>
      <c r="J51" s="37"/>
      <c r="K51" s="37"/>
      <c r="L51" s="68"/>
      <c r="M51" s="68"/>
      <c r="N51" s="69"/>
      <c r="O51" s="70"/>
      <c r="P51" s="66"/>
      <c r="Q51" s="71"/>
      <c r="R51" s="37"/>
      <c r="S51" s="37"/>
      <c r="T51" s="37"/>
      <c r="U51" s="61"/>
      <c r="V51" s="67"/>
      <c r="W51" s="61"/>
      <c r="X51" s="61"/>
      <c r="Y51" s="61"/>
      <c r="Z51" s="61"/>
      <c r="AA51" s="49"/>
      <c r="AB51" s="50"/>
      <c r="AC51" s="51"/>
      <c r="AD51" s="51"/>
      <c r="AE51" s="1"/>
      <c r="AF51" s="51"/>
      <c r="AI51" s="1" t="e">
        <f t="shared" si="18"/>
        <v>#N/A</v>
      </c>
      <c r="AJ51" s="11" t="e">
        <f t="shared" si="19"/>
        <v>#N/A</v>
      </c>
    </row>
    <row r="52" spans="2:36" x14ac:dyDescent="0.3">
      <c r="B52" s="46"/>
      <c r="D52" s="37"/>
      <c r="E52" s="37"/>
      <c r="F52" s="38"/>
      <c r="G52" s="38"/>
      <c r="H52" s="46"/>
      <c r="I52" s="65"/>
      <c r="J52" s="41"/>
      <c r="K52" s="41"/>
      <c r="L52" s="68"/>
      <c r="M52" s="68"/>
      <c r="N52" s="69"/>
      <c r="O52" s="70"/>
      <c r="P52" s="66"/>
      <c r="Q52" s="71"/>
      <c r="R52" s="37"/>
      <c r="S52" s="37"/>
      <c r="T52" s="37"/>
      <c r="U52" s="61"/>
      <c r="V52" s="72"/>
      <c r="W52" s="61"/>
      <c r="X52" s="61"/>
      <c r="Y52" s="61"/>
      <c r="Z52" s="61"/>
      <c r="AA52" s="49"/>
      <c r="AB52" s="50"/>
      <c r="AC52" s="51"/>
      <c r="AD52" s="51"/>
      <c r="AE52" s="1"/>
      <c r="AF52" s="51"/>
      <c r="AI52" s="1" t="e">
        <f t="shared" si="18"/>
        <v>#N/A</v>
      </c>
      <c r="AJ52" s="11" t="e">
        <f t="shared" si="19"/>
        <v>#N/A</v>
      </c>
    </row>
    <row r="53" spans="2:36" x14ac:dyDescent="0.3">
      <c r="B53" s="46"/>
      <c r="D53" s="37"/>
      <c r="E53" s="37"/>
      <c r="F53" s="38"/>
      <c r="G53" s="38"/>
      <c r="H53" s="46"/>
      <c r="I53" s="65"/>
      <c r="J53" s="41"/>
      <c r="K53" s="41"/>
      <c r="L53" s="68"/>
      <c r="M53" s="68"/>
      <c r="N53" s="69"/>
      <c r="O53" s="70"/>
      <c r="P53" s="66"/>
      <c r="R53" s="37"/>
      <c r="S53" s="37"/>
      <c r="T53" s="37"/>
      <c r="U53" s="61"/>
      <c r="V53" s="67"/>
      <c r="W53" s="61"/>
      <c r="X53" s="61"/>
      <c r="Y53" s="61"/>
      <c r="Z53" s="61"/>
      <c r="AA53" s="49"/>
      <c r="AB53" s="50"/>
      <c r="AC53" s="51"/>
      <c r="AD53" s="51"/>
      <c r="AE53" s="1"/>
      <c r="AF53" s="51"/>
      <c r="AI53" s="1" t="e">
        <f t="shared" si="18"/>
        <v>#N/A</v>
      </c>
      <c r="AJ53" s="11" t="e">
        <f t="shared" si="19"/>
        <v>#N/A</v>
      </c>
    </row>
    <row r="54" spans="2:36" x14ac:dyDescent="0.3">
      <c r="B54" s="46"/>
      <c r="D54" s="37"/>
      <c r="E54" s="37"/>
      <c r="F54" s="38"/>
      <c r="G54" s="38"/>
      <c r="H54" s="46"/>
      <c r="I54" s="65"/>
      <c r="J54" s="41"/>
      <c r="K54" s="41"/>
      <c r="L54" s="68"/>
      <c r="M54" s="68"/>
      <c r="N54" s="69"/>
      <c r="O54" s="70"/>
      <c r="P54" s="66"/>
      <c r="R54" s="37"/>
      <c r="S54" s="37"/>
      <c r="T54" s="37"/>
      <c r="U54" s="61"/>
      <c r="V54" s="72"/>
      <c r="W54" s="61"/>
      <c r="X54" s="61"/>
      <c r="Y54" s="61"/>
      <c r="Z54" s="61"/>
      <c r="AA54" s="49"/>
      <c r="AB54" s="50"/>
      <c r="AC54" s="51"/>
      <c r="AD54" s="51"/>
      <c r="AE54" s="1"/>
      <c r="AF54" s="51"/>
      <c r="AI54" s="1" t="e">
        <f t="shared" si="18"/>
        <v>#N/A</v>
      </c>
      <c r="AJ54" s="11" t="e">
        <f t="shared" si="19"/>
        <v>#N/A</v>
      </c>
    </row>
    <row r="55" spans="2:36" x14ac:dyDescent="0.3">
      <c r="B55" s="46"/>
      <c r="D55" s="37"/>
      <c r="E55" s="37"/>
      <c r="F55" s="38"/>
      <c r="G55" s="38"/>
      <c r="H55" s="46"/>
      <c r="I55" s="39"/>
      <c r="J55" s="40"/>
      <c r="K55" s="41"/>
      <c r="L55" s="68"/>
      <c r="M55" s="68"/>
      <c r="N55" s="69"/>
      <c r="O55" s="70"/>
      <c r="P55" s="66"/>
      <c r="R55" s="37"/>
      <c r="S55" s="37"/>
      <c r="T55" s="37"/>
      <c r="U55" s="61"/>
      <c r="V55" s="72"/>
      <c r="W55" s="61"/>
      <c r="X55" s="61"/>
      <c r="Y55" s="61"/>
      <c r="Z55" s="61"/>
      <c r="AA55" s="49"/>
      <c r="AB55" s="50"/>
      <c r="AC55" s="51"/>
      <c r="AD55" s="51"/>
      <c r="AE55" s="1"/>
      <c r="AF55" s="51"/>
      <c r="AI55" s="1" t="e">
        <f t="shared" si="18"/>
        <v>#N/A</v>
      </c>
      <c r="AJ55" s="11" t="e">
        <f t="shared" si="19"/>
        <v>#N/A</v>
      </c>
    </row>
    <row r="56" spans="2:36" x14ac:dyDescent="0.3">
      <c r="B56" s="46"/>
      <c r="D56" s="37"/>
      <c r="E56" s="37"/>
      <c r="F56" s="38"/>
      <c r="G56" s="38"/>
      <c r="H56" s="46"/>
      <c r="I56" s="39"/>
      <c r="J56" s="40"/>
      <c r="K56" s="41"/>
      <c r="L56" s="68"/>
      <c r="M56" s="68"/>
      <c r="N56" s="69"/>
      <c r="O56" s="70"/>
      <c r="P56" s="66"/>
      <c r="R56" s="37"/>
      <c r="S56" s="37"/>
      <c r="T56" s="37"/>
      <c r="U56" s="61"/>
      <c r="V56" s="72"/>
      <c r="W56" s="61"/>
      <c r="X56" s="61"/>
      <c r="Y56" s="61"/>
      <c r="Z56" s="61"/>
      <c r="AA56" s="49"/>
      <c r="AB56" s="50"/>
      <c r="AC56" s="51"/>
      <c r="AD56" s="51"/>
      <c r="AE56" s="1"/>
      <c r="AF56" s="51"/>
      <c r="AI56" s="1" t="e">
        <f t="shared" si="18"/>
        <v>#N/A</v>
      </c>
      <c r="AJ56" s="11" t="e">
        <f t="shared" si="19"/>
        <v>#N/A</v>
      </c>
    </row>
    <row r="57" spans="2:36" x14ac:dyDescent="0.3">
      <c r="B57" s="46"/>
      <c r="D57" s="37"/>
      <c r="E57" s="37"/>
      <c r="F57" s="38"/>
      <c r="G57" s="38"/>
      <c r="H57" s="46"/>
      <c r="I57" s="39"/>
      <c r="J57" s="40"/>
      <c r="K57" s="41"/>
      <c r="L57" s="68"/>
      <c r="M57" s="68"/>
      <c r="N57" s="69"/>
      <c r="O57" s="70"/>
      <c r="P57" s="66"/>
      <c r="R57" s="37"/>
      <c r="S57" s="37"/>
      <c r="T57" s="37"/>
      <c r="U57" s="61"/>
      <c r="V57" s="72"/>
      <c r="W57" s="61"/>
      <c r="X57" s="61"/>
      <c r="Y57" s="61"/>
      <c r="Z57" s="61"/>
      <c r="AA57" s="49"/>
      <c r="AB57" s="50"/>
      <c r="AC57" s="51"/>
      <c r="AD57" s="51"/>
      <c r="AE57" s="1"/>
      <c r="AF57" s="51"/>
      <c r="AI57" s="1" t="e">
        <f t="shared" si="18"/>
        <v>#N/A</v>
      </c>
      <c r="AJ57" s="11" t="e">
        <f t="shared" si="19"/>
        <v>#N/A</v>
      </c>
    </row>
    <row r="58" spans="2:36" x14ac:dyDescent="0.3">
      <c r="B58" s="46"/>
      <c r="D58" s="37"/>
      <c r="E58" s="37"/>
      <c r="F58" s="38"/>
      <c r="G58" s="38"/>
      <c r="H58" s="46"/>
      <c r="I58" s="65"/>
      <c r="J58" s="41"/>
      <c r="K58" s="41"/>
      <c r="L58" s="68"/>
      <c r="M58" s="68"/>
      <c r="N58" s="69"/>
      <c r="O58" s="70"/>
      <c r="P58" s="66"/>
      <c r="R58" s="37"/>
      <c r="S58" s="37"/>
      <c r="T58" s="37"/>
      <c r="U58" s="61"/>
      <c r="V58" s="67"/>
      <c r="W58" s="61"/>
      <c r="X58" s="61"/>
      <c r="Y58" s="61"/>
      <c r="Z58" s="61"/>
      <c r="AA58" s="49"/>
      <c r="AB58" s="50"/>
      <c r="AC58" s="51"/>
      <c r="AD58" s="51"/>
      <c r="AE58" s="1"/>
      <c r="AF58" s="51"/>
      <c r="AI58" s="1" t="e">
        <f t="shared" si="18"/>
        <v>#N/A</v>
      </c>
      <c r="AJ58" s="11" t="e">
        <f t="shared" si="19"/>
        <v>#N/A</v>
      </c>
    </row>
    <row r="59" spans="2:36" x14ac:dyDescent="0.3">
      <c r="B59" s="46"/>
      <c r="D59" s="37"/>
      <c r="E59" s="37"/>
      <c r="F59" s="38"/>
      <c r="G59" s="38"/>
      <c r="H59" s="46"/>
      <c r="I59" s="65"/>
      <c r="J59" s="41"/>
      <c r="K59" s="41"/>
      <c r="L59" s="68"/>
      <c r="M59" s="68"/>
      <c r="N59" s="69"/>
      <c r="O59" s="70"/>
      <c r="P59" s="66"/>
      <c r="R59" s="37"/>
      <c r="S59" s="37"/>
      <c r="T59" s="37"/>
      <c r="U59" s="61"/>
      <c r="V59" s="67"/>
      <c r="W59" s="61"/>
      <c r="X59" s="61"/>
      <c r="Y59" s="61"/>
      <c r="AA59" s="49"/>
      <c r="AB59" s="50"/>
      <c r="AC59" s="51"/>
      <c r="AD59" s="51"/>
      <c r="AE59" s="1"/>
      <c r="AF59" s="51"/>
      <c r="AI59" s="1" t="e">
        <f t="shared" si="18"/>
        <v>#N/A</v>
      </c>
      <c r="AJ59" s="11" t="e">
        <f t="shared" si="19"/>
        <v>#N/A</v>
      </c>
    </row>
    <row r="60" spans="2:36" x14ac:dyDescent="0.3">
      <c r="B60" s="46"/>
      <c r="D60" s="37"/>
      <c r="E60" s="37"/>
      <c r="F60" s="38"/>
      <c r="G60" s="38"/>
      <c r="H60" s="46"/>
      <c r="I60" s="65"/>
      <c r="J60" s="41"/>
      <c r="K60" s="41"/>
      <c r="L60" s="68"/>
      <c r="M60" s="68"/>
      <c r="N60" s="69"/>
      <c r="O60" s="70"/>
      <c r="P60" s="66"/>
      <c r="R60" s="37"/>
      <c r="S60" s="37"/>
      <c r="T60" s="37"/>
      <c r="U60" s="61"/>
      <c r="V60" s="67"/>
      <c r="W60" s="61"/>
      <c r="X60" s="61"/>
      <c r="Y60" s="61"/>
      <c r="AA60" s="49"/>
      <c r="AB60" s="50"/>
      <c r="AC60" s="51"/>
      <c r="AD60" s="51"/>
      <c r="AE60" s="1"/>
      <c r="AF60" s="51"/>
      <c r="AI60" s="1" t="e">
        <f t="shared" si="18"/>
        <v>#N/A</v>
      </c>
      <c r="AJ60" s="11" t="e">
        <f t="shared" si="19"/>
        <v>#N/A</v>
      </c>
    </row>
    <row r="61" spans="2:36" x14ac:dyDescent="0.3">
      <c r="B61" s="46"/>
      <c r="D61" s="37"/>
      <c r="E61" s="37"/>
      <c r="F61" s="38"/>
      <c r="G61" s="38"/>
      <c r="H61" s="46"/>
      <c r="I61" s="65"/>
      <c r="J61" s="41"/>
      <c r="K61" s="41"/>
      <c r="L61" s="68"/>
      <c r="M61" s="68"/>
      <c r="N61" s="69"/>
      <c r="O61" s="70"/>
      <c r="P61" s="66"/>
      <c r="R61" s="37"/>
      <c r="S61" s="37"/>
      <c r="T61" s="37"/>
      <c r="U61" s="61"/>
      <c r="V61" s="72"/>
      <c r="W61" s="61"/>
      <c r="X61" s="61"/>
      <c r="Y61" s="61"/>
      <c r="AA61" s="49"/>
      <c r="AB61" s="50"/>
      <c r="AC61" s="51"/>
      <c r="AD61" s="51"/>
      <c r="AE61" s="1"/>
      <c r="AF61" s="51"/>
      <c r="AI61" s="1" t="e">
        <f t="shared" si="18"/>
        <v>#N/A</v>
      </c>
      <c r="AJ61" s="11" t="e">
        <f t="shared" si="19"/>
        <v>#N/A</v>
      </c>
    </row>
    <row r="62" spans="2:36" x14ac:dyDescent="0.3">
      <c r="B62" s="46"/>
      <c r="D62" s="37"/>
      <c r="E62" s="37"/>
      <c r="F62" s="38"/>
      <c r="G62" s="38"/>
      <c r="H62" s="46"/>
      <c r="I62" s="65"/>
      <c r="J62" s="41"/>
      <c r="K62" s="41"/>
      <c r="L62" s="68"/>
      <c r="M62" s="68"/>
      <c r="N62" s="69"/>
      <c r="O62" s="70"/>
      <c r="P62" s="66"/>
      <c r="R62" s="37"/>
      <c r="S62" s="37"/>
      <c r="T62" s="37"/>
      <c r="U62" s="61"/>
      <c r="V62" s="67"/>
      <c r="W62" s="61"/>
      <c r="X62" s="61"/>
      <c r="Y62" s="61"/>
      <c r="AA62" s="49"/>
      <c r="AB62" s="50"/>
      <c r="AC62" s="51"/>
      <c r="AD62" s="51"/>
      <c r="AE62" s="1"/>
      <c r="AF62" s="51"/>
      <c r="AI62" s="1" t="e">
        <f t="shared" si="18"/>
        <v>#N/A</v>
      </c>
      <c r="AJ62" s="11" t="e">
        <f t="shared" si="19"/>
        <v>#N/A</v>
      </c>
    </row>
    <row r="63" spans="2:36" x14ac:dyDescent="0.3">
      <c r="B63" s="46"/>
      <c r="D63" s="37"/>
      <c r="E63" s="37"/>
      <c r="F63" s="38"/>
      <c r="G63" s="38"/>
      <c r="H63" s="46"/>
      <c r="I63" s="39"/>
      <c r="J63" s="40"/>
      <c r="K63" s="41"/>
      <c r="L63" s="68"/>
      <c r="M63" s="68"/>
      <c r="N63" s="69"/>
      <c r="O63" s="70"/>
      <c r="P63" s="66"/>
      <c r="R63" s="37"/>
      <c r="S63" s="37"/>
      <c r="T63" s="37"/>
      <c r="U63" s="61"/>
      <c r="V63" s="72"/>
      <c r="W63" s="61"/>
      <c r="X63" s="61"/>
      <c r="Y63" s="61"/>
      <c r="AA63" s="49"/>
      <c r="AB63" s="50"/>
      <c r="AC63" s="51"/>
      <c r="AD63" s="51"/>
      <c r="AE63" s="1"/>
      <c r="AF63" s="51"/>
      <c r="AI63" s="1" t="e">
        <f t="shared" si="18"/>
        <v>#N/A</v>
      </c>
      <c r="AJ63" s="11" t="e">
        <f t="shared" si="19"/>
        <v>#N/A</v>
      </c>
    </row>
    <row r="64" spans="2:36" x14ac:dyDescent="0.3">
      <c r="B64" s="46"/>
      <c r="D64" s="37"/>
      <c r="E64" s="37"/>
      <c r="F64" s="38"/>
      <c r="G64" s="38"/>
      <c r="H64" s="46"/>
      <c r="I64" s="65"/>
      <c r="J64" s="41"/>
      <c r="K64" s="41"/>
      <c r="L64" s="68"/>
      <c r="M64" s="68"/>
      <c r="N64" s="69"/>
      <c r="O64" s="70"/>
      <c r="P64" s="66"/>
      <c r="R64" s="37"/>
      <c r="S64" s="37"/>
      <c r="T64" s="37"/>
      <c r="U64" s="61"/>
      <c r="V64" s="67"/>
      <c r="W64" s="61"/>
      <c r="X64" s="61"/>
      <c r="Y64" s="61"/>
      <c r="AA64" s="49"/>
      <c r="AB64" s="50"/>
      <c r="AC64" s="51"/>
      <c r="AD64" s="51"/>
      <c r="AE64" s="1"/>
      <c r="AF64" s="51"/>
      <c r="AI64" s="1" t="e">
        <f t="shared" si="18"/>
        <v>#N/A</v>
      </c>
      <c r="AJ64" s="11" t="e">
        <f t="shared" si="19"/>
        <v>#N/A</v>
      </c>
    </row>
    <row r="65" spans="2:36" x14ac:dyDescent="0.3">
      <c r="B65" s="46"/>
      <c r="D65" s="37"/>
      <c r="E65" s="37"/>
      <c r="F65" s="38"/>
      <c r="G65" s="38"/>
      <c r="H65" s="46"/>
      <c r="I65" s="65"/>
      <c r="J65" s="41"/>
      <c r="K65" s="41"/>
      <c r="L65" s="68"/>
      <c r="M65" s="68"/>
      <c r="N65" s="69"/>
      <c r="O65" s="70"/>
      <c r="P65" s="66"/>
      <c r="R65" s="37"/>
      <c r="S65" s="37"/>
      <c r="T65" s="37"/>
      <c r="U65" s="61"/>
      <c r="V65" s="72"/>
      <c r="W65" s="61"/>
      <c r="X65" s="61"/>
      <c r="Y65" s="61"/>
      <c r="AA65" s="49"/>
      <c r="AB65" s="50"/>
      <c r="AC65" s="51"/>
      <c r="AD65" s="51"/>
      <c r="AE65" s="1"/>
      <c r="AF65" s="51"/>
      <c r="AI65" s="1" t="e">
        <f t="shared" si="18"/>
        <v>#N/A</v>
      </c>
      <c r="AJ65" s="11" t="e">
        <f t="shared" si="19"/>
        <v>#N/A</v>
      </c>
    </row>
    <row r="66" spans="2:36" x14ac:dyDescent="0.3">
      <c r="B66" s="46"/>
      <c r="D66" s="37"/>
      <c r="E66" s="37"/>
      <c r="F66" s="38"/>
      <c r="G66" s="38"/>
      <c r="H66" s="46"/>
      <c r="I66" s="65"/>
      <c r="J66" s="41"/>
      <c r="K66" s="41"/>
      <c r="L66" s="68"/>
      <c r="M66" s="68"/>
      <c r="N66" s="69"/>
      <c r="O66" s="70"/>
      <c r="P66" s="66"/>
      <c r="R66" s="37"/>
      <c r="S66" s="37"/>
      <c r="T66" s="37"/>
      <c r="U66" s="61"/>
      <c r="V66" s="67"/>
      <c r="W66" s="61"/>
      <c r="X66" s="61"/>
      <c r="Y66" s="61"/>
      <c r="AA66" s="49"/>
      <c r="AB66" s="50"/>
      <c r="AC66" s="51"/>
      <c r="AD66" s="51"/>
      <c r="AE66" s="1"/>
      <c r="AF66" s="51"/>
      <c r="AI66" s="1" t="e">
        <f t="shared" si="18"/>
        <v>#N/A</v>
      </c>
      <c r="AJ66" s="11" t="e">
        <f t="shared" si="19"/>
        <v>#N/A</v>
      </c>
    </row>
    <row r="67" spans="2:36" x14ac:dyDescent="0.3">
      <c r="B67" s="46"/>
      <c r="D67" s="37"/>
      <c r="E67" s="37"/>
      <c r="F67" s="38"/>
      <c r="G67" s="38"/>
      <c r="H67" s="46"/>
      <c r="I67" s="65"/>
      <c r="J67" s="41"/>
      <c r="K67" s="41"/>
      <c r="L67" s="68"/>
      <c r="M67" s="68"/>
      <c r="N67" s="69"/>
      <c r="O67" s="70"/>
      <c r="P67" s="66"/>
      <c r="R67" s="37"/>
      <c r="S67" s="37"/>
      <c r="T67" s="37"/>
      <c r="U67" s="61"/>
      <c r="V67" s="67"/>
      <c r="W67" s="61"/>
      <c r="X67" s="61"/>
      <c r="Y67" s="61"/>
      <c r="AA67" s="49"/>
      <c r="AB67" s="50"/>
      <c r="AC67" s="51"/>
      <c r="AD67" s="51"/>
      <c r="AE67" s="1"/>
      <c r="AF67" s="51"/>
      <c r="AI67" s="1" t="e">
        <f t="shared" si="18"/>
        <v>#N/A</v>
      </c>
      <c r="AJ67" s="11" t="e">
        <f t="shared" si="19"/>
        <v>#N/A</v>
      </c>
    </row>
    <row r="68" spans="2:36" x14ac:dyDescent="0.3">
      <c r="B68" s="46"/>
      <c r="D68" s="37"/>
      <c r="E68" s="37"/>
      <c r="F68" s="38"/>
      <c r="G68" s="38"/>
      <c r="H68" s="46"/>
      <c r="I68" s="39"/>
      <c r="J68" s="40"/>
      <c r="K68" s="41"/>
      <c r="L68" s="68"/>
      <c r="M68" s="68"/>
      <c r="N68" s="69"/>
      <c r="O68" s="70"/>
      <c r="P68" s="66"/>
      <c r="R68" s="37"/>
      <c r="S68" s="37"/>
      <c r="T68" s="37"/>
      <c r="U68" s="61"/>
      <c r="V68" s="72"/>
      <c r="W68" s="61"/>
      <c r="X68" s="61"/>
      <c r="Y68" s="61"/>
      <c r="AA68" s="49"/>
      <c r="AB68" s="50"/>
      <c r="AC68" s="51"/>
      <c r="AD68" s="51"/>
      <c r="AE68" s="1"/>
      <c r="AF68" s="51"/>
      <c r="AI68" s="1" t="e">
        <f t="shared" si="18"/>
        <v>#N/A</v>
      </c>
      <c r="AJ68" s="11" t="e">
        <f t="shared" si="19"/>
        <v>#N/A</v>
      </c>
    </row>
    <row r="69" spans="2:36" x14ac:dyDescent="0.3">
      <c r="B69" s="46"/>
      <c r="D69" s="37"/>
      <c r="E69" s="37"/>
      <c r="F69" s="38"/>
      <c r="G69" s="38"/>
      <c r="H69" s="46"/>
      <c r="I69" s="65"/>
      <c r="J69" s="41"/>
      <c r="K69" s="41"/>
      <c r="L69" s="68"/>
      <c r="M69" s="68"/>
      <c r="N69" s="69"/>
      <c r="O69" s="70"/>
      <c r="P69" s="66"/>
      <c r="R69" s="37"/>
      <c r="S69" s="37"/>
      <c r="T69" s="37"/>
      <c r="U69" s="61"/>
      <c r="V69" s="72"/>
      <c r="W69" s="61"/>
      <c r="X69" s="61"/>
      <c r="Y69" s="61"/>
      <c r="AA69" s="49"/>
      <c r="AB69" s="50"/>
      <c r="AC69" s="51"/>
      <c r="AD69" s="51"/>
      <c r="AE69" s="1"/>
      <c r="AF69" s="51"/>
      <c r="AI69" s="1" t="e">
        <f t="shared" si="18"/>
        <v>#N/A</v>
      </c>
      <c r="AJ69" s="11" t="e">
        <f t="shared" si="19"/>
        <v>#N/A</v>
      </c>
    </row>
    <row r="70" spans="2:36" x14ac:dyDescent="0.3">
      <c r="B70" s="46"/>
      <c r="C70" s="55"/>
      <c r="D70" s="41"/>
      <c r="E70" s="74"/>
      <c r="F70" s="38"/>
      <c r="G70" s="38"/>
      <c r="H70" s="46"/>
      <c r="I70" s="65"/>
      <c r="J70" s="41"/>
      <c r="K70" s="41"/>
      <c r="L70" s="68"/>
      <c r="M70" s="68"/>
      <c r="N70" s="69"/>
      <c r="O70" s="70"/>
      <c r="P70" s="66"/>
      <c r="R70" s="37"/>
      <c r="S70" s="37"/>
      <c r="T70" s="37"/>
      <c r="U70" s="61"/>
      <c r="V70" s="72"/>
      <c r="W70" s="61"/>
      <c r="X70" s="61"/>
      <c r="Y70" s="61"/>
      <c r="AA70" s="49"/>
      <c r="AB70" s="50"/>
      <c r="AC70" s="51"/>
      <c r="AD70" s="51"/>
      <c r="AE70" s="1"/>
      <c r="AF70" s="51"/>
      <c r="AI70" s="1" t="e">
        <f t="shared" si="18"/>
        <v>#N/A</v>
      </c>
      <c r="AJ70" s="11" t="e">
        <f t="shared" si="19"/>
        <v>#N/A</v>
      </c>
    </row>
    <row r="71" spans="2:36" x14ac:dyDescent="0.3">
      <c r="B71" s="46"/>
      <c r="C71" s="55"/>
      <c r="D71" s="41"/>
      <c r="E71" s="74"/>
      <c r="F71" s="38"/>
      <c r="G71" s="38"/>
      <c r="H71" s="46"/>
      <c r="I71" s="65"/>
      <c r="J71" s="75"/>
      <c r="K71" s="75"/>
      <c r="L71" s="68"/>
      <c r="M71" s="68"/>
      <c r="N71" s="69"/>
      <c r="O71" s="70"/>
      <c r="P71" s="66"/>
      <c r="R71" s="37"/>
      <c r="S71" s="37"/>
      <c r="T71" s="37"/>
      <c r="U71" s="61"/>
      <c r="V71" s="67"/>
      <c r="W71" s="61"/>
      <c r="X71" s="61"/>
      <c r="Y71" s="61"/>
      <c r="AA71" s="49"/>
      <c r="AB71" s="50"/>
      <c r="AC71" s="51"/>
      <c r="AD71" s="51"/>
      <c r="AE71" s="1"/>
      <c r="AF71" s="51"/>
    </row>
    <row r="72" spans="2:36" x14ac:dyDescent="0.3">
      <c r="B72" s="46"/>
      <c r="C72" s="55"/>
      <c r="D72" s="41"/>
      <c r="E72" s="74"/>
      <c r="F72" s="38"/>
      <c r="G72" s="38"/>
      <c r="H72" s="46"/>
      <c r="I72" s="65"/>
      <c r="J72" s="75"/>
      <c r="K72" s="75"/>
      <c r="L72" s="68"/>
      <c r="M72" s="68"/>
      <c r="N72" s="69"/>
      <c r="O72" s="70"/>
      <c r="P72" s="66"/>
      <c r="R72" s="37"/>
      <c r="S72" s="37"/>
      <c r="T72" s="37"/>
      <c r="U72" s="61"/>
      <c r="V72" s="72"/>
      <c r="W72" s="61"/>
      <c r="X72" s="61"/>
      <c r="Y72" s="61"/>
      <c r="AA72" s="49"/>
      <c r="AB72" s="50"/>
      <c r="AC72" s="51"/>
      <c r="AD72" s="51"/>
      <c r="AE72" s="1"/>
      <c r="AF72" s="51"/>
    </row>
    <row r="73" spans="2:36" x14ac:dyDescent="0.3">
      <c r="B73" s="46"/>
      <c r="C73" s="55"/>
      <c r="D73" s="41"/>
      <c r="E73" s="74"/>
      <c r="F73" s="38"/>
      <c r="G73" s="38"/>
      <c r="H73" s="46"/>
      <c r="I73" s="65"/>
      <c r="J73" s="75"/>
      <c r="K73" s="75"/>
      <c r="L73" s="68"/>
      <c r="M73" s="68"/>
      <c r="N73" s="69"/>
      <c r="O73" s="70"/>
      <c r="P73" s="66"/>
      <c r="R73" s="37"/>
      <c r="S73" s="37"/>
      <c r="T73" s="37"/>
      <c r="U73" s="61"/>
      <c r="V73" s="72"/>
      <c r="W73" s="61"/>
      <c r="X73" s="61"/>
      <c r="Y73" s="61"/>
      <c r="AA73" s="49"/>
      <c r="AB73" s="50"/>
      <c r="AC73" s="51"/>
      <c r="AD73" s="51"/>
      <c r="AE73" s="1"/>
      <c r="AF73" s="51"/>
    </row>
    <row r="74" spans="2:36" x14ac:dyDescent="0.3">
      <c r="B74" s="46"/>
      <c r="C74" s="36"/>
      <c r="D74" s="40"/>
      <c r="E74" s="74"/>
      <c r="F74" s="38"/>
      <c r="G74" s="38"/>
      <c r="H74" s="46"/>
      <c r="I74" s="65"/>
      <c r="J74" s="75"/>
      <c r="K74" s="75"/>
      <c r="L74" s="68"/>
      <c r="M74" s="68"/>
      <c r="N74" s="69"/>
      <c r="O74" s="70"/>
      <c r="P74" s="66"/>
      <c r="R74" s="37"/>
      <c r="S74" s="37"/>
      <c r="T74" s="37"/>
      <c r="U74" s="61"/>
      <c r="V74" s="72"/>
      <c r="W74" s="61"/>
      <c r="X74" s="61"/>
      <c r="Y74" s="61"/>
      <c r="AA74" s="49"/>
      <c r="AB74" s="50"/>
      <c r="AC74" s="51"/>
      <c r="AD74" s="51"/>
      <c r="AE74" s="1"/>
      <c r="AF74" s="51"/>
    </row>
    <row r="75" spans="2:36" x14ac:dyDescent="0.3">
      <c r="B75" s="46"/>
      <c r="C75" s="55"/>
      <c r="D75" s="41"/>
      <c r="E75" s="74"/>
      <c r="F75" s="38"/>
      <c r="G75" s="38"/>
      <c r="H75" s="46"/>
      <c r="I75" s="65"/>
      <c r="J75" s="75"/>
      <c r="K75" s="75"/>
      <c r="L75" s="68"/>
      <c r="M75" s="68"/>
      <c r="N75" s="69"/>
      <c r="O75" s="70"/>
      <c r="P75" s="66"/>
      <c r="R75" s="37"/>
      <c r="S75" s="37"/>
      <c r="T75" s="37"/>
      <c r="U75" s="61"/>
      <c r="V75" s="72"/>
      <c r="W75" s="61"/>
      <c r="X75" s="61"/>
      <c r="Y75" s="61"/>
      <c r="AA75" s="49"/>
      <c r="AB75" s="50"/>
      <c r="AC75" s="51"/>
      <c r="AD75" s="51"/>
      <c r="AE75" s="1"/>
      <c r="AF75" s="51"/>
    </row>
    <row r="76" spans="2:36" x14ac:dyDescent="0.3">
      <c r="B76" s="46"/>
      <c r="C76" s="55"/>
      <c r="D76" s="41"/>
      <c r="E76" s="74"/>
      <c r="F76" s="38"/>
      <c r="G76" s="38"/>
      <c r="H76" s="46"/>
      <c r="I76" s="65"/>
      <c r="J76" s="75"/>
      <c r="K76" s="75"/>
      <c r="L76" s="68"/>
      <c r="M76" s="68"/>
      <c r="N76" s="69"/>
      <c r="O76" s="70"/>
      <c r="P76" s="66"/>
      <c r="R76" s="37"/>
      <c r="S76" s="37"/>
      <c r="T76" s="37"/>
      <c r="U76" s="61"/>
      <c r="V76" s="72"/>
      <c r="W76" s="61"/>
      <c r="X76" s="61"/>
      <c r="Y76" s="61"/>
      <c r="AA76" s="49"/>
      <c r="AB76" s="50"/>
      <c r="AC76" s="51"/>
      <c r="AD76" s="51"/>
      <c r="AE76" s="1"/>
      <c r="AF76" s="51"/>
    </row>
    <row r="77" spans="2:36" x14ac:dyDescent="0.3">
      <c r="B77" s="46"/>
      <c r="C77" s="55"/>
      <c r="D77" s="41"/>
      <c r="E77" s="74"/>
      <c r="F77" s="38"/>
      <c r="G77" s="38"/>
      <c r="H77" s="46"/>
      <c r="I77" s="65"/>
      <c r="J77" s="75"/>
      <c r="K77" s="75"/>
      <c r="L77" s="68"/>
      <c r="M77" s="68"/>
      <c r="N77" s="69"/>
      <c r="O77" s="70"/>
      <c r="P77" s="66"/>
      <c r="R77" s="37"/>
      <c r="S77" s="37"/>
      <c r="T77" s="37"/>
      <c r="U77" s="61"/>
      <c r="V77" s="72"/>
      <c r="W77" s="61"/>
      <c r="X77" s="61"/>
      <c r="Y77" s="61"/>
      <c r="AA77" s="49"/>
      <c r="AB77" s="50"/>
      <c r="AC77" s="51"/>
      <c r="AD77" s="51"/>
      <c r="AE77" s="1"/>
      <c r="AF77" s="51"/>
    </row>
    <row r="78" spans="2:36" x14ac:dyDescent="0.3">
      <c r="B78" s="46"/>
      <c r="C78" s="55"/>
      <c r="D78" s="41"/>
      <c r="E78" s="74"/>
      <c r="F78" s="38"/>
      <c r="G78" s="38"/>
      <c r="H78" s="46"/>
      <c r="I78" s="65"/>
      <c r="J78" s="75"/>
      <c r="K78" s="75"/>
      <c r="L78" s="68"/>
      <c r="M78" s="68"/>
      <c r="N78" s="69"/>
      <c r="O78" s="70"/>
      <c r="P78" s="66"/>
      <c r="R78" s="37"/>
      <c r="S78" s="37"/>
      <c r="T78" s="37"/>
      <c r="U78" s="61"/>
      <c r="V78" s="72"/>
      <c r="W78" s="61"/>
      <c r="X78" s="61"/>
      <c r="Y78" s="61"/>
      <c r="AA78" s="49"/>
      <c r="AB78" s="50"/>
      <c r="AC78" s="51"/>
      <c r="AD78" s="51"/>
      <c r="AE78" s="1"/>
      <c r="AF78" s="51"/>
    </row>
    <row r="79" spans="2:36" x14ac:dyDescent="0.3">
      <c r="B79" s="46"/>
      <c r="C79" s="55"/>
      <c r="D79" s="41"/>
      <c r="E79" s="74"/>
      <c r="F79" s="38"/>
      <c r="G79" s="38"/>
      <c r="H79" s="46"/>
      <c r="I79" s="65"/>
      <c r="J79" s="75"/>
      <c r="K79" s="75"/>
      <c r="L79" s="68"/>
      <c r="M79" s="68"/>
      <c r="N79" s="69"/>
      <c r="O79" s="70"/>
      <c r="P79" s="66"/>
      <c r="R79" s="37"/>
      <c r="S79" s="37"/>
      <c r="T79" s="37"/>
      <c r="U79" s="61"/>
      <c r="V79" s="72"/>
      <c r="W79" s="61"/>
      <c r="X79" s="61"/>
      <c r="Y79" s="61"/>
      <c r="AA79" s="49"/>
      <c r="AB79" s="50"/>
      <c r="AC79" s="51"/>
      <c r="AD79" s="51"/>
      <c r="AE79" s="1"/>
      <c r="AF79" s="51"/>
    </row>
    <row r="80" spans="2:36" x14ac:dyDescent="0.3">
      <c r="B80" s="46"/>
      <c r="C80" s="55"/>
      <c r="D80" s="41"/>
      <c r="E80" s="74"/>
      <c r="F80" s="38"/>
      <c r="G80" s="38"/>
      <c r="H80" s="46"/>
      <c r="I80" s="65"/>
      <c r="J80" s="75"/>
      <c r="K80" s="75"/>
      <c r="L80" s="68"/>
      <c r="M80" s="68"/>
      <c r="N80" s="69"/>
      <c r="O80" s="70"/>
      <c r="P80" s="66"/>
      <c r="R80" s="37"/>
      <c r="S80" s="37"/>
      <c r="T80" s="37"/>
      <c r="U80" s="61"/>
      <c r="V80" s="72"/>
      <c r="W80" s="61"/>
      <c r="X80" s="61"/>
      <c r="Y80" s="61"/>
      <c r="AA80" s="49"/>
      <c r="AB80" s="50"/>
      <c r="AC80" s="51"/>
      <c r="AD80" s="51"/>
      <c r="AE80" s="1"/>
      <c r="AF80" s="51"/>
    </row>
    <row r="81" spans="2:32" x14ac:dyDescent="0.3">
      <c r="B81" s="46"/>
      <c r="C81" s="36"/>
      <c r="D81" s="40"/>
      <c r="E81" s="74"/>
      <c r="F81" s="38"/>
      <c r="G81" s="38"/>
      <c r="H81" s="46"/>
      <c r="I81" s="65"/>
      <c r="J81" s="75"/>
      <c r="K81" s="75"/>
      <c r="L81" s="68"/>
      <c r="M81" s="68"/>
      <c r="N81" s="69"/>
      <c r="O81" s="70"/>
      <c r="P81" s="66"/>
      <c r="R81" s="37"/>
      <c r="S81" s="37"/>
      <c r="T81" s="37"/>
      <c r="U81" s="61"/>
      <c r="V81" s="72"/>
      <c r="W81" s="61"/>
      <c r="X81" s="61"/>
      <c r="Y81" s="61"/>
      <c r="AA81" s="49"/>
      <c r="AB81" s="50"/>
      <c r="AC81" s="51"/>
      <c r="AD81" s="51"/>
      <c r="AE81" s="1"/>
      <c r="AF81" s="51"/>
    </row>
    <row r="82" spans="2:32" x14ac:dyDescent="0.3">
      <c r="B82" s="46"/>
      <c r="C82" s="36"/>
      <c r="D82" s="40"/>
      <c r="E82" s="74"/>
      <c r="F82" s="38"/>
      <c r="G82" s="38"/>
      <c r="H82" s="46"/>
      <c r="I82" s="65"/>
      <c r="J82" s="75"/>
      <c r="K82" s="75"/>
      <c r="L82" s="68"/>
      <c r="M82" s="68"/>
      <c r="N82" s="69"/>
      <c r="O82" s="70"/>
      <c r="P82" s="66"/>
      <c r="R82" s="37"/>
      <c r="S82" s="37"/>
      <c r="T82" s="37"/>
      <c r="U82" s="61"/>
      <c r="V82" s="72"/>
      <c r="W82" s="61"/>
      <c r="X82" s="61"/>
      <c r="Y82" s="61"/>
      <c r="AA82" s="49"/>
      <c r="AB82" s="50"/>
      <c r="AC82" s="51"/>
      <c r="AD82" s="51"/>
      <c r="AE82" s="1"/>
      <c r="AF82" s="51"/>
    </row>
    <row r="83" spans="2:32" x14ac:dyDescent="0.3">
      <c r="B83" s="46"/>
      <c r="C83" s="55"/>
      <c r="D83" s="41"/>
      <c r="E83" s="74"/>
      <c r="F83" s="38"/>
      <c r="G83" s="38"/>
      <c r="H83" s="46"/>
      <c r="I83" s="65"/>
      <c r="J83" s="75"/>
      <c r="K83" s="75"/>
      <c r="L83" s="68"/>
      <c r="M83" s="68"/>
      <c r="N83" s="69"/>
      <c r="O83" s="70"/>
      <c r="P83" s="66"/>
      <c r="R83" s="37"/>
      <c r="S83" s="37"/>
      <c r="T83" s="37"/>
      <c r="U83" s="61"/>
      <c r="V83" s="72"/>
      <c r="W83" s="61"/>
      <c r="X83" s="61"/>
      <c r="Y83" s="61"/>
      <c r="AA83" s="49"/>
      <c r="AB83" s="50"/>
      <c r="AC83" s="51"/>
      <c r="AD83" s="51"/>
      <c r="AE83" s="1"/>
      <c r="AF83" s="51"/>
    </row>
    <row r="84" spans="2:32" x14ac:dyDescent="0.3">
      <c r="B84" s="46"/>
      <c r="C84" s="55"/>
      <c r="D84" s="41"/>
      <c r="E84" s="74"/>
      <c r="F84" s="38"/>
      <c r="G84" s="38"/>
      <c r="H84" s="46"/>
      <c r="I84" s="65"/>
      <c r="J84" s="75"/>
      <c r="K84" s="75"/>
      <c r="L84" s="68"/>
      <c r="M84" s="68"/>
      <c r="N84" s="69"/>
      <c r="O84" s="70"/>
      <c r="P84" s="66"/>
      <c r="R84" s="37"/>
      <c r="S84" s="37"/>
      <c r="T84" s="37"/>
      <c r="U84" s="61"/>
      <c r="V84" s="67"/>
      <c r="W84" s="61"/>
      <c r="X84" s="61"/>
      <c r="Y84" s="61"/>
      <c r="AA84" s="49"/>
      <c r="AB84" s="50"/>
      <c r="AC84" s="51"/>
      <c r="AD84" s="51"/>
      <c r="AE84" s="1"/>
      <c r="AF84" s="51"/>
    </row>
    <row r="85" spans="2:32" x14ac:dyDescent="0.3">
      <c r="B85" s="46"/>
      <c r="C85" s="55"/>
      <c r="D85" s="41"/>
      <c r="E85" s="74"/>
      <c r="F85" s="38"/>
      <c r="G85" s="38"/>
      <c r="H85" s="46"/>
      <c r="I85" s="65"/>
      <c r="J85" s="75"/>
      <c r="K85" s="75"/>
      <c r="L85" s="68"/>
      <c r="M85" s="68"/>
      <c r="N85" s="69"/>
      <c r="O85" s="70"/>
      <c r="P85" s="66"/>
      <c r="R85" s="37"/>
      <c r="S85" s="37"/>
      <c r="T85" s="37"/>
      <c r="U85" s="61"/>
      <c r="V85" s="67"/>
      <c r="W85" s="61"/>
      <c r="X85" s="61"/>
      <c r="Y85" s="61"/>
      <c r="AA85" s="49"/>
      <c r="AB85" s="50"/>
      <c r="AC85" s="51"/>
      <c r="AD85" s="51"/>
      <c r="AE85" s="1"/>
      <c r="AF85" s="51"/>
    </row>
    <row r="86" spans="2:32" x14ac:dyDescent="0.3">
      <c r="B86" s="46"/>
      <c r="C86" s="55"/>
      <c r="D86" s="41"/>
      <c r="E86" s="74"/>
      <c r="F86" s="38"/>
      <c r="G86" s="38"/>
      <c r="H86" s="46"/>
      <c r="I86" s="65"/>
      <c r="J86" s="75"/>
      <c r="K86" s="75"/>
      <c r="L86" s="68"/>
      <c r="M86" s="68"/>
      <c r="N86" s="69"/>
      <c r="O86" s="70"/>
      <c r="P86" s="66"/>
      <c r="R86" s="37"/>
      <c r="S86" s="37"/>
      <c r="T86" s="37"/>
      <c r="U86" s="61"/>
      <c r="V86" s="72"/>
      <c r="W86" s="61"/>
      <c r="X86" s="61"/>
      <c r="Y86" s="61"/>
      <c r="AA86" s="49"/>
      <c r="AB86" s="50"/>
      <c r="AC86" s="51"/>
      <c r="AD86" s="51"/>
      <c r="AE86" s="1"/>
      <c r="AF86" s="51"/>
    </row>
    <row r="87" spans="2:32" x14ac:dyDescent="0.3">
      <c r="B87" s="46"/>
      <c r="C87" s="55"/>
      <c r="D87" s="41"/>
      <c r="E87" s="74"/>
      <c r="F87" s="38"/>
      <c r="G87" s="38"/>
      <c r="H87" s="46"/>
      <c r="I87" s="65"/>
      <c r="J87" s="75"/>
      <c r="K87" s="75"/>
      <c r="L87" s="68"/>
      <c r="M87" s="68"/>
      <c r="N87" s="69"/>
      <c r="O87" s="70"/>
      <c r="P87" s="66"/>
      <c r="R87" s="37"/>
      <c r="S87" s="37"/>
      <c r="T87" s="37"/>
      <c r="U87" s="61"/>
      <c r="V87" s="72"/>
      <c r="W87" s="61"/>
      <c r="X87" s="61"/>
      <c r="Y87" s="61"/>
      <c r="AA87" s="49"/>
      <c r="AB87" s="50"/>
      <c r="AC87" s="51"/>
      <c r="AD87" s="51"/>
      <c r="AE87" s="1"/>
      <c r="AF87" s="51"/>
    </row>
    <row r="88" spans="2:32" x14ac:dyDescent="0.3">
      <c r="B88" s="46"/>
      <c r="C88" s="55"/>
      <c r="D88" s="41"/>
      <c r="E88" s="74"/>
      <c r="F88" s="38"/>
      <c r="G88" s="38"/>
      <c r="H88" s="46"/>
      <c r="I88" s="65"/>
      <c r="J88" s="75"/>
      <c r="K88" s="75"/>
      <c r="L88" s="68"/>
      <c r="M88" s="68"/>
      <c r="N88" s="69"/>
      <c r="O88" s="70"/>
      <c r="P88" s="66"/>
      <c r="R88" s="37"/>
      <c r="S88" s="37"/>
      <c r="T88" s="37"/>
      <c r="U88" s="61"/>
      <c r="V88" s="72"/>
      <c r="W88" s="61"/>
      <c r="X88" s="61"/>
      <c r="Y88" s="61"/>
      <c r="AA88" s="49"/>
      <c r="AB88" s="50"/>
      <c r="AC88" s="51"/>
      <c r="AD88" s="51"/>
      <c r="AE88" s="1"/>
      <c r="AF88" s="51"/>
    </row>
    <row r="89" spans="2:32" x14ac:dyDescent="0.3">
      <c r="B89" s="46"/>
      <c r="C89" s="55"/>
      <c r="D89" s="41"/>
      <c r="E89" s="74"/>
      <c r="F89" s="38"/>
      <c r="G89" s="38"/>
      <c r="H89" s="46"/>
      <c r="I89" s="65"/>
      <c r="J89" s="75"/>
      <c r="K89" s="75"/>
      <c r="L89" s="68"/>
      <c r="M89" s="68"/>
      <c r="N89" s="69"/>
      <c r="O89" s="70"/>
      <c r="P89" s="66"/>
      <c r="R89" s="37"/>
      <c r="S89" s="37"/>
      <c r="T89" s="37"/>
      <c r="U89" s="61"/>
      <c r="V89" s="72"/>
      <c r="W89" s="61"/>
      <c r="X89" s="61"/>
      <c r="Y89" s="61"/>
      <c r="AA89" s="49"/>
      <c r="AB89" s="50"/>
      <c r="AC89" s="51"/>
      <c r="AD89" s="51"/>
      <c r="AE89" s="1"/>
      <c r="AF89" s="51"/>
    </row>
    <row r="90" spans="2:32" x14ac:dyDescent="0.3">
      <c r="B90" s="46"/>
      <c r="C90" s="55"/>
      <c r="D90" s="41"/>
      <c r="E90" s="74"/>
      <c r="F90" s="38"/>
      <c r="G90" s="38"/>
      <c r="H90" s="46"/>
      <c r="I90" s="65"/>
      <c r="J90" s="75"/>
      <c r="K90" s="75"/>
      <c r="L90" s="68"/>
      <c r="M90" s="68"/>
      <c r="N90" s="69"/>
      <c r="O90" s="70"/>
      <c r="P90" s="66"/>
      <c r="R90" s="37"/>
      <c r="S90" s="37"/>
      <c r="T90" s="37"/>
      <c r="U90" s="61"/>
      <c r="V90" s="72"/>
      <c r="W90" s="61"/>
      <c r="X90" s="61"/>
      <c r="Y90" s="61"/>
      <c r="AA90" s="49"/>
      <c r="AB90" s="50"/>
      <c r="AC90" s="51"/>
      <c r="AD90" s="51"/>
      <c r="AE90" s="1"/>
      <c r="AF90" s="51"/>
    </row>
    <row r="91" spans="2:32" x14ac:dyDescent="0.3">
      <c r="B91" s="46"/>
      <c r="C91" s="55"/>
      <c r="D91" s="41"/>
      <c r="E91" s="74"/>
      <c r="F91" s="38"/>
      <c r="G91" s="38"/>
      <c r="H91" s="46"/>
      <c r="I91" s="65"/>
      <c r="J91" s="75"/>
      <c r="K91" s="75"/>
      <c r="L91" s="68"/>
      <c r="M91" s="68"/>
      <c r="N91" s="69"/>
      <c r="O91" s="70"/>
      <c r="P91" s="66"/>
      <c r="R91" s="37"/>
      <c r="S91" s="37"/>
      <c r="T91" s="37"/>
      <c r="U91" s="61"/>
      <c r="V91" s="67"/>
      <c r="W91" s="61"/>
      <c r="X91" s="61"/>
      <c r="Y91" s="61"/>
      <c r="AA91" s="49"/>
      <c r="AB91" s="50"/>
      <c r="AC91" s="51"/>
      <c r="AD91" s="51"/>
      <c r="AE91" s="1"/>
      <c r="AF91" s="51"/>
    </row>
    <row r="92" spans="2:32" x14ac:dyDescent="0.3">
      <c r="B92" s="46"/>
      <c r="C92" s="55"/>
      <c r="D92" s="41"/>
      <c r="E92" s="74"/>
      <c r="F92" s="38"/>
      <c r="G92" s="38"/>
      <c r="H92" s="46"/>
      <c r="I92" s="65"/>
      <c r="J92" s="75"/>
      <c r="K92" s="75"/>
      <c r="L92" s="68"/>
      <c r="M92" s="68"/>
      <c r="N92" s="69"/>
      <c r="O92" s="70"/>
      <c r="P92" s="66"/>
      <c r="R92" s="37"/>
      <c r="S92" s="37"/>
      <c r="T92" s="37"/>
      <c r="U92" s="61"/>
      <c r="V92" s="72"/>
      <c r="W92" s="61"/>
      <c r="X92" s="61"/>
      <c r="Y92" s="61"/>
      <c r="AA92" s="49"/>
      <c r="AB92" s="50"/>
      <c r="AC92" s="51"/>
      <c r="AD92" s="51"/>
      <c r="AE92" s="1"/>
      <c r="AF92" s="51"/>
    </row>
    <row r="93" spans="2:32" x14ac:dyDescent="0.3">
      <c r="B93" s="46"/>
      <c r="C93" s="55"/>
      <c r="D93" s="41"/>
      <c r="E93" s="74"/>
      <c r="F93" s="38"/>
      <c r="G93" s="38"/>
      <c r="H93" s="46"/>
      <c r="I93" s="65"/>
      <c r="J93" s="75"/>
      <c r="K93" s="75"/>
      <c r="L93" s="68"/>
      <c r="M93" s="68"/>
      <c r="N93" s="69"/>
      <c r="O93" s="70"/>
      <c r="P93" s="66"/>
      <c r="R93" s="37"/>
      <c r="S93" s="37"/>
      <c r="T93" s="37"/>
      <c r="U93" s="61"/>
      <c r="V93" s="72"/>
      <c r="W93" s="61"/>
      <c r="X93" s="61"/>
      <c r="Y93" s="61"/>
      <c r="AA93" s="49"/>
      <c r="AB93" s="50"/>
      <c r="AC93" s="51"/>
      <c r="AD93" s="51"/>
      <c r="AE93" s="1"/>
      <c r="AF93" s="51"/>
    </row>
    <row r="94" spans="2:32" x14ac:dyDescent="0.3">
      <c r="B94" s="46"/>
      <c r="C94" s="55"/>
      <c r="D94" s="41"/>
      <c r="E94" s="74"/>
      <c r="F94" s="38"/>
      <c r="G94" s="38"/>
      <c r="H94" s="46"/>
      <c r="I94" s="65"/>
      <c r="J94" s="75"/>
      <c r="K94" s="75"/>
      <c r="L94" s="68"/>
      <c r="M94" s="68"/>
      <c r="N94" s="69"/>
      <c r="O94" s="70"/>
      <c r="P94" s="66"/>
      <c r="R94" s="37"/>
      <c r="S94" s="37"/>
      <c r="T94" s="37"/>
      <c r="U94" s="61"/>
      <c r="V94" s="72"/>
      <c r="W94" s="61"/>
      <c r="X94" s="61"/>
      <c r="Y94" s="61"/>
      <c r="AA94" s="49"/>
      <c r="AB94" s="50"/>
      <c r="AC94" s="51"/>
      <c r="AD94" s="51"/>
      <c r="AE94" s="1"/>
      <c r="AF94" s="51"/>
    </row>
    <row r="95" spans="2:32" x14ac:dyDescent="0.3">
      <c r="B95" s="46"/>
      <c r="C95" s="55"/>
      <c r="D95" s="41"/>
      <c r="E95" s="74"/>
      <c r="F95" s="38"/>
      <c r="G95" s="38"/>
      <c r="H95" s="46"/>
      <c r="I95" s="65"/>
      <c r="J95" s="75"/>
      <c r="K95" s="75"/>
      <c r="L95" s="68"/>
      <c r="M95" s="68"/>
      <c r="N95" s="69"/>
      <c r="O95" s="70"/>
      <c r="P95" s="66"/>
      <c r="R95" s="37"/>
      <c r="S95" s="37"/>
      <c r="T95" s="37"/>
      <c r="U95" s="61"/>
      <c r="V95" s="67"/>
      <c r="W95" s="61"/>
      <c r="X95" s="61"/>
      <c r="Y95" s="61"/>
      <c r="AA95" s="49"/>
      <c r="AB95" s="50"/>
      <c r="AC95" s="51"/>
      <c r="AD95" s="51"/>
      <c r="AE95" s="1"/>
      <c r="AF95" s="51"/>
    </row>
    <row r="96" spans="2:32" x14ac:dyDescent="0.3">
      <c r="B96" s="46"/>
      <c r="C96" s="55"/>
      <c r="D96" s="41"/>
      <c r="E96" s="74"/>
      <c r="F96" s="38"/>
      <c r="G96" s="38"/>
      <c r="H96" s="46"/>
      <c r="I96" s="65"/>
      <c r="J96" s="75"/>
      <c r="K96" s="75"/>
      <c r="L96" s="68"/>
      <c r="M96" s="68"/>
      <c r="N96" s="69"/>
      <c r="O96" s="70"/>
      <c r="P96" s="66"/>
      <c r="R96" s="37"/>
      <c r="S96" s="37"/>
      <c r="T96" s="37"/>
      <c r="U96" s="61"/>
      <c r="V96" s="76"/>
      <c r="W96" s="61"/>
      <c r="X96" s="61"/>
      <c r="Y96" s="61"/>
      <c r="AA96" s="49"/>
      <c r="AB96" s="50"/>
      <c r="AC96" s="51"/>
      <c r="AD96" s="51"/>
      <c r="AE96" s="1"/>
      <c r="AF96" s="51"/>
    </row>
    <row r="97" spans="2:32" x14ac:dyDescent="0.3">
      <c r="B97" s="46"/>
      <c r="C97" s="55"/>
      <c r="D97" s="41"/>
      <c r="E97" s="74"/>
      <c r="F97" s="38"/>
      <c r="G97" s="38"/>
      <c r="H97" s="46"/>
      <c r="I97" s="65"/>
      <c r="J97" s="75"/>
      <c r="K97" s="75"/>
      <c r="L97" s="68"/>
      <c r="M97" s="68"/>
      <c r="N97" s="69"/>
      <c r="O97" s="70"/>
      <c r="P97" s="66"/>
      <c r="R97" s="37"/>
      <c r="S97" s="37"/>
      <c r="T97" s="37"/>
      <c r="U97" s="61"/>
      <c r="V97" s="76"/>
      <c r="W97" s="61"/>
      <c r="X97" s="61"/>
      <c r="Y97" s="61"/>
      <c r="AA97" s="49"/>
      <c r="AB97" s="50"/>
      <c r="AC97" s="51"/>
      <c r="AD97" s="51"/>
      <c r="AE97" s="1"/>
      <c r="AF97" s="51"/>
    </row>
    <row r="98" spans="2:32" x14ac:dyDescent="0.3">
      <c r="B98" s="46"/>
      <c r="C98" s="55"/>
      <c r="D98" s="41"/>
      <c r="E98" s="74"/>
      <c r="F98" s="38"/>
      <c r="G98" s="38"/>
      <c r="H98" s="46"/>
      <c r="I98" s="65"/>
      <c r="J98" s="75"/>
      <c r="K98" s="75"/>
      <c r="L98" s="68"/>
      <c r="M98" s="68"/>
      <c r="N98" s="69"/>
      <c r="O98" s="70"/>
      <c r="P98" s="66"/>
      <c r="R98" s="37"/>
      <c r="S98" s="37"/>
      <c r="T98" s="37"/>
      <c r="U98" s="61"/>
      <c r="V98" s="76"/>
      <c r="W98" s="61"/>
      <c r="X98" s="61"/>
      <c r="Y98" s="61"/>
      <c r="AA98" s="49"/>
      <c r="AB98" s="50"/>
      <c r="AC98" s="51"/>
      <c r="AD98" s="51"/>
      <c r="AE98" s="1"/>
      <c r="AF98" s="51"/>
    </row>
    <row r="99" spans="2:32" x14ac:dyDescent="0.3">
      <c r="B99" s="46"/>
      <c r="C99" s="55"/>
      <c r="D99" s="41"/>
      <c r="E99" s="74"/>
      <c r="F99" s="38"/>
      <c r="G99" s="38"/>
      <c r="H99" s="46"/>
      <c r="I99" s="65"/>
      <c r="J99" s="75"/>
      <c r="K99" s="75"/>
      <c r="L99" s="68"/>
      <c r="M99" s="68"/>
      <c r="N99" s="69"/>
      <c r="O99" s="70"/>
      <c r="P99" s="66"/>
      <c r="R99" s="37"/>
      <c r="S99" s="37"/>
      <c r="T99" s="37"/>
      <c r="U99" s="61"/>
      <c r="V99" s="76"/>
      <c r="W99" s="61"/>
      <c r="X99" s="61"/>
      <c r="Y99" s="61"/>
      <c r="AA99" s="49"/>
      <c r="AB99" s="50"/>
      <c r="AC99" s="51"/>
      <c r="AD99" s="51"/>
      <c r="AE99" s="1"/>
      <c r="AF99" s="51"/>
    </row>
    <row r="100" spans="2:32" x14ac:dyDescent="0.3">
      <c r="B100" s="46"/>
      <c r="C100" s="36"/>
      <c r="D100" s="40"/>
      <c r="E100" s="74"/>
      <c r="F100" s="38"/>
      <c r="G100" s="38"/>
      <c r="H100" s="46"/>
      <c r="I100" s="65"/>
      <c r="J100" s="75"/>
      <c r="K100" s="75"/>
      <c r="L100" s="68"/>
      <c r="M100" s="68"/>
      <c r="N100" s="69"/>
      <c r="O100" s="70"/>
      <c r="P100" s="66"/>
      <c r="R100" s="37"/>
      <c r="S100" s="37"/>
      <c r="T100" s="37"/>
      <c r="U100" s="61"/>
      <c r="V100" s="76"/>
      <c r="W100" s="61"/>
      <c r="X100" s="61"/>
      <c r="Y100" s="61"/>
      <c r="AA100" s="49"/>
      <c r="AB100" s="50"/>
      <c r="AC100" s="51"/>
      <c r="AD100" s="51"/>
      <c r="AE100" s="1"/>
      <c r="AF100" s="51"/>
    </row>
    <row r="101" spans="2:32" x14ac:dyDescent="0.3">
      <c r="B101" s="46"/>
      <c r="C101" s="36"/>
      <c r="D101" s="40"/>
      <c r="E101" s="74"/>
      <c r="F101" s="38"/>
      <c r="G101" s="38"/>
      <c r="H101" s="46"/>
      <c r="I101" s="65"/>
      <c r="J101" s="75"/>
      <c r="K101" s="75"/>
      <c r="L101" s="68"/>
      <c r="M101" s="68"/>
      <c r="N101" s="69"/>
      <c r="O101" s="70"/>
      <c r="P101" s="66"/>
      <c r="R101" s="37"/>
      <c r="S101" s="37"/>
      <c r="T101" s="37"/>
      <c r="U101" s="61"/>
      <c r="V101" s="76"/>
      <c r="W101" s="61"/>
      <c r="X101" s="61"/>
      <c r="Y101" s="61"/>
      <c r="AA101" s="49"/>
      <c r="AB101" s="50"/>
      <c r="AC101" s="51"/>
      <c r="AD101" s="51"/>
      <c r="AE101" s="1"/>
      <c r="AF101" s="51"/>
    </row>
    <row r="102" spans="2:32" x14ac:dyDescent="0.3">
      <c r="B102" s="46"/>
      <c r="C102" s="55"/>
      <c r="D102" s="41"/>
      <c r="E102" s="74"/>
      <c r="F102" s="38"/>
      <c r="G102" s="38"/>
      <c r="H102" s="46"/>
      <c r="I102" s="65"/>
      <c r="J102" s="75"/>
      <c r="K102" s="75"/>
      <c r="L102" s="68"/>
      <c r="M102" s="68"/>
      <c r="N102" s="69"/>
      <c r="O102" s="70"/>
      <c r="P102" s="66"/>
      <c r="R102" s="37"/>
      <c r="S102" s="37"/>
      <c r="T102" s="37"/>
      <c r="U102" s="61"/>
      <c r="V102" s="76"/>
      <c r="W102" s="61"/>
      <c r="X102" s="61"/>
      <c r="Y102" s="61"/>
      <c r="AA102" s="49"/>
      <c r="AB102" s="50"/>
      <c r="AC102" s="51"/>
      <c r="AD102" s="51"/>
      <c r="AE102" s="1"/>
      <c r="AF102" s="51"/>
    </row>
    <row r="103" spans="2:32" x14ac:dyDescent="0.3">
      <c r="B103" s="46"/>
      <c r="C103" s="55"/>
      <c r="D103" s="41"/>
      <c r="E103" s="74"/>
      <c r="F103" s="38"/>
      <c r="G103" s="38"/>
      <c r="H103" s="46"/>
      <c r="I103" s="65"/>
      <c r="J103" s="75"/>
      <c r="K103" s="75"/>
      <c r="L103" s="68"/>
      <c r="M103" s="68"/>
      <c r="N103" s="69"/>
      <c r="O103" s="70"/>
      <c r="P103" s="66"/>
      <c r="R103" s="37"/>
      <c r="S103" s="37"/>
      <c r="T103" s="37"/>
      <c r="U103" s="61"/>
      <c r="V103" s="76"/>
      <c r="W103" s="61"/>
      <c r="X103" s="61"/>
      <c r="Y103" s="61"/>
      <c r="AA103" s="49"/>
      <c r="AB103" s="50"/>
      <c r="AC103" s="51"/>
      <c r="AD103" s="51"/>
      <c r="AE103" s="1"/>
      <c r="AF103" s="51"/>
    </row>
    <row r="104" spans="2:32" x14ac:dyDescent="0.3">
      <c r="B104" s="46"/>
      <c r="C104" s="55"/>
      <c r="D104" s="41"/>
      <c r="E104" s="74"/>
      <c r="F104" s="38"/>
      <c r="G104" s="38"/>
      <c r="H104" s="46"/>
      <c r="I104" s="65"/>
      <c r="J104" s="75"/>
      <c r="K104" s="75"/>
      <c r="L104" s="68"/>
      <c r="M104" s="68"/>
      <c r="N104" s="69"/>
      <c r="O104" s="70"/>
      <c r="P104" s="66"/>
      <c r="R104" s="37"/>
      <c r="S104" s="37"/>
      <c r="T104" s="37"/>
      <c r="U104" s="61"/>
      <c r="V104" s="76"/>
      <c r="W104" s="61"/>
      <c r="X104" s="61"/>
      <c r="Y104" s="61"/>
      <c r="AA104" s="49"/>
      <c r="AB104" s="50"/>
      <c r="AC104" s="51"/>
      <c r="AD104" s="51"/>
      <c r="AE104" s="1"/>
      <c r="AF104" s="51"/>
    </row>
    <row r="105" spans="2:32" x14ac:dyDescent="0.3">
      <c r="B105" s="46"/>
      <c r="C105" s="55"/>
      <c r="D105" s="41"/>
      <c r="E105" s="74"/>
      <c r="F105" s="38"/>
      <c r="G105" s="38"/>
      <c r="H105" s="46"/>
      <c r="I105" s="65"/>
      <c r="J105" s="75"/>
      <c r="K105" s="75"/>
      <c r="L105" s="68"/>
      <c r="M105" s="68"/>
      <c r="N105" s="69"/>
      <c r="O105" s="70"/>
      <c r="P105" s="66"/>
      <c r="R105" s="37"/>
      <c r="S105" s="37"/>
      <c r="T105" s="37"/>
      <c r="U105" s="61"/>
      <c r="V105" s="76"/>
      <c r="W105" s="61"/>
      <c r="X105" s="61"/>
      <c r="Y105" s="61"/>
      <c r="AA105" s="49"/>
      <c r="AB105" s="50"/>
      <c r="AC105" s="51"/>
      <c r="AD105" s="51"/>
      <c r="AE105" s="1"/>
      <c r="AF105" s="51"/>
    </row>
    <row r="106" spans="2:32" x14ac:dyDescent="0.3">
      <c r="B106" s="46"/>
      <c r="C106" s="55"/>
      <c r="D106" s="41"/>
      <c r="E106" s="74"/>
      <c r="F106" s="38"/>
      <c r="G106" s="38"/>
      <c r="H106" s="46"/>
      <c r="I106" s="65"/>
      <c r="J106" s="75"/>
      <c r="K106" s="75"/>
      <c r="L106" s="68"/>
      <c r="M106" s="68"/>
      <c r="N106" s="69"/>
      <c r="O106" s="70"/>
      <c r="P106" s="66"/>
      <c r="R106" s="37"/>
      <c r="S106" s="37"/>
      <c r="T106" s="37"/>
      <c r="U106" s="61"/>
      <c r="V106" s="76"/>
      <c r="W106" s="61"/>
      <c r="X106" s="61"/>
      <c r="Y106" s="61"/>
      <c r="AA106" s="49"/>
      <c r="AB106" s="50"/>
      <c r="AC106" s="51"/>
      <c r="AD106" s="51"/>
      <c r="AE106" s="1"/>
      <c r="AF106" s="51"/>
    </row>
    <row r="107" spans="2:32" x14ac:dyDescent="0.3">
      <c r="B107" s="46"/>
      <c r="C107" s="55"/>
      <c r="D107" s="41"/>
      <c r="E107" s="74"/>
      <c r="F107" s="38"/>
      <c r="G107" s="38"/>
      <c r="H107" s="46"/>
      <c r="I107" s="65"/>
      <c r="J107" s="75"/>
      <c r="K107" s="75"/>
      <c r="L107" s="68"/>
      <c r="M107" s="68"/>
      <c r="N107" s="69"/>
      <c r="O107" s="70"/>
      <c r="P107" s="66"/>
      <c r="R107" s="37"/>
      <c r="S107" s="37"/>
      <c r="T107" s="37"/>
      <c r="U107" s="61"/>
      <c r="V107" s="76"/>
      <c r="W107" s="61"/>
      <c r="X107" s="61"/>
      <c r="Y107" s="61"/>
      <c r="AA107" s="49"/>
      <c r="AB107" s="50"/>
      <c r="AC107" s="51"/>
      <c r="AD107" s="51"/>
      <c r="AE107" s="1"/>
      <c r="AF107" s="51"/>
    </row>
    <row r="108" spans="2:32" x14ac:dyDescent="0.3">
      <c r="B108" s="46"/>
      <c r="C108" s="55"/>
      <c r="D108" s="41"/>
      <c r="E108" s="74"/>
      <c r="F108" s="38"/>
      <c r="G108" s="38"/>
      <c r="H108" s="46"/>
      <c r="I108" s="65"/>
      <c r="J108" s="75"/>
      <c r="K108" s="75"/>
      <c r="L108" s="68"/>
      <c r="M108" s="68"/>
      <c r="N108" s="69"/>
      <c r="O108" s="70"/>
      <c r="P108" s="66"/>
      <c r="R108" s="37"/>
      <c r="S108" s="37"/>
      <c r="T108" s="37"/>
      <c r="U108" s="61"/>
      <c r="V108" s="76"/>
      <c r="W108" s="61"/>
      <c r="X108" s="61"/>
      <c r="Y108" s="61"/>
      <c r="AA108" s="49"/>
      <c r="AB108" s="50"/>
      <c r="AC108" s="51"/>
      <c r="AD108" s="51"/>
      <c r="AE108" s="1"/>
      <c r="AF108" s="51"/>
    </row>
    <row r="109" spans="2:32" x14ac:dyDescent="0.3">
      <c r="B109" s="46"/>
      <c r="C109" s="55"/>
      <c r="D109" s="41"/>
      <c r="E109" s="74"/>
      <c r="F109" s="38"/>
      <c r="G109" s="38"/>
      <c r="H109" s="46"/>
      <c r="I109" s="65"/>
      <c r="J109" s="75"/>
      <c r="K109" s="75"/>
      <c r="L109" s="68"/>
      <c r="M109" s="68"/>
      <c r="N109" s="69"/>
      <c r="O109" s="70"/>
      <c r="P109" s="66"/>
      <c r="R109" s="37"/>
      <c r="S109" s="37"/>
      <c r="T109" s="37"/>
      <c r="U109" s="61"/>
      <c r="V109" s="76"/>
      <c r="W109" s="61"/>
      <c r="X109" s="61"/>
      <c r="Y109" s="61"/>
      <c r="AA109" s="49"/>
      <c r="AB109" s="50"/>
      <c r="AC109" s="51"/>
      <c r="AD109" s="51"/>
      <c r="AE109" s="1"/>
      <c r="AF109" s="51"/>
    </row>
    <row r="110" spans="2:32" x14ac:dyDescent="0.3">
      <c r="B110" s="46"/>
      <c r="C110" s="55"/>
      <c r="D110" s="41"/>
      <c r="E110" s="74"/>
      <c r="F110" s="38"/>
      <c r="G110" s="38"/>
      <c r="H110" s="46"/>
      <c r="I110" s="65"/>
      <c r="J110" s="75"/>
      <c r="K110" s="75"/>
      <c r="L110" s="68"/>
      <c r="M110" s="68"/>
      <c r="N110" s="69"/>
      <c r="O110" s="70"/>
      <c r="P110" s="66"/>
      <c r="R110" s="37"/>
      <c r="S110" s="37"/>
      <c r="T110" s="37"/>
      <c r="U110" s="61"/>
      <c r="V110" s="76"/>
      <c r="W110" s="61"/>
      <c r="X110" s="61"/>
      <c r="Y110" s="61"/>
      <c r="AA110" s="49"/>
      <c r="AB110" s="50"/>
      <c r="AC110" s="51"/>
      <c r="AD110" s="51"/>
      <c r="AE110" s="1"/>
      <c r="AF110" s="51"/>
    </row>
    <row r="111" spans="2:32" x14ac:dyDescent="0.3">
      <c r="B111" s="46"/>
      <c r="C111" s="55"/>
      <c r="D111" s="41"/>
      <c r="E111" s="74"/>
      <c r="F111" s="38"/>
      <c r="G111" s="38"/>
      <c r="H111" s="46"/>
      <c r="I111" s="65"/>
      <c r="J111" s="75"/>
      <c r="K111" s="75"/>
      <c r="L111" s="68"/>
      <c r="M111" s="68"/>
      <c r="N111" s="69"/>
      <c r="O111" s="70"/>
      <c r="P111" s="66"/>
      <c r="R111" s="37"/>
      <c r="S111" s="37"/>
      <c r="T111" s="37"/>
      <c r="U111" s="61"/>
      <c r="V111" s="76"/>
      <c r="W111" s="61"/>
      <c r="X111" s="61"/>
      <c r="Y111" s="61"/>
      <c r="AA111" s="49"/>
      <c r="AB111" s="50"/>
      <c r="AC111" s="51"/>
      <c r="AD111" s="51"/>
      <c r="AE111" s="1"/>
      <c r="AF111" s="51"/>
    </row>
    <row r="112" spans="2:32" x14ac:dyDescent="0.3">
      <c r="B112" s="46"/>
      <c r="C112" s="55"/>
      <c r="D112" s="41"/>
      <c r="E112" s="74"/>
      <c r="F112" s="38"/>
      <c r="G112" s="38"/>
      <c r="H112" s="46"/>
      <c r="I112" s="65"/>
      <c r="J112" s="75"/>
      <c r="K112" s="75"/>
      <c r="L112" s="68"/>
      <c r="M112" s="68"/>
      <c r="N112" s="69"/>
      <c r="O112" s="70"/>
      <c r="P112" s="66"/>
      <c r="R112" s="37"/>
      <c r="S112" s="37"/>
      <c r="T112" s="37"/>
      <c r="U112" s="61"/>
      <c r="V112" s="76"/>
      <c r="W112" s="61"/>
      <c r="X112" s="61"/>
      <c r="Y112" s="61"/>
      <c r="AA112" s="49"/>
      <c r="AB112" s="50"/>
      <c r="AC112" s="51"/>
      <c r="AD112" s="51"/>
      <c r="AE112" s="1"/>
      <c r="AF112" s="51"/>
    </row>
    <row r="113" spans="2:32" x14ac:dyDescent="0.3">
      <c r="B113" s="46"/>
      <c r="C113" s="55"/>
      <c r="D113" s="41"/>
      <c r="E113" s="74"/>
      <c r="F113" s="38"/>
      <c r="G113" s="38"/>
      <c r="H113" s="46"/>
      <c r="I113" s="65"/>
      <c r="J113" s="75"/>
      <c r="K113" s="75"/>
      <c r="L113" s="68"/>
      <c r="M113" s="68"/>
      <c r="N113" s="69"/>
      <c r="O113" s="70"/>
      <c r="P113" s="66"/>
      <c r="R113" s="37"/>
      <c r="S113" s="37"/>
      <c r="T113" s="37"/>
      <c r="U113" s="61"/>
      <c r="V113" s="76"/>
      <c r="W113" s="61"/>
      <c r="X113" s="61"/>
      <c r="Y113" s="61"/>
      <c r="AA113" s="49"/>
      <c r="AB113" s="50"/>
      <c r="AC113" s="51"/>
      <c r="AD113" s="51"/>
      <c r="AE113" s="1"/>
      <c r="AF113" s="51"/>
    </row>
    <row r="114" spans="2:32" x14ac:dyDescent="0.3">
      <c r="B114" s="46"/>
      <c r="C114" s="55"/>
      <c r="D114" s="41"/>
      <c r="E114" s="74"/>
      <c r="F114" s="38"/>
      <c r="G114" s="38"/>
      <c r="H114" s="46"/>
      <c r="I114" s="65"/>
      <c r="J114" s="75"/>
      <c r="K114" s="75"/>
      <c r="L114" s="68"/>
      <c r="M114" s="68"/>
      <c r="N114" s="69"/>
      <c r="O114" s="70"/>
      <c r="P114" s="66"/>
      <c r="R114" s="37"/>
      <c r="S114" s="37"/>
      <c r="T114" s="37"/>
      <c r="U114" s="61"/>
      <c r="V114" s="76"/>
      <c r="W114" s="61"/>
      <c r="X114" s="61"/>
      <c r="Y114" s="61"/>
      <c r="AA114" s="49"/>
      <c r="AB114" s="50"/>
      <c r="AC114" s="51"/>
      <c r="AD114" s="51"/>
      <c r="AE114" s="1"/>
      <c r="AF114" s="51"/>
    </row>
    <row r="115" spans="2:32" x14ac:dyDescent="0.3">
      <c r="B115" s="46"/>
      <c r="D115" s="37"/>
      <c r="E115" s="37"/>
      <c r="F115" s="77"/>
      <c r="G115" s="77"/>
      <c r="H115" s="46"/>
      <c r="I115" s="65"/>
      <c r="J115" s="75"/>
      <c r="K115" s="75"/>
      <c r="L115" s="68"/>
      <c r="M115" s="68"/>
      <c r="N115" s="69"/>
      <c r="O115" s="70"/>
      <c r="P115" s="66"/>
      <c r="R115" s="37"/>
      <c r="S115" s="37"/>
      <c r="T115" s="37"/>
      <c r="U115" s="61"/>
      <c r="V115" s="76"/>
      <c r="W115" s="61"/>
      <c r="X115" s="61"/>
      <c r="Y115" s="61"/>
      <c r="AA115" s="49"/>
      <c r="AB115" s="50"/>
      <c r="AC115" s="51"/>
      <c r="AD115" s="51"/>
      <c r="AE115" s="1"/>
      <c r="AF115" s="51"/>
    </row>
    <row r="116" spans="2:32" x14ac:dyDescent="0.3">
      <c r="B116" s="46"/>
      <c r="D116" s="37"/>
      <c r="E116" s="37"/>
      <c r="F116" s="77"/>
      <c r="G116" s="77"/>
      <c r="H116" s="46"/>
      <c r="I116" s="65"/>
      <c r="J116" s="75"/>
      <c r="K116" s="75"/>
      <c r="L116" s="68"/>
      <c r="M116" s="68"/>
      <c r="N116" s="69"/>
      <c r="O116" s="70"/>
      <c r="P116" s="66"/>
      <c r="R116" s="37"/>
      <c r="S116" s="37"/>
      <c r="T116" s="37"/>
      <c r="U116" s="61"/>
      <c r="V116" s="76"/>
      <c r="W116" s="61"/>
      <c r="X116" s="61"/>
      <c r="Y116" s="61"/>
      <c r="AA116" s="49"/>
      <c r="AB116" s="50"/>
      <c r="AC116" s="51"/>
      <c r="AD116" s="51"/>
      <c r="AE116" s="1"/>
      <c r="AF116" s="51"/>
    </row>
    <row r="117" spans="2:32" x14ac:dyDescent="0.3">
      <c r="B117" s="46"/>
      <c r="D117" s="37"/>
      <c r="E117" s="37"/>
      <c r="F117" s="77"/>
      <c r="G117" s="77"/>
      <c r="H117" s="46"/>
      <c r="I117" s="65"/>
      <c r="J117" s="75"/>
      <c r="K117" s="75"/>
      <c r="L117" s="68"/>
      <c r="M117" s="68"/>
      <c r="N117" s="69"/>
      <c r="O117" s="70"/>
      <c r="P117" s="66"/>
      <c r="R117" s="37"/>
      <c r="S117" s="37"/>
      <c r="T117" s="37"/>
      <c r="U117" s="61"/>
      <c r="V117" s="76"/>
      <c r="W117" s="61"/>
      <c r="X117" s="61"/>
      <c r="Y117" s="61"/>
      <c r="AA117" s="49"/>
      <c r="AB117" s="50"/>
      <c r="AC117" s="51"/>
      <c r="AD117" s="51"/>
      <c r="AE117" s="1"/>
      <c r="AF117" s="51"/>
    </row>
    <row r="118" spans="2:32" x14ac:dyDescent="0.3">
      <c r="B118" s="46"/>
      <c r="C118" s="55"/>
      <c r="D118" s="41"/>
      <c r="E118" s="74"/>
      <c r="F118" s="38"/>
      <c r="G118" s="38"/>
      <c r="H118" s="46"/>
      <c r="I118" s="65"/>
      <c r="J118" s="75"/>
      <c r="K118" s="75"/>
      <c r="L118" s="68"/>
      <c r="M118" s="68"/>
      <c r="N118" s="69"/>
      <c r="O118" s="70"/>
      <c r="P118" s="66"/>
      <c r="R118" s="37"/>
      <c r="S118" s="37"/>
      <c r="T118" s="37"/>
      <c r="U118" s="61"/>
      <c r="V118" s="76"/>
      <c r="W118" s="61"/>
      <c r="X118" s="61"/>
      <c r="Y118" s="61"/>
      <c r="AA118" s="49"/>
      <c r="AB118" s="50"/>
      <c r="AC118" s="51"/>
      <c r="AD118" s="51"/>
      <c r="AE118" s="1"/>
      <c r="AF118" s="51"/>
    </row>
    <row r="119" spans="2:32" x14ac:dyDescent="0.3">
      <c r="B119" s="46"/>
      <c r="C119" s="55"/>
      <c r="D119" s="41"/>
      <c r="E119" s="74"/>
      <c r="F119" s="38"/>
      <c r="G119" s="38"/>
      <c r="H119" s="46"/>
      <c r="I119" s="65"/>
      <c r="J119" s="75"/>
      <c r="K119" s="75"/>
      <c r="L119" s="68"/>
      <c r="M119" s="68"/>
      <c r="N119" s="69"/>
      <c r="O119" s="70"/>
      <c r="P119" s="66"/>
      <c r="R119" s="37"/>
      <c r="S119" s="37"/>
      <c r="T119" s="37"/>
      <c r="U119" s="61"/>
      <c r="V119" s="76"/>
      <c r="W119" s="61"/>
      <c r="X119" s="61"/>
      <c r="Y119" s="61"/>
      <c r="AA119" s="49"/>
      <c r="AB119" s="50"/>
      <c r="AC119" s="51"/>
      <c r="AD119" s="51"/>
      <c r="AE119" s="1"/>
      <c r="AF119" s="51"/>
    </row>
    <row r="120" spans="2:32" x14ac:dyDescent="0.3">
      <c r="B120" s="46"/>
      <c r="C120" s="55"/>
      <c r="D120" s="41"/>
      <c r="E120" s="74"/>
      <c r="F120" s="38"/>
      <c r="G120" s="38"/>
      <c r="H120" s="46"/>
      <c r="I120" s="65"/>
      <c r="J120" s="75"/>
      <c r="K120" s="75"/>
      <c r="L120" s="68"/>
      <c r="M120" s="68"/>
      <c r="N120" s="69"/>
      <c r="O120" s="70"/>
      <c r="P120" s="66"/>
      <c r="R120" s="37"/>
      <c r="S120" s="37"/>
      <c r="T120" s="37"/>
      <c r="U120" s="61"/>
      <c r="V120" s="76"/>
      <c r="W120" s="61"/>
      <c r="X120" s="61"/>
      <c r="Y120" s="61"/>
      <c r="AA120" s="49"/>
      <c r="AB120" s="50"/>
      <c r="AC120" s="51"/>
      <c r="AD120" s="51"/>
      <c r="AE120" s="1"/>
      <c r="AF120" s="51"/>
    </row>
    <row r="121" spans="2:32" x14ac:dyDescent="0.3">
      <c r="B121" s="46"/>
      <c r="C121" s="55"/>
      <c r="D121" s="41"/>
      <c r="E121" s="74"/>
      <c r="F121" s="38"/>
      <c r="G121" s="38"/>
      <c r="H121" s="46"/>
      <c r="I121" s="65"/>
      <c r="J121" s="75"/>
      <c r="K121" s="75"/>
      <c r="L121" s="68"/>
      <c r="M121" s="68"/>
      <c r="N121" s="69"/>
      <c r="O121" s="70"/>
      <c r="P121" s="66"/>
      <c r="R121" s="37"/>
      <c r="S121" s="37"/>
      <c r="T121" s="37"/>
      <c r="U121" s="61"/>
      <c r="V121" s="76"/>
      <c r="W121" s="61"/>
      <c r="X121" s="61"/>
      <c r="Y121" s="61"/>
      <c r="AA121" s="49"/>
      <c r="AB121" s="50"/>
      <c r="AC121" s="51"/>
      <c r="AD121" s="51"/>
      <c r="AE121" s="1"/>
      <c r="AF121" s="51"/>
    </row>
    <row r="122" spans="2:32" x14ac:dyDescent="0.3">
      <c r="B122" s="46"/>
      <c r="C122" s="55"/>
      <c r="D122" s="41"/>
      <c r="E122" s="74"/>
      <c r="F122" s="38"/>
      <c r="G122" s="38"/>
      <c r="H122" s="46"/>
      <c r="I122" s="65"/>
      <c r="J122" s="75"/>
      <c r="K122" s="75"/>
      <c r="L122" s="68"/>
      <c r="M122" s="68"/>
      <c r="N122" s="69"/>
      <c r="O122" s="70"/>
      <c r="P122" s="66"/>
      <c r="R122" s="37"/>
      <c r="S122" s="37"/>
      <c r="T122" s="37"/>
      <c r="U122" s="61"/>
      <c r="V122" s="76"/>
      <c r="W122" s="61"/>
      <c r="X122" s="61"/>
      <c r="Y122" s="61"/>
      <c r="AA122" s="49"/>
      <c r="AB122" s="50"/>
      <c r="AC122" s="51"/>
      <c r="AD122" s="51"/>
      <c r="AE122" s="1"/>
      <c r="AF122" s="51"/>
    </row>
    <row r="123" spans="2:32" x14ac:dyDescent="0.3">
      <c r="B123" s="46"/>
      <c r="C123" s="55"/>
      <c r="D123" s="41"/>
      <c r="E123" s="74"/>
      <c r="F123" s="38"/>
      <c r="G123" s="38"/>
      <c r="H123" s="46"/>
      <c r="I123" s="65"/>
      <c r="J123" s="75"/>
      <c r="K123" s="75"/>
      <c r="L123" s="68"/>
      <c r="M123" s="68"/>
      <c r="N123" s="69"/>
      <c r="O123" s="70"/>
      <c r="P123" s="66"/>
      <c r="R123" s="37"/>
      <c r="S123" s="37"/>
      <c r="T123" s="37"/>
      <c r="U123" s="61"/>
      <c r="V123" s="76"/>
      <c r="W123" s="61"/>
      <c r="X123" s="61"/>
      <c r="Y123" s="61"/>
      <c r="AA123" s="49"/>
      <c r="AB123" s="50"/>
      <c r="AC123" s="51"/>
      <c r="AD123" s="51"/>
      <c r="AE123" s="1"/>
      <c r="AF123" s="51"/>
    </row>
    <row r="124" spans="2:32" x14ac:dyDescent="0.3">
      <c r="B124" s="46"/>
      <c r="C124" s="55"/>
      <c r="D124" s="41"/>
      <c r="E124" s="74"/>
      <c r="F124" s="38"/>
      <c r="G124" s="38"/>
      <c r="H124" s="46"/>
      <c r="I124" s="65"/>
      <c r="J124" s="75"/>
      <c r="K124" s="75"/>
      <c r="L124" s="68"/>
      <c r="M124" s="68"/>
      <c r="N124" s="69"/>
      <c r="O124" s="70"/>
      <c r="P124" s="66"/>
      <c r="R124" s="37"/>
      <c r="S124" s="37"/>
      <c r="T124" s="37"/>
      <c r="U124" s="61"/>
      <c r="V124" s="76"/>
      <c r="W124" s="61"/>
      <c r="X124" s="61"/>
      <c r="Y124" s="61"/>
      <c r="AA124" s="49"/>
      <c r="AB124" s="50"/>
      <c r="AC124" s="51"/>
      <c r="AD124" s="51"/>
      <c r="AE124" s="1"/>
      <c r="AF124" s="51"/>
    </row>
    <row r="125" spans="2:32" x14ac:dyDescent="0.3">
      <c r="B125" s="46"/>
      <c r="C125" s="55"/>
      <c r="D125" s="41"/>
      <c r="E125" s="74"/>
      <c r="F125" s="38"/>
      <c r="G125" s="38"/>
      <c r="H125" s="46"/>
      <c r="I125" s="65"/>
      <c r="J125" s="75"/>
      <c r="K125" s="75"/>
      <c r="L125" s="68"/>
      <c r="M125" s="68"/>
      <c r="N125" s="69"/>
      <c r="O125" s="70"/>
      <c r="P125" s="66"/>
      <c r="R125" s="37"/>
      <c r="S125" s="37"/>
      <c r="T125" s="37"/>
      <c r="U125" s="61"/>
      <c r="V125" s="76"/>
      <c r="W125" s="61"/>
      <c r="X125" s="61"/>
      <c r="Y125" s="61"/>
      <c r="AA125" s="49"/>
      <c r="AB125" s="50"/>
      <c r="AC125" s="51"/>
      <c r="AD125" s="51"/>
      <c r="AE125" s="1"/>
      <c r="AF125" s="51"/>
    </row>
    <row r="126" spans="2:32" x14ac:dyDescent="0.3">
      <c r="B126" s="46"/>
      <c r="C126" s="55"/>
      <c r="D126" s="41"/>
      <c r="E126" s="74"/>
      <c r="F126" s="38"/>
      <c r="G126" s="38"/>
      <c r="H126" s="46"/>
      <c r="I126" s="65"/>
      <c r="J126" s="75"/>
      <c r="K126" s="75"/>
      <c r="L126" s="68"/>
      <c r="M126" s="68"/>
      <c r="N126" s="69"/>
      <c r="O126" s="70"/>
      <c r="P126" s="66"/>
      <c r="R126" s="37"/>
      <c r="S126" s="37"/>
      <c r="T126" s="37"/>
      <c r="U126" s="61"/>
      <c r="V126" s="76"/>
      <c r="W126" s="61"/>
      <c r="X126" s="61"/>
      <c r="Y126" s="61"/>
      <c r="AA126" s="49"/>
      <c r="AB126" s="50"/>
      <c r="AC126" s="51"/>
      <c r="AD126" s="51"/>
      <c r="AE126" s="1"/>
      <c r="AF126" s="51"/>
    </row>
    <row r="127" spans="2:32" x14ac:dyDescent="0.3">
      <c r="B127" s="46"/>
      <c r="C127" s="55"/>
      <c r="D127" s="41"/>
      <c r="E127" s="74"/>
      <c r="F127" s="38"/>
      <c r="G127" s="38"/>
      <c r="H127" s="46"/>
      <c r="I127" s="65"/>
      <c r="J127" s="75"/>
      <c r="K127" s="75"/>
      <c r="L127" s="68"/>
      <c r="M127" s="68"/>
      <c r="N127" s="69"/>
      <c r="O127" s="70"/>
      <c r="P127" s="66"/>
      <c r="R127" s="37"/>
      <c r="S127" s="37"/>
      <c r="T127" s="37"/>
      <c r="U127" s="61"/>
      <c r="V127" s="76"/>
      <c r="W127" s="61"/>
      <c r="X127" s="61"/>
      <c r="Y127" s="61"/>
      <c r="AA127" s="49"/>
      <c r="AB127" s="50"/>
      <c r="AC127" s="51"/>
      <c r="AD127" s="51"/>
      <c r="AE127" s="1"/>
      <c r="AF127" s="51"/>
    </row>
    <row r="128" spans="2:32" x14ac:dyDescent="0.3">
      <c r="B128" s="46"/>
      <c r="C128" s="55"/>
      <c r="D128" s="41"/>
      <c r="E128" s="74"/>
      <c r="F128" s="38"/>
      <c r="G128" s="38"/>
      <c r="H128" s="46"/>
      <c r="I128" s="65"/>
      <c r="J128" s="75"/>
      <c r="K128" s="75"/>
      <c r="L128" s="68"/>
      <c r="M128" s="68"/>
      <c r="N128" s="69"/>
      <c r="O128" s="70"/>
      <c r="P128" s="66"/>
      <c r="R128" s="37"/>
      <c r="S128" s="37"/>
      <c r="T128" s="37"/>
      <c r="U128" s="61"/>
      <c r="V128" s="76"/>
      <c r="W128" s="61"/>
      <c r="X128" s="61"/>
      <c r="Y128" s="61"/>
      <c r="AA128" s="49"/>
      <c r="AB128" s="50"/>
      <c r="AC128" s="51"/>
      <c r="AD128" s="51"/>
      <c r="AE128" s="1"/>
      <c r="AF128" s="51"/>
    </row>
    <row r="129" spans="2:32" x14ac:dyDescent="0.3">
      <c r="B129" s="46"/>
      <c r="D129" s="37"/>
      <c r="E129" s="10"/>
      <c r="F129" s="78"/>
      <c r="G129" s="78"/>
      <c r="H129" s="46"/>
      <c r="I129" s="65"/>
      <c r="J129" s="75"/>
      <c r="K129" s="75"/>
      <c r="L129" s="68"/>
      <c r="M129" s="68"/>
      <c r="N129" s="69"/>
      <c r="O129" s="70"/>
      <c r="P129" s="66"/>
      <c r="R129" s="37"/>
      <c r="S129" s="37"/>
      <c r="T129" s="37"/>
      <c r="U129" s="61"/>
      <c r="V129" s="76"/>
      <c r="W129" s="61"/>
      <c r="X129" s="61"/>
      <c r="Y129" s="61"/>
      <c r="AA129" s="49"/>
      <c r="AB129" s="50"/>
      <c r="AC129" s="51"/>
      <c r="AD129" s="51"/>
      <c r="AE129" s="1"/>
      <c r="AF129" s="51"/>
    </row>
    <row r="130" spans="2:32" x14ac:dyDescent="0.3">
      <c r="B130" s="46"/>
      <c r="C130" s="79"/>
      <c r="D130" s="41"/>
      <c r="E130" s="74"/>
      <c r="F130" s="38"/>
      <c r="G130" s="38"/>
      <c r="H130" s="46"/>
      <c r="I130" s="65"/>
      <c r="J130" s="75"/>
      <c r="K130" s="75"/>
      <c r="L130" s="68"/>
      <c r="M130" s="68"/>
      <c r="N130" s="69"/>
      <c r="O130" s="70"/>
      <c r="P130" s="66"/>
      <c r="R130" s="37"/>
      <c r="S130" s="37"/>
      <c r="T130" s="37"/>
      <c r="U130" s="61"/>
      <c r="V130" s="76"/>
      <c r="W130" s="61"/>
      <c r="X130" s="61"/>
      <c r="Y130" s="61"/>
      <c r="AA130" s="49"/>
      <c r="AB130" s="50"/>
      <c r="AC130" s="51"/>
      <c r="AD130" s="51"/>
      <c r="AE130" s="1"/>
      <c r="AF130" s="51"/>
    </row>
    <row r="131" spans="2:32" x14ac:dyDescent="0.3">
      <c r="B131" s="46"/>
      <c r="C131" s="79"/>
      <c r="D131" s="41"/>
      <c r="E131" s="74"/>
      <c r="F131" s="38"/>
      <c r="G131" s="38"/>
      <c r="H131" s="46"/>
      <c r="I131" s="80"/>
      <c r="J131" s="75"/>
      <c r="K131" s="75"/>
      <c r="L131" s="68"/>
      <c r="M131" s="68"/>
      <c r="N131" s="69"/>
      <c r="O131" s="70"/>
      <c r="P131" s="66"/>
      <c r="R131" s="37"/>
      <c r="S131" s="37"/>
      <c r="T131" s="37"/>
      <c r="U131" s="61"/>
      <c r="V131" s="76"/>
      <c r="W131" s="61"/>
      <c r="X131" s="61"/>
      <c r="Y131" s="61"/>
      <c r="AA131" s="49"/>
      <c r="AB131" s="50"/>
      <c r="AC131" s="51"/>
      <c r="AD131" s="51"/>
      <c r="AE131" s="1"/>
      <c r="AF131" s="51"/>
    </row>
    <row r="132" spans="2:32" x14ac:dyDescent="0.3">
      <c r="B132" s="46"/>
      <c r="C132" s="79"/>
      <c r="D132" s="41"/>
      <c r="E132" s="74"/>
      <c r="F132" s="38"/>
      <c r="G132" s="38"/>
      <c r="H132" s="46"/>
      <c r="I132" s="80"/>
      <c r="J132" s="75"/>
      <c r="K132" s="75"/>
      <c r="L132" s="68"/>
      <c r="M132" s="68"/>
      <c r="N132" s="69"/>
      <c r="O132" s="70"/>
      <c r="P132" s="66"/>
      <c r="R132" s="37"/>
      <c r="S132" s="37"/>
      <c r="T132" s="37"/>
      <c r="U132" s="61"/>
      <c r="V132" s="76"/>
      <c r="W132" s="61"/>
      <c r="X132" s="61"/>
      <c r="Y132" s="61"/>
      <c r="AA132" s="49"/>
      <c r="AB132" s="50"/>
      <c r="AC132" s="51"/>
      <c r="AD132" s="51"/>
      <c r="AE132" s="1"/>
      <c r="AF132" s="51"/>
    </row>
    <row r="133" spans="2:32" x14ac:dyDescent="0.3">
      <c r="B133" s="46"/>
      <c r="C133" s="79"/>
      <c r="D133" s="41"/>
      <c r="E133" s="74"/>
      <c r="F133" s="38"/>
      <c r="G133" s="38"/>
      <c r="H133" s="46"/>
      <c r="I133" s="80"/>
      <c r="J133" s="75"/>
      <c r="K133" s="75"/>
      <c r="L133" s="68"/>
      <c r="M133" s="68"/>
      <c r="N133" s="69"/>
      <c r="O133" s="70"/>
      <c r="P133" s="66"/>
      <c r="R133" s="37"/>
      <c r="S133" s="37"/>
      <c r="T133" s="37"/>
      <c r="U133" s="61"/>
      <c r="V133" s="76"/>
      <c r="W133" s="61"/>
      <c r="X133" s="61"/>
      <c r="Y133" s="61"/>
      <c r="AA133" s="49"/>
      <c r="AB133" s="50"/>
      <c r="AC133" s="51"/>
      <c r="AD133" s="51"/>
      <c r="AE133" s="1"/>
      <c r="AF133" s="51"/>
    </row>
    <row r="134" spans="2:32" x14ac:dyDescent="0.3">
      <c r="B134" s="46"/>
      <c r="C134" s="79"/>
      <c r="D134" s="41"/>
      <c r="E134" s="74"/>
      <c r="F134" s="38"/>
      <c r="G134" s="38"/>
      <c r="H134" s="46"/>
      <c r="I134" s="80"/>
      <c r="J134" s="75"/>
      <c r="K134" s="75"/>
      <c r="L134" s="68"/>
      <c r="M134" s="68"/>
      <c r="N134" s="69"/>
      <c r="O134" s="70"/>
      <c r="P134" s="66"/>
      <c r="R134" s="37"/>
      <c r="S134" s="37"/>
      <c r="T134" s="37"/>
      <c r="U134" s="61"/>
      <c r="V134" s="76"/>
      <c r="W134" s="61"/>
      <c r="X134" s="61"/>
      <c r="Y134" s="61"/>
      <c r="AA134" s="49"/>
      <c r="AB134" s="50"/>
      <c r="AC134" s="51"/>
      <c r="AD134" s="51"/>
      <c r="AE134" s="1"/>
      <c r="AF134" s="51"/>
    </row>
    <row r="135" spans="2:32" x14ac:dyDescent="0.3">
      <c r="B135" s="46"/>
      <c r="C135" s="79"/>
      <c r="D135" s="41"/>
      <c r="E135" s="74"/>
      <c r="F135" s="38"/>
      <c r="G135" s="38"/>
      <c r="H135" s="46"/>
      <c r="I135" s="80"/>
      <c r="J135" s="75"/>
      <c r="K135" s="75"/>
      <c r="L135" s="68"/>
      <c r="M135" s="68"/>
      <c r="N135" s="69"/>
      <c r="O135" s="70"/>
      <c r="P135" s="66"/>
      <c r="R135" s="37"/>
      <c r="S135" s="37"/>
      <c r="T135" s="37"/>
      <c r="U135" s="61"/>
      <c r="V135" s="76"/>
      <c r="W135" s="61"/>
      <c r="X135" s="61"/>
      <c r="Y135" s="61"/>
      <c r="AA135" s="49"/>
      <c r="AB135" s="50"/>
      <c r="AC135" s="51"/>
      <c r="AD135" s="51"/>
      <c r="AE135" s="1"/>
      <c r="AF135" s="51"/>
    </row>
    <row r="136" spans="2:32" x14ac:dyDescent="0.3">
      <c r="B136" s="46"/>
      <c r="C136" s="79"/>
      <c r="D136" s="41"/>
      <c r="E136" s="74"/>
      <c r="F136" s="38"/>
      <c r="G136" s="38"/>
      <c r="H136" s="46"/>
      <c r="I136" s="80"/>
      <c r="J136" s="75"/>
      <c r="K136" s="75"/>
      <c r="L136" s="68"/>
      <c r="M136" s="68"/>
      <c r="N136" s="69"/>
      <c r="O136" s="70"/>
      <c r="P136" s="66"/>
      <c r="R136" s="37"/>
      <c r="S136" s="37"/>
      <c r="T136" s="37"/>
      <c r="U136" s="61"/>
      <c r="V136" s="76"/>
      <c r="W136" s="61"/>
      <c r="X136" s="61"/>
      <c r="Y136" s="61"/>
      <c r="AA136" s="49"/>
      <c r="AB136" s="50"/>
      <c r="AC136" s="51"/>
      <c r="AD136" s="51"/>
      <c r="AE136" s="1"/>
      <c r="AF136" s="51"/>
    </row>
    <row r="137" spans="2:32" x14ac:dyDescent="0.3">
      <c r="B137" s="46"/>
      <c r="C137" s="79"/>
      <c r="D137" s="41"/>
      <c r="E137" s="74"/>
      <c r="F137" s="38"/>
      <c r="G137" s="38"/>
      <c r="H137" s="46"/>
      <c r="I137" s="80"/>
      <c r="J137" s="75"/>
      <c r="K137" s="75"/>
      <c r="L137" s="68"/>
      <c r="M137" s="68"/>
      <c r="N137" s="69"/>
      <c r="O137" s="70"/>
      <c r="P137" s="66"/>
      <c r="R137" s="37"/>
      <c r="S137" s="37"/>
      <c r="T137" s="37"/>
      <c r="U137" s="61"/>
      <c r="V137" s="76"/>
      <c r="W137" s="61"/>
      <c r="X137" s="61"/>
      <c r="Y137" s="61"/>
      <c r="AA137" s="49"/>
      <c r="AB137" s="50"/>
      <c r="AC137" s="51"/>
      <c r="AD137" s="51"/>
      <c r="AE137" s="1"/>
      <c r="AF137" s="51"/>
    </row>
    <row r="138" spans="2:32" x14ac:dyDescent="0.3">
      <c r="B138" s="46"/>
      <c r="C138" s="79"/>
      <c r="D138" s="41"/>
      <c r="E138" s="74"/>
      <c r="F138" s="38"/>
      <c r="G138" s="38"/>
      <c r="H138" s="46"/>
      <c r="I138" s="80"/>
      <c r="J138" s="75"/>
      <c r="K138" s="75"/>
      <c r="L138" s="68"/>
      <c r="M138" s="68"/>
      <c r="N138" s="69"/>
      <c r="O138" s="70"/>
      <c r="P138" s="66"/>
      <c r="R138" s="37"/>
      <c r="S138" s="37"/>
      <c r="T138" s="37"/>
      <c r="U138" s="61"/>
      <c r="V138" s="76"/>
      <c r="W138" s="61"/>
      <c r="X138" s="61"/>
      <c r="Y138" s="61"/>
      <c r="AA138" s="49"/>
      <c r="AB138" s="50"/>
      <c r="AC138" s="51"/>
      <c r="AD138" s="51"/>
      <c r="AE138" s="1"/>
      <c r="AF138" s="51"/>
    </row>
    <row r="139" spans="2:32" x14ac:dyDescent="0.3">
      <c r="B139" s="46"/>
      <c r="C139" s="79"/>
      <c r="D139" s="41"/>
      <c r="E139" s="74"/>
      <c r="F139" s="38"/>
      <c r="G139" s="38"/>
      <c r="H139" s="46"/>
      <c r="I139" s="80"/>
      <c r="J139" s="75"/>
      <c r="K139" s="75"/>
      <c r="L139" s="68"/>
      <c r="M139" s="68"/>
      <c r="N139" s="69"/>
      <c r="O139" s="70"/>
      <c r="P139" s="66"/>
      <c r="R139" s="37"/>
      <c r="S139" s="37"/>
      <c r="T139" s="37"/>
      <c r="U139" s="61"/>
      <c r="V139" s="76"/>
      <c r="W139" s="61"/>
      <c r="X139" s="61"/>
      <c r="Y139" s="61"/>
      <c r="AA139" s="49"/>
      <c r="AB139" s="50"/>
      <c r="AC139" s="51"/>
      <c r="AD139" s="51"/>
      <c r="AE139" s="1"/>
      <c r="AF139" s="51"/>
    </row>
    <row r="140" spans="2:32" x14ac:dyDescent="0.3">
      <c r="B140" s="46"/>
      <c r="C140" s="79"/>
      <c r="D140" s="41"/>
      <c r="E140" s="74"/>
      <c r="F140" s="38"/>
      <c r="G140" s="38"/>
      <c r="H140" s="46"/>
      <c r="I140" s="80"/>
      <c r="J140" s="75"/>
      <c r="K140" s="75"/>
      <c r="L140" s="68"/>
      <c r="M140" s="68"/>
      <c r="N140" s="69"/>
      <c r="O140" s="70"/>
      <c r="P140" s="66"/>
      <c r="R140" s="37"/>
      <c r="S140" s="37"/>
      <c r="T140" s="37"/>
      <c r="U140" s="61"/>
      <c r="V140" s="76"/>
      <c r="W140" s="61"/>
      <c r="X140" s="61"/>
      <c r="Y140" s="61"/>
      <c r="AA140" s="49"/>
      <c r="AB140" s="50"/>
      <c r="AC140" s="51"/>
      <c r="AD140" s="51"/>
      <c r="AE140" s="1"/>
      <c r="AF140" s="51"/>
    </row>
    <row r="141" spans="2:32" x14ac:dyDescent="0.3">
      <c r="B141" s="46"/>
      <c r="C141" s="79"/>
      <c r="D141" s="41"/>
      <c r="E141" s="74"/>
      <c r="F141" s="38"/>
      <c r="G141" s="38"/>
      <c r="H141" s="46"/>
      <c r="I141" s="80"/>
      <c r="J141" s="75"/>
      <c r="K141" s="75"/>
      <c r="L141" s="68"/>
      <c r="M141" s="68"/>
      <c r="N141" s="69"/>
      <c r="O141" s="70"/>
      <c r="P141" s="66"/>
      <c r="R141" s="37"/>
      <c r="S141" s="37"/>
      <c r="T141" s="37"/>
      <c r="U141" s="61"/>
      <c r="V141" s="76"/>
      <c r="W141" s="61"/>
      <c r="X141" s="61"/>
      <c r="Y141" s="61"/>
      <c r="AA141" s="49"/>
      <c r="AB141" s="50"/>
      <c r="AC141" s="51"/>
      <c r="AD141" s="51"/>
      <c r="AE141" s="1"/>
      <c r="AF141" s="51"/>
    </row>
    <row r="142" spans="2:32" x14ac:dyDescent="0.3">
      <c r="B142" s="46"/>
      <c r="C142" s="79"/>
      <c r="D142" s="41"/>
      <c r="E142" s="74"/>
      <c r="F142" s="38"/>
      <c r="G142" s="38"/>
      <c r="H142" s="46"/>
      <c r="I142" s="80"/>
      <c r="J142" s="75"/>
      <c r="K142" s="75"/>
      <c r="L142" s="68"/>
      <c r="M142" s="68"/>
      <c r="N142" s="69"/>
      <c r="O142" s="70"/>
      <c r="P142" s="66"/>
      <c r="R142" s="37"/>
      <c r="S142" s="37"/>
      <c r="T142" s="37"/>
      <c r="U142" s="61"/>
      <c r="V142" s="76"/>
      <c r="W142" s="61"/>
      <c r="X142" s="61"/>
      <c r="Y142" s="61"/>
      <c r="AA142" s="49"/>
      <c r="AB142" s="50"/>
      <c r="AC142" s="51"/>
      <c r="AD142" s="51"/>
      <c r="AE142" s="1"/>
      <c r="AF142" s="51"/>
    </row>
    <row r="143" spans="2:32" x14ac:dyDescent="0.3">
      <c r="B143" s="46"/>
      <c r="C143" s="79"/>
      <c r="D143" s="41"/>
      <c r="E143" s="74"/>
      <c r="F143" s="38"/>
      <c r="G143" s="38"/>
      <c r="H143" s="46"/>
      <c r="I143" s="80"/>
      <c r="J143" s="75"/>
      <c r="K143" s="75"/>
      <c r="L143" s="68"/>
      <c r="M143" s="68"/>
      <c r="N143" s="69"/>
      <c r="O143" s="70"/>
      <c r="P143" s="66"/>
      <c r="R143" s="37"/>
      <c r="S143" s="37"/>
      <c r="T143" s="37"/>
      <c r="U143" s="61"/>
      <c r="V143" s="76"/>
      <c r="W143" s="61"/>
      <c r="X143" s="61"/>
      <c r="Y143" s="61"/>
      <c r="AA143" s="49"/>
      <c r="AB143" s="50"/>
      <c r="AC143" s="51"/>
      <c r="AD143" s="51"/>
      <c r="AE143" s="1"/>
      <c r="AF143" s="51"/>
    </row>
    <row r="144" spans="2:32" x14ac:dyDescent="0.3">
      <c r="B144" s="46"/>
      <c r="C144" s="79"/>
      <c r="D144" s="41"/>
      <c r="E144" s="74"/>
      <c r="F144" s="38"/>
      <c r="G144" s="38"/>
      <c r="H144" s="46"/>
      <c r="I144" s="80"/>
      <c r="J144" s="75"/>
      <c r="K144" s="75"/>
      <c r="L144" s="68"/>
      <c r="M144" s="68"/>
      <c r="N144" s="69"/>
      <c r="O144" s="70"/>
      <c r="P144" s="66"/>
      <c r="R144" s="37"/>
      <c r="S144" s="37"/>
      <c r="T144" s="37"/>
      <c r="U144" s="61"/>
      <c r="V144" s="76"/>
      <c r="W144" s="61"/>
      <c r="X144" s="61"/>
      <c r="Y144" s="61"/>
      <c r="AA144" s="49"/>
      <c r="AB144" s="50"/>
      <c r="AC144" s="51"/>
      <c r="AD144" s="51"/>
      <c r="AE144" s="1"/>
      <c r="AF144" s="51"/>
    </row>
    <row r="145" spans="2:32" x14ac:dyDescent="0.3">
      <c r="B145" s="46"/>
      <c r="C145" s="79"/>
      <c r="D145" s="41"/>
      <c r="E145" s="74"/>
      <c r="F145" s="38"/>
      <c r="G145" s="38"/>
      <c r="H145" s="46"/>
      <c r="I145" s="80"/>
      <c r="J145" s="75"/>
      <c r="K145" s="75"/>
      <c r="L145" s="68"/>
      <c r="M145" s="68"/>
      <c r="N145" s="69"/>
      <c r="O145" s="70"/>
      <c r="P145" s="66"/>
      <c r="R145" s="37"/>
      <c r="S145" s="37"/>
      <c r="T145" s="37"/>
      <c r="U145" s="61"/>
      <c r="V145" s="76"/>
      <c r="W145" s="61"/>
      <c r="X145" s="61"/>
      <c r="Y145" s="61"/>
      <c r="AA145" s="49"/>
      <c r="AB145" s="50"/>
      <c r="AC145" s="51"/>
      <c r="AD145" s="51"/>
      <c r="AE145" s="1"/>
      <c r="AF145" s="51"/>
    </row>
    <row r="146" spans="2:32" x14ac:dyDescent="0.3">
      <c r="B146" s="46"/>
      <c r="C146" s="79"/>
      <c r="D146" s="41"/>
      <c r="E146" s="74"/>
      <c r="F146" s="38"/>
      <c r="G146" s="38"/>
      <c r="H146" s="46"/>
      <c r="I146" s="80"/>
      <c r="J146" s="75"/>
      <c r="K146" s="75"/>
      <c r="L146" s="68"/>
      <c r="M146" s="68"/>
      <c r="N146" s="69"/>
      <c r="O146" s="70"/>
      <c r="P146" s="66"/>
      <c r="R146" s="37"/>
      <c r="S146" s="37"/>
      <c r="T146" s="37"/>
      <c r="U146" s="61"/>
      <c r="V146" s="76"/>
      <c r="W146" s="61"/>
      <c r="X146" s="61"/>
      <c r="Y146" s="61"/>
      <c r="AA146" s="49"/>
      <c r="AB146" s="50"/>
      <c r="AC146" s="51"/>
      <c r="AD146" s="51"/>
      <c r="AE146" s="1"/>
      <c r="AF146" s="51"/>
    </row>
    <row r="147" spans="2:32" x14ac:dyDescent="0.3">
      <c r="B147" s="46"/>
      <c r="C147" s="79"/>
      <c r="D147" s="41"/>
      <c r="E147" s="74"/>
      <c r="F147" s="38"/>
      <c r="G147" s="38"/>
      <c r="H147" s="46"/>
      <c r="I147" s="80"/>
      <c r="J147" s="75"/>
      <c r="K147" s="75"/>
      <c r="L147" s="68"/>
      <c r="M147" s="68"/>
      <c r="N147" s="69"/>
      <c r="O147" s="70"/>
      <c r="P147" s="66"/>
      <c r="R147" s="37"/>
      <c r="S147" s="37"/>
      <c r="T147" s="37"/>
      <c r="U147" s="61"/>
      <c r="V147" s="76"/>
      <c r="W147" s="61"/>
      <c r="X147" s="61"/>
      <c r="Y147" s="61"/>
      <c r="AA147" s="49"/>
      <c r="AB147" s="50"/>
      <c r="AC147" s="51"/>
      <c r="AD147" s="51"/>
      <c r="AE147" s="1"/>
      <c r="AF147" s="51"/>
    </row>
    <row r="148" spans="2:32" x14ac:dyDescent="0.3">
      <c r="B148" s="46"/>
      <c r="C148" s="79"/>
      <c r="D148" s="41"/>
      <c r="E148" s="74"/>
      <c r="F148" s="38"/>
      <c r="G148" s="38"/>
      <c r="H148" s="46"/>
      <c r="I148" s="80"/>
      <c r="J148" s="75"/>
      <c r="K148" s="75"/>
      <c r="L148" s="68"/>
      <c r="M148" s="68"/>
      <c r="N148" s="69"/>
      <c r="O148" s="70"/>
      <c r="P148" s="66"/>
      <c r="R148" s="37"/>
      <c r="S148" s="37"/>
      <c r="T148" s="37"/>
      <c r="U148" s="61"/>
      <c r="V148" s="76"/>
      <c r="W148" s="61"/>
      <c r="X148" s="61"/>
      <c r="Y148" s="61"/>
      <c r="AA148" s="49"/>
      <c r="AB148" s="50"/>
      <c r="AC148" s="51"/>
      <c r="AD148" s="51"/>
      <c r="AE148" s="1"/>
      <c r="AF148" s="51"/>
    </row>
    <row r="149" spans="2:32" x14ac:dyDescent="0.3">
      <c r="B149" s="46"/>
      <c r="C149" s="79"/>
      <c r="D149" s="41"/>
      <c r="E149" s="74"/>
      <c r="F149" s="38"/>
      <c r="G149" s="38"/>
      <c r="H149" s="46"/>
      <c r="I149" s="80"/>
      <c r="J149" s="75"/>
      <c r="K149" s="75"/>
      <c r="L149" s="68"/>
      <c r="M149" s="68"/>
      <c r="N149" s="69"/>
      <c r="O149" s="70"/>
      <c r="P149" s="66"/>
      <c r="R149" s="37"/>
      <c r="S149" s="37"/>
      <c r="T149" s="37"/>
      <c r="U149" s="61"/>
      <c r="V149" s="76"/>
      <c r="W149" s="61"/>
      <c r="X149" s="61"/>
      <c r="Y149" s="61"/>
      <c r="AA149" s="49"/>
      <c r="AB149" s="50"/>
      <c r="AC149" s="51"/>
      <c r="AD149" s="51"/>
      <c r="AE149" s="1"/>
      <c r="AF149" s="51"/>
    </row>
    <row r="150" spans="2:32" x14ac:dyDescent="0.3">
      <c r="B150" s="46"/>
      <c r="C150" s="79"/>
      <c r="D150" s="41"/>
      <c r="E150" s="74"/>
      <c r="F150" s="38"/>
      <c r="G150" s="38"/>
      <c r="H150" s="46"/>
      <c r="I150" s="80"/>
      <c r="J150" s="75"/>
      <c r="K150" s="75"/>
      <c r="L150" s="68"/>
      <c r="M150" s="68"/>
      <c r="N150" s="69"/>
      <c r="O150" s="70"/>
      <c r="P150" s="66"/>
      <c r="R150" s="37"/>
      <c r="S150" s="37"/>
      <c r="T150" s="37"/>
      <c r="U150" s="61"/>
      <c r="V150" s="76"/>
      <c r="W150" s="61"/>
      <c r="X150" s="61"/>
      <c r="Y150" s="61"/>
      <c r="AA150" s="49"/>
      <c r="AB150" s="50"/>
      <c r="AC150" s="51"/>
      <c r="AD150" s="51"/>
      <c r="AE150" s="1"/>
      <c r="AF150" s="51"/>
    </row>
    <row r="151" spans="2:32" x14ac:dyDescent="0.3">
      <c r="B151" s="46"/>
      <c r="C151" s="79"/>
      <c r="D151" s="41"/>
      <c r="E151" s="74"/>
      <c r="F151" s="38"/>
      <c r="G151" s="38"/>
      <c r="H151" s="46"/>
      <c r="I151" s="80"/>
      <c r="J151" s="75"/>
      <c r="K151" s="75"/>
      <c r="L151" s="68"/>
      <c r="M151" s="68"/>
      <c r="N151" s="69"/>
      <c r="O151" s="70"/>
      <c r="P151" s="66"/>
      <c r="R151" s="37"/>
      <c r="S151" s="37"/>
      <c r="T151" s="37"/>
      <c r="U151" s="61"/>
      <c r="V151" s="76"/>
      <c r="W151" s="61"/>
      <c r="X151" s="61"/>
      <c r="Y151" s="61"/>
      <c r="AA151" s="49"/>
      <c r="AB151" s="50"/>
      <c r="AC151" s="51"/>
      <c r="AD151" s="51"/>
      <c r="AE151" s="1"/>
      <c r="AF151" s="51"/>
    </row>
    <row r="152" spans="2:32" x14ac:dyDescent="0.3">
      <c r="B152" s="46"/>
      <c r="C152" s="79"/>
      <c r="D152" s="41"/>
      <c r="E152" s="74"/>
      <c r="F152" s="38"/>
      <c r="G152" s="38"/>
      <c r="H152" s="46"/>
      <c r="I152" s="80"/>
      <c r="J152" s="75"/>
      <c r="K152" s="75"/>
      <c r="L152" s="68"/>
      <c r="M152" s="68"/>
      <c r="N152" s="69"/>
      <c r="O152" s="70"/>
      <c r="P152" s="66"/>
      <c r="R152" s="37"/>
      <c r="S152" s="37"/>
      <c r="T152" s="37"/>
      <c r="U152" s="61"/>
      <c r="V152" s="76"/>
      <c r="W152" s="61"/>
      <c r="X152" s="61"/>
      <c r="Y152" s="61"/>
      <c r="AA152" s="49"/>
      <c r="AB152" s="50"/>
      <c r="AC152" s="51"/>
      <c r="AD152" s="51"/>
      <c r="AE152" s="1"/>
      <c r="AF152" s="51"/>
    </row>
    <row r="153" spans="2:32" x14ac:dyDescent="0.3">
      <c r="B153" s="46"/>
      <c r="C153" s="79"/>
      <c r="D153" s="41"/>
      <c r="E153" s="74"/>
      <c r="F153" s="38"/>
      <c r="G153" s="38"/>
      <c r="H153" s="46"/>
      <c r="I153" s="80"/>
      <c r="J153" s="75"/>
      <c r="K153" s="75"/>
      <c r="L153" s="68"/>
      <c r="M153" s="68"/>
      <c r="N153" s="69"/>
      <c r="O153" s="70"/>
      <c r="P153" s="66"/>
      <c r="R153" s="37"/>
      <c r="S153" s="37"/>
      <c r="T153" s="37"/>
      <c r="U153" s="61"/>
      <c r="V153" s="76"/>
      <c r="W153" s="61"/>
      <c r="X153" s="61"/>
      <c r="Y153" s="61"/>
      <c r="AA153" s="49"/>
      <c r="AB153" s="50"/>
      <c r="AC153" s="51"/>
      <c r="AD153" s="51"/>
      <c r="AE153" s="1"/>
      <c r="AF153" s="51"/>
    </row>
    <row r="154" spans="2:32" x14ac:dyDescent="0.3">
      <c r="B154" s="46"/>
      <c r="C154" s="79"/>
      <c r="D154" s="41"/>
      <c r="E154" s="74"/>
      <c r="F154" s="38"/>
      <c r="G154" s="38"/>
      <c r="H154" s="46"/>
      <c r="I154" s="80"/>
      <c r="J154" s="75"/>
      <c r="K154" s="75"/>
      <c r="L154" s="68"/>
      <c r="M154" s="68"/>
      <c r="N154" s="69"/>
      <c r="O154" s="70"/>
      <c r="P154" s="66"/>
      <c r="R154" s="37"/>
      <c r="S154" s="37"/>
      <c r="T154" s="37"/>
      <c r="U154" s="61"/>
      <c r="V154" s="76"/>
      <c r="W154" s="61"/>
      <c r="X154" s="61"/>
      <c r="Y154" s="61"/>
      <c r="AA154" s="49"/>
      <c r="AB154" s="50"/>
      <c r="AC154" s="51"/>
      <c r="AD154" s="51"/>
      <c r="AE154" s="1"/>
      <c r="AF154" s="51"/>
    </row>
    <row r="155" spans="2:32" x14ac:dyDescent="0.3">
      <c r="B155" s="46"/>
      <c r="C155" s="79"/>
      <c r="D155" s="41"/>
      <c r="E155" s="74"/>
      <c r="F155" s="38"/>
      <c r="G155" s="38"/>
      <c r="H155" s="46"/>
      <c r="I155" s="80"/>
      <c r="J155" s="75"/>
      <c r="K155" s="75"/>
      <c r="L155" s="68"/>
      <c r="M155" s="68"/>
      <c r="N155" s="69"/>
      <c r="O155" s="70"/>
      <c r="P155" s="66"/>
      <c r="R155" s="37"/>
      <c r="S155" s="37"/>
      <c r="T155" s="37"/>
      <c r="U155" s="61"/>
      <c r="V155" s="76"/>
      <c r="W155" s="61"/>
      <c r="X155" s="61"/>
      <c r="Y155" s="61"/>
      <c r="AA155" s="49"/>
      <c r="AB155" s="50"/>
      <c r="AC155" s="51"/>
      <c r="AD155" s="51"/>
      <c r="AE155" s="1"/>
      <c r="AF155" s="51"/>
    </row>
    <row r="156" spans="2:32" x14ac:dyDescent="0.3">
      <c r="B156" s="46"/>
      <c r="C156" s="79"/>
      <c r="D156" s="41"/>
      <c r="E156" s="74"/>
      <c r="F156" s="38"/>
      <c r="G156" s="38"/>
      <c r="H156" s="46"/>
      <c r="I156" s="80"/>
      <c r="J156" s="75"/>
      <c r="K156" s="75"/>
      <c r="L156" s="68"/>
      <c r="M156" s="68"/>
      <c r="N156" s="69"/>
      <c r="O156" s="70"/>
      <c r="P156" s="66"/>
      <c r="R156" s="37"/>
      <c r="S156" s="37"/>
      <c r="T156" s="37"/>
      <c r="U156" s="61"/>
      <c r="V156" s="76"/>
      <c r="W156" s="61"/>
      <c r="X156" s="61"/>
      <c r="Y156" s="61"/>
      <c r="AA156" s="49"/>
      <c r="AB156" s="50"/>
      <c r="AC156" s="51"/>
      <c r="AD156" s="51"/>
      <c r="AE156" s="1"/>
      <c r="AF156" s="51"/>
    </row>
    <row r="157" spans="2:32" x14ac:dyDescent="0.3">
      <c r="B157" s="46"/>
      <c r="C157" s="79"/>
      <c r="D157" s="41"/>
      <c r="E157" s="74"/>
      <c r="F157" s="38"/>
      <c r="G157" s="38"/>
      <c r="H157" s="46"/>
      <c r="I157" s="80"/>
      <c r="J157" s="75"/>
      <c r="K157" s="75"/>
      <c r="L157" s="68"/>
      <c r="M157" s="68"/>
      <c r="N157" s="69"/>
      <c r="O157" s="70"/>
      <c r="P157" s="66"/>
      <c r="R157" s="37"/>
      <c r="S157" s="37"/>
      <c r="T157" s="37"/>
      <c r="U157" s="61"/>
      <c r="V157" s="76"/>
      <c r="W157" s="61"/>
      <c r="X157" s="61"/>
      <c r="Y157" s="61"/>
      <c r="AA157" s="49"/>
      <c r="AB157" s="50"/>
      <c r="AC157" s="51"/>
      <c r="AD157" s="51"/>
      <c r="AE157" s="1"/>
      <c r="AF157" s="51"/>
    </row>
    <row r="158" spans="2:32" x14ac:dyDescent="0.3">
      <c r="B158" s="46"/>
      <c r="C158" s="79"/>
      <c r="D158" s="41"/>
      <c r="E158" s="74"/>
      <c r="F158" s="38"/>
      <c r="G158" s="38"/>
      <c r="H158" s="46"/>
      <c r="I158" s="80"/>
      <c r="J158" s="75"/>
      <c r="K158" s="75"/>
      <c r="L158" s="68"/>
      <c r="M158" s="68"/>
      <c r="N158" s="69"/>
      <c r="O158" s="70"/>
      <c r="P158" s="66"/>
      <c r="R158" s="37"/>
      <c r="S158" s="37"/>
      <c r="T158" s="37"/>
      <c r="U158" s="61"/>
      <c r="V158" s="76"/>
      <c r="W158" s="61"/>
      <c r="X158" s="61"/>
      <c r="Y158" s="61"/>
      <c r="AA158" s="49"/>
      <c r="AB158" s="50"/>
      <c r="AC158" s="51"/>
      <c r="AD158" s="51"/>
      <c r="AE158" s="1"/>
      <c r="AF158" s="51"/>
    </row>
    <row r="159" spans="2:32" x14ac:dyDescent="0.3">
      <c r="B159" s="46"/>
      <c r="C159" s="79"/>
      <c r="D159" s="41"/>
      <c r="E159" s="74"/>
      <c r="F159" s="38"/>
      <c r="G159" s="38"/>
      <c r="H159" s="46"/>
      <c r="I159" s="80"/>
      <c r="J159" s="75"/>
      <c r="K159" s="75"/>
      <c r="L159" s="68"/>
      <c r="M159" s="68"/>
      <c r="N159" s="69"/>
      <c r="O159" s="70"/>
      <c r="P159" s="66"/>
      <c r="R159" s="37"/>
      <c r="S159" s="37"/>
      <c r="T159" s="37"/>
      <c r="U159" s="61"/>
      <c r="V159" s="76"/>
      <c r="W159" s="61"/>
      <c r="X159" s="61"/>
      <c r="Y159" s="61"/>
      <c r="AA159" s="49"/>
      <c r="AB159" s="50"/>
      <c r="AC159" s="51"/>
      <c r="AD159" s="51"/>
      <c r="AE159" s="1"/>
      <c r="AF159" s="51"/>
    </row>
    <row r="160" spans="2:32" x14ac:dyDescent="0.3">
      <c r="B160" s="46"/>
      <c r="C160" s="79"/>
      <c r="D160" s="41"/>
      <c r="E160" s="74"/>
      <c r="F160" s="38"/>
      <c r="G160" s="38"/>
      <c r="H160" s="46"/>
      <c r="I160" s="80"/>
      <c r="J160" s="75"/>
      <c r="K160" s="75"/>
      <c r="L160" s="68"/>
      <c r="M160" s="68"/>
      <c r="N160" s="69"/>
      <c r="O160" s="70"/>
      <c r="P160" s="66"/>
      <c r="R160" s="37"/>
      <c r="S160" s="37"/>
      <c r="T160" s="37"/>
      <c r="U160" s="61"/>
      <c r="V160" s="76"/>
      <c r="W160" s="61"/>
      <c r="X160" s="61"/>
      <c r="Y160" s="61"/>
      <c r="AA160" s="49"/>
      <c r="AB160" s="50"/>
      <c r="AC160" s="51"/>
      <c r="AD160" s="51"/>
      <c r="AE160" s="1"/>
      <c r="AF160" s="51"/>
    </row>
    <row r="161" spans="2:32" x14ac:dyDescent="0.3">
      <c r="B161" s="46"/>
      <c r="C161" s="81"/>
      <c r="D161" s="54"/>
      <c r="E161" s="37"/>
      <c r="F161" s="82"/>
      <c r="G161" s="82"/>
      <c r="H161" s="46"/>
      <c r="I161" s="80"/>
      <c r="J161" s="75"/>
      <c r="K161" s="75"/>
      <c r="L161" s="68"/>
      <c r="M161" s="68"/>
      <c r="N161" s="69"/>
      <c r="O161" s="70"/>
      <c r="P161" s="66"/>
      <c r="R161" s="37"/>
      <c r="S161" s="37"/>
      <c r="T161" s="37"/>
      <c r="U161" s="61"/>
      <c r="V161" s="76"/>
      <c r="W161" s="61"/>
      <c r="X161" s="61"/>
      <c r="Y161" s="61"/>
      <c r="AA161" s="49"/>
      <c r="AB161" s="50"/>
      <c r="AC161" s="51"/>
      <c r="AD161" s="51"/>
      <c r="AE161" s="1"/>
      <c r="AF161" s="51"/>
    </row>
    <row r="162" spans="2:32" x14ac:dyDescent="0.3">
      <c r="B162" s="46"/>
      <c r="C162" s="81"/>
      <c r="D162" s="54"/>
      <c r="E162" s="37"/>
      <c r="F162" s="82"/>
      <c r="G162" s="82"/>
      <c r="H162" s="46"/>
      <c r="I162" s="80"/>
      <c r="J162" s="75"/>
      <c r="K162" s="75"/>
      <c r="L162" s="68"/>
      <c r="M162" s="68"/>
      <c r="N162" s="69"/>
      <c r="O162" s="70"/>
      <c r="P162" s="66"/>
      <c r="R162" s="37"/>
      <c r="S162" s="37"/>
      <c r="T162" s="37"/>
      <c r="U162" s="61"/>
      <c r="V162" s="76"/>
      <c r="W162" s="61"/>
      <c r="X162" s="61"/>
      <c r="Y162" s="61"/>
      <c r="AA162" s="49"/>
      <c r="AB162" s="50"/>
      <c r="AC162" s="51"/>
      <c r="AD162" s="51"/>
      <c r="AE162" s="1"/>
      <c r="AF162" s="51"/>
    </row>
    <row r="163" spans="2:32" x14ac:dyDescent="0.3">
      <c r="B163" s="46"/>
      <c r="C163" s="81"/>
      <c r="D163" s="54"/>
      <c r="E163" s="37"/>
      <c r="F163" s="82"/>
      <c r="G163" s="82"/>
      <c r="H163" s="46"/>
      <c r="I163" s="80"/>
      <c r="J163" s="75"/>
      <c r="K163" s="75"/>
      <c r="L163" s="68"/>
      <c r="M163" s="68"/>
      <c r="N163" s="69"/>
      <c r="O163" s="70"/>
      <c r="P163" s="66"/>
      <c r="R163" s="37"/>
      <c r="S163" s="37"/>
      <c r="T163" s="37"/>
      <c r="U163" s="61"/>
      <c r="V163" s="76"/>
      <c r="W163" s="61"/>
      <c r="X163" s="61"/>
      <c r="Y163" s="61"/>
      <c r="AA163" s="49"/>
      <c r="AB163" s="50"/>
      <c r="AC163" s="51"/>
      <c r="AD163" s="51"/>
      <c r="AE163" s="1"/>
      <c r="AF163" s="51"/>
    </row>
    <row r="164" spans="2:32" x14ac:dyDescent="0.3">
      <c r="B164" s="46"/>
      <c r="C164" s="83"/>
      <c r="D164" s="84"/>
      <c r="E164" s="37"/>
      <c r="F164" s="82"/>
      <c r="G164" s="82"/>
      <c r="H164" s="46"/>
      <c r="I164" s="80"/>
      <c r="J164" s="75"/>
      <c r="K164" s="75"/>
      <c r="L164" s="68"/>
      <c r="M164" s="68"/>
      <c r="N164" s="69"/>
      <c r="O164" s="70"/>
      <c r="P164" s="66"/>
      <c r="R164" s="37"/>
      <c r="S164" s="37"/>
      <c r="T164" s="37"/>
      <c r="U164" s="61"/>
      <c r="V164" s="76"/>
      <c r="W164" s="61"/>
      <c r="X164" s="61"/>
      <c r="Y164" s="61"/>
      <c r="AA164" s="49"/>
      <c r="AB164" s="50"/>
      <c r="AC164" s="51"/>
      <c r="AD164" s="51"/>
      <c r="AE164" s="1"/>
      <c r="AF164" s="51"/>
    </row>
    <row r="165" spans="2:32" x14ac:dyDescent="0.3">
      <c r="B165" s="46"/>
      <c r="C165" s="81"/>
      <c r="D165" s="41"/>
      <c r="E165" s="74"/>
      <c r="F165" s="82"/>
      <c r="G165" s="82"/>
      <c r="H165" s="46"/>
      <c r="I165" s="80"/>
      <c r="J165" s="75"/>
      <c r="K165" s="75"/>
      <c r="L165" s="68"/>
      <c r="M165" s="68"/>
      <c r="N165" s="69"/>
      <c r="O165" s="70"/>
      <c r="P165" s="66"/>
      <c r="R165" s="37"/>
      <c r="S165" s="37"/>
      <c r="T165" s="37"/>
      <c r="U165" s="61"/>
      <c r="V165" s="76"/>
      <c r="W165" s="61"/>
      <c r="X165" s="61"/>
      <c r="Y165" s="61"/>
      <c r="AA165" s="49"/>
      <c r="AB165" s="50"/>
      <c r="AC165" s="51"/>
      <c r="AD165" s="51"/>
      <c r="AE165" s="1"/>
      <c r="AF165" s="51"/>
    </row>
    <row r="166" spans="2:32" x14ac:dyDescent="0.3">
      <c r="B166" s="46"/>
      <c r="C166" s="81"/>
      <c r="D166" s="54"/>
      <c r="E166" s="37"/>
      <c r="F166" s="82"/>
      <c r="G166" s="82"/>
      <c r="H166" s="46"/>
      <c r="I166" s="80"/>
      <c r="J166" s="75"/>
      <c r="K166" s="75"/>
      <c r="L166" s="68"/>
      <c r="M166" s="68"/>
      <c r="N166" s="69"/>
      <c r="O166" s="70"/>
      <c r="P166" s="66"/>
      <c r="R166" s="37"/>
      <c r="S166" s="37"/>
      <c r="T166" s="37"/>
      <c r="U166" s="61"/>
      <c r="V166" s="76"/>
      <c r="W166" s="61"/>
      <c r="X166" s="61"/>
      <c r="Y166" s="61"/>
      <c r="AA166" s="49"/>
      <c r="AB166" s="50"/>
      <c r="AC166" s="51"/>
      <c r="AD166" s="51"/>
      <c r="AE166" s="1"/>
      <c r="AF166" s="51"/>
    </row>
    <row r="167" spans="2:32" x14ac:dyDescent="0.3">
      <c r="B167" s="46"/>
      <c r="C167" s="81"/>
      <c r="D167" s="54"/>
      <c r="E167" s="37"/>
      <c r="F167" s="82"/>
      <c r="G167" s="82"/>
      <c r="H167" s="46"/>
      <c r="I167" s="80"/>
      <c r="J167" s="75"/>
      <c r="K167" s="75"/>
      <c r="L167" s="68"/>
      <c r="M167" s="68"/>
      <c r="N167" s="69"/>
      <c r="O167" s="70"/>
      <c r="P167" s="66"/>
      <c r="R167" s="37"/>
      <c r="S167" s="37"/>
      <c r="T167" s="37"/>
      <c r="U167" s="61"/>
      <c r="V167" s="76"/>
      <c r="W167" s="61"/>
      <c r="X167" s="61"/>
      <c r="Y167" s="61"/>
      <c r="AA167" s="49"/>
      <c r="AB167" s="50"/>
      <c r="AC167" s="51"/>
      <c r="AD167" s="51"/>
      <c r="AE167" s="1"/>
      <c r="AF167" s="51"/>
    </row>
    <row r="168" spans="2:32" x14ac:dyDescent="0.3">
      <c r="B168" s="46"/>
      <c r="C168" s="81"/>
      <c r="D168" s="54"/>
      <c r="E168" s="37"/>
      <c r="F168" s="82"/>
      <c r="G168" s="82"/>
      <c r="H168" s="46"/>
      <c r="I168" s="80"/>
      <c r="J168" s="75"/>
      <c r="K168" s="75"/>
      <c r="L168" s="68"/>
      <c r="M168" s="68"/>
      <c r="N168" s="69"/>
      <c r="O168" s="70"/>
      <c r="P168" s="66"/>
      <c r="R168" s="37"/>
      <c r="S168" s="37"/>
      <c r="T168" s="37"/>
      <c r="U168" s="61"/>
      <c r="V168" s="76"/>
      <c r="W168" s="61"/>
      <c r="X168" s="61"/>
      <c r="Y168" s="61"/>
      <c r="AA168" s="49"/>
      <c r="AB168" s="50"/>
      <c r="AC168" s="51"/>
      <c r="AD168" s="51"/>
      <c r="AE168" s="1"/>
      <c r="AF168" s="51"/>
    </row>
    <row r="169" spans="2:32" x14ac:dyDescent="0.3">
      <c r="B169" s="46"/>
      <c r="C169" s="81"/>
      <c r="D169" s="54"/>
      <c r="E169" s="37"/>
      <c r="F169" s="82"/>
      <c r="G169" s="82"/>
      <c r="H169" s="46"/>
      <c r="I169" s="85"/>
      <c r="J169" s="86"/>
      <c r="K169" s="86"/>
      <c r="L169" s="87"/>
      <c r="M169" s="87"/>
      <c r="N169" s="88"/>
      <c r="O169" s="89"/>
      <c r="P169" s="66"/>
      <c r="R169" s="37"/>
      <c r="S169" s="37"/>
      <c r="T169" s="37"/>
      <c r="U169" s="61"/>
      <c r="V169" s="76"/>
      <c r="W169" s="61"/>
      <c r="X169" s="61"/>
      <c r="Y169" s="61"/>
      <c r="AA169" s="49"/>
      <c r="AB169" s="50"/>
      <c r="AC169" s="51"/>
      <c r="AD169" s="51"/>
      <c r="AE169" s="1"/>
      <c r="AF169" s="51"/>
    </row>
    <row r="170" spans="2:32" x14ac:dyDescent="0.3">
      <c r="B170" s="46"/>
      <c r="C170" s="81"/>
      <c r="D170" s="54"/>
      <c r="E170" s="37"/>
      <c r="F170" s="82"/>
      <c r="G170" s="82"/>
      <c r="H170" s="46"/>
      <c r="I170" s="85"/>
      <c r="J170" s="86"/>
      <c r="K170" s="86"/>
      <c r="L170" s="87"/>
      <c r="M170" s="87"/>
      <c r="N170" s="88"/>
      <c r="O170" s="89"/>
      <c r="P170" s="66"/>
      <c r="R170" s="37"/>
      <c r="S170" s="37"/>
      <c r="T170" s="37"/>
      <c r="U170" s="61"/>
      <c r="V170" s="76"/>
      <c r="W170" s="61"/>
      <c r="X170" s="61"/>
      <c r="Y170" s="61"/>
      <c r="AA170" s="49"/>
      <c r="AB170" s="50"/>
      <c r="AC170" s="51"/>
      <c r="AD170" s="51"/>
      <c r="AE170" s="1"/>
      <c r="AF170" s="51"/>
    </row>
    <row r="171" spans="2:32" x14ac:dyDescent="0.3">
      <c r="B171" s="46"/>
      <c r="C171" s="81"/>
      <c r="D171" s="54"/>
      <c r="E171" s="37"/>
      <c r="F171" s="82"/>
      <c r="G171" s="82"/>
      <c r="H171" s="46"/>
      <c r="I171" s="85"/>
      <c r="J171" s="86"/>
      <c r="K171" s="86"/>
      <c r="L171" s="87"/>
      <c r="M171" s="87"/>
      <c r="N171" s="88"/>
      <c r="O171" s="89"/>
      <c r="P171" s="66"/>
      <c r="R171" s="37"/>
      <c r="S171" s="37"/>
      <c r="T171" s="37"/>
      <c r="U171" s="61"/>
      <c r="V171" s="76"/>
      <c r="W171" s="61"/>
      <c r="X171" s="61"/>
      <c r="Y171" s="61"/>
      <c r="AA171" s="49"/>
      <c r="AB171" s="50"/>
      <c r="AC171" s="51"/>
      <c r="AD171" s="51"/>
      <c r="AE171" s="1"/>
      <c r="AF171" s="51"/>
    </row>
    <row r="172" spans="2:32" x14ac:dyDescent="0.3">
      <c r="B172" s="46"/>
      <c r="C172" s="81"/>
      <c r="D172" s="54"/>
      <c r="E172" s="37"/>
      <c r="F172" s="82"/>
      <c r="G172" s="82"/>
      <c r="H172" s="46"/>
      <c r="I172" s="85"/>
      <c r="J172" s="86"/>
      <c r="K172" s="86"/>
      <c r="L172" s="87"/>
      <c r="M172" s="87"/>
      <c r="N172" s="88"/>
      <c r="O172" s="89"/>
      <c r="P172" s="66"/>
      <c r="R172" s="37"/>
      <c r="S172" s="37"/>
      <c r="T172" s="37"/>
      <c r="U172" s="61"/>
      <c r="V172" s="76"/>
      <c r="W172" s="61"/>
      <c r="X172" s="61"/>
      <c r="Y172" s="61"/>
      <c r="AA172" s="49"/>
      <c r="AB172" s="50"/>
      <c r="AC172" s="51"/>
      <c r="AD172" s="51"/>
      <c r="AE172" s="1"/>
      <c r="AF172" s="51"/>
    </row>
    <row r="173" spans="2:32" x14ac:dyDescent="0.3">
      <c r="B173" s="46"/>
      <c r="C173" s="81"/>
      <c r="D173" s="54"/>
      <c r="E173" s="37"/>
      <c r="F173" s="82"/>
      <c r="G173" s="82"/>
      <c r="H173" s="46"/>
      <c r="I173" s="85"/>
      <c r="J173" s="86"/>
      <c r="K173" s="86"/>
      <c r="L173" s="87"/>
      <c r="M173" s="87"/>
      <c r="N173" s="88"/>
      <c r="O173" s="89"/>
      <c r="P173" s="66"/>
      <c r="R173" s="37"/>
      <c r="S173" s="37"/>
      <c r="T173" s="37"/>
      <c r="U173" s="61"/>
      <c r="V173" s="76"/>
      <c r="W173" s="61"/>
      <c r="X173" s="61"/>
      <c r="Y173" s="61"/>
      <c r="AA173" s="49"/>
      <c r="AB173" s="50"/>
      <c r="AC173" s="51"/>
      <c r="AD173" s="51"/>
      <c r="AE173" s="1"/>
      <c r="AF173" s="51"/>
    </row>
    <row r="174" spans="2:32" x14ac:dyDescent="0.3">
      <c r="B174" s="46"/>
      <c r="C174" s="81"/>
      <c r="D174" s="54"/>
      <c r="E174" s="37"/>
      <c r="F174" s="82"/>
      <c r="G174" s="82"/>
      <c r="H174" s="46"/>
      <c r="I174" s="85"/>
      <c r="J174" s="86"/>
      <c r="K174" s="86"/>
      <c r="L174" s="87"/>
      <c r="M174" s="87"/>
      <c r="N174" s="88"/>
      <c r="O174" s="89"/>
      <c r="P174" s="66"/>
      <c r="R174" s="37"/>
      <c r="S174" s="37"/>
      <c r="T174" s="37"/>
      <c r="U174" s="61"/>
      <c r="V174" s="76"/>
      <c r="W174" s="61"/>
      <c r="X174" s="61"/>
      <c r="Y174" s="61"/>
      <c r="AA174" s="49"/>
      <c r="AB174" s="50"/>
      <c r="AC174" s="51"/>
      <c r="AD174" s="51"/>
      <c r="AE174" s="1"/>
      <c r="AF174" s="51"/>
    </row>
    <row r="175" spans="2:32" x14ac:dyDescent="0.3">
      <c r="B175" s="46"/>
      <c r="C175" s="83"/>
      <c r="D175" s="84"/>
      <c r="E175" s="37"/>
      <c r="F175" s="82"/>
      <c r="G175" s="82"/>
      <c r="H175" s="46"/>
      <c r="I175" s="85"/>
      <c r="J175" s="86"/>
      <c r="K175" s="86"/>
      <c r="L175" s="87"/>
      <c r="M175" s="87"/>
      <c r="N175" s="88"/>
      <c r="O175" s="89"/>
      <c r="P175" s="66"/>
      <c r="R175" s="37"/>
      <c r="S175" s="37"/>
      <c r="T175" s="37"/>
      <c r="U175" s="61"/>
      <c r="V175" s="76"/>
      <c r="W175" s="61"/>
      <c r="X175" s="61"/>
      <c r="Y175" s="61"/>
      <c r="AA175" s="49"/>
      <c r="AB175" s="50"/>
      <c r="AC175" s="51"/>
      <c r="AD175" s="51"/>
      <c r="AE175" s="1"/>
      <c r="AF175" s="51"/>
    </row>
    <row r="176" spans="2:32" x14ac:dyDescent="0.3">
      <c r="B176" s="46"/>
      <c r="C176" s="79"/>
      <c r="D176" s="41"/>
      <c r="E176" s="74"/>
      <c r="F176" s="38"/>
      <c r="G176" s="38"/>
      <c r="H176" s="46"/>
      <c r="I176" s="85"/>
      <c r="J176" s="86"/>
      <c r="K176" s="86"/>
      <c r="L176" s="87"/>
      <c r="M176" s="87"/>
      <c r="N176" s="88"/>
      <c r="O176" s="89"/>
      <c r="P176" s="66"/>
      <c r="R176" s="37"/>
      <c r="S176" s="37"/>
      <c r="T176" s="37"/>
      <c r="U176" s="61"/>
      <c r="V176" s="76"/>
      <c r="W176" s="61"/>
      <c r="X176" s="61"/>
      <c r="Y176" s="61"/>
      <c r="AA176" s="49"/>
      <c r="AB176" s="50"/>
      <c r="AC176" s="51"/>
      <c r="AD176" s="51"/>
      <c r="AE176" s="1"/>
      <c r="AF176" s="51"/>
    </row>
    <row r="177" spans="2:32" x14ac:dyDescent="0.3">
      <c r="B177" s="46"/>
      <c r="C177" s="79"/>
      <c r="D177" s="41"/>
      <c r="E177" s="74"/>
      <c r="F177" s="38"/>
      <c r="G177" s="38"/>
      <c r="H177" s="46"/>
      <c r="I177" s="85"/>
      <c r="J177" s="86"/>
      <c r="K177" s="86"/>
      <c r="L177" s="87"/>
      <c r="M177" s="87"/>
      <c r="N177" s="88"/>
      <c r="O177" s="89"/>
      <c r="P177" s="66"/>
      <c r="R177" s="37"/>
      <c r="S177" s="37"/>
      <c r="T177" s="37"/>
      <c r="U177" s="61"/>
      <c r="V177" s="76"/>
      <c r="W177" s="61"/>
      <c r="X177" s="61"/>
      <c r="Y177" s="61"/>
      <c r="AA177" s="49"/>
      <c r="AB177" s="50"/>
      <c r="AC177" s="51"/>
      <c r="AD177" s="51"/>
      <c r="AE177" s="1"/>
      <c r="AF177" s="51"/>
    </row>
    <row r="178" spans="2:32" x14ac:dyDescent="0.3">
      <c r="B178" s="46"/>
      <c r="C178" s="79"/>
      <c r="D178" s="41"/>
      <c r="E178" s="74"/>
      <c r="F178" s="38"/>
      <c r="G178" s="38"/>
      <c r="H178" s="46"/>
      <c r="I178" s="85"/>
      <c r="J178" s="86"/>
      <c r="K178" s="86"/>
      <c r="L178" s="87"/>
      <c r="M178" s="87"/>
      <c r="N178" s="88"/>
      <c r="O178" s="89"/>
      <c r="P178" s="66"/>
      <c r="R178" s="37"/>
      <c r="S178" s="37"/>
      <c r="T178" s="37"/>
      <c r="U178" s="61"/>
      <c r="V178" s="76"/>
      <c r="W178" s="61"/>
      <c r="X178" s="61"/>
      <c r="Y178" s="61"/>
      <c r="AA178" s="49"/>
      <c r="AB178" s="50"/>
      <c r="AC178" s="51"/>
      <c r="AD178" s="51"/>
      <c r="AE178" s="1"/>
      <c r="AF178" s="51"/>
    </row>
    <row r="179" spans="2:32" x14ac:dyDescent="0.3">
      <c r="B179" s="46"/>
      <c r="C179" s="79"/>
      <c r="D179" s="41"/>
      <c r="E179" s="74"/>
      <c r="F179" s="38"/>
      <c r="G179" s="38"/>
      <c r="H179" s="46"/>
      <c r="I179" s="85"/>
      <c r="J179" s="86"/>
      <c r="K179" s="86"/>
      <c r="L179" s="87"/>
      <c r="M179" s="87"/>
      <c r="N179" s="88"/>
      <c r="O179" s="89"/>
      <c r="P179" s="66"/>
      <c r="R179" s="37"/>
      <c r="S179" s="37"/>
      <c r="T179" s="37"/>
      <c r="U179" s="61"/>
      <c r="V179" s="76"/>
      <c r="W179" s="61"/>
      <c r="X179" s="61"/>
      <c r="Y179" s="61"/>
      <c r="AA179" s="49"/>
      <c r="AB179" s="50"/>
      <c r="AC179" s="51"/>
      <c r="AD179" s="51"/>
      <c r="AE179" s="1"/>
      <c r="AF179" s="51"/>
    </row>
    <row r="180" spans="2:32" x14ac:dyDescent="0.3">
      <c r="B180" s="46"/>
      <c r="C180" s="79"/>
      <c r="D180" s="41"/>
      <c r="E180" s="74"/>
      <c r="F180" s="38"/>
      <c r="G180" s="38"/>
      <c r="H180" s="46"/>
      <c r="I180" s="85"/>
      <c r="J180" s="86"/>
      <c r="K180" s="86"/>
      <c r="L180" s="87"/>
      <c r="M180" s="87"/>
      <c r="N180" s="88"/>
      <c r="O180" s="89"/>
      <c r="P180" s="66"/>
      <c r="R180" s="37"/>
      <c r="S180" s="37"/>
      <c r="T180" s="37"/>
      <c r="U180" s="61"/>
      <c r="V180" s="76"/>
      <c r="W180" s="61"/>
      <c r="X180" s="61"/>
      <c r="Y180" s="61"/>
      <c r="AA180" s="49"/>
      <c r="AB180" s="50"/>
      <c r="AC180" s="51"/>
      <c r="AD180" s="51"/>
      <c r="AE180" s="1"/>
      <c r="AF180" s="51"/>
    </row>
    <row r="181" spans="2:32" x14ac:dyDescent="0.3">
      <c r="B181" s="46"/>
      <c r="C181" s="79"/>
      <c r="D181" s="41"/>
      <c r="E181" s="74"/>
      <c r="F181" s="38"/>
      <c r="G181" s="38"/>
      <c r="H181" s="46"/>
      <c r="I181" s="90"/>
      <c r="J181" s="91"/>
      <c r="K181" s="91"/>
      <c r="L181" s="92"/>
      <c r="M181" s="92"/>
      <c r="N181" s="93"/>
      <c r="O181" s="92"/>
      <c r="P181" s="66"/>
      <c r="R181" s="37"/>
      <c r="S181" s="37"/>
      <c r="T181" s="37"/>
      <c r="U181" s="73"/>
      <c r="V181" s="94"/>
      <c r="W181" s="73"/>
      <c r="X181" s="73"/>
      <c r="Y181" s="73"/>
      <c r="AA181" s="49"/>
      <c r="AB181" s="50"/>
      <c r="AC181" s="51"/>
      <c r="AD181" s="51"/>
      <c r="AE181" s="1"/>
      <c r="AF181" s="51"/>
    </row>
    <row r="182" spans="2:32" x14ac:dyDescent="0.3">
      <c r="B182" s="46"/>
      <c r="C182" s="79"/>
      <c r="D182" s="41"/>
      <c r="E182" s="74"/>
      <c r="F182" s="38"/>
      <c r="G182" s="38"/>
      <c r="H182" s="46"/>
      <c r="I182" s="85"/>
      <c r="J182" s="86"/>
      <c r="K182" s="86"/>
      <c r="L182" s="87"/>
      <c r="M182" s="87"/>
      <c r="N182" s="88"/>
      <c r="O182" s="89"/>
      <c r="P182" s="66"/>
      <c r="R182" s="37"/>
      <c r="S182" s="37"/>
      <c r="T182" s="37"/>
      <c r="U182" s="61"/>
      <c r="V182" s="76"/>
      <c r="W182" s="61"/>
      <c r="X182" s="61"/>
      <c r="Y182" s="61"/>
      <c r="AA182" s="49"/>
      <c r="AB182" s="50"/>
      <c r="AC182" s="51"/>
      <c r="AD182" s="51"/>
      <c r="AE182" s="1"/>
      <c r="AF182" s="51"/>
    </row>
    <row r="183" spans="2:32" x14ac:dyDescent="0.3">
      <c r="B183" s="46"/>
      <c r="C183" s="79"/>
      <c r="D183" s="41"/>
      <c r="E183" s="74"/>
      <c r="F183" s="38"/>
      <c r="G183" s="38"/>
      <c r="H183" s="46"/>
      <c r="I183" s="85"/>
      <c r="J183" s="86"/>
      <c r="K183" s="86"/>
      <c r="L183" s="87"/>
      <c r="M183" s="87"/>
      <c r="N183" s="88"/>
      <c r="O183" s="89"/>
      <c r="P183" s="66"/>
      <c r="R183" s="37"/>
      <c r="S183" s="37"/>
      <c r="T183" s="37"/>
      <c r="U183" s="61"/>
      <c r="V183" s="76"/>
      <c r="W183" s="61"/>
      <c r="X183" s="61"/>
      <c r="Y183" s="61"/>
      <c r="AA183" s="49"/>
      <c r="AB183" s="50"/>
      <c r="AC183" s="51"/>
      <c r="AD183" s="51"/>
      <c r="AE183" s="1"/>
      <c r="AF183" s="51"/>
    </row>
    <row r="184" spans="2:32" x14ac:dyDescent="0.3">
      <c r="B184" s="46"/>
      <c r="C184" s="95"/>
      <c r="D184" s="40"/>
      <c r="E184" s="74"/>
      <c r="F184" s="38"/>
      <c r="G184" s="38"/>
      <c r="H184" s="46"/>
      <c r="I184" s="85"/>
      <c r="J184" s="86"/>
      <c r="K184" s="86"/>
      <c r="L184" s="87"/>
      <c r="M184" s="87"/>
      <c r="N184" s="88"/>
      <c r="O184" s="89"/>
      <c r="P184" s="66"/>
      <c r="R184" s="37"/>
      <c r="S184" s="37"/>
      <c r="T184" s="37"/>
      <c r="U184" s="61"/>
      <c r="V184" s="76"/>
      <c r="W184" s="61"/>
      <c r="X184" s="61"/>
      <c r="Y184" s="61"/>
      <c r="AA184" s="49"/>
      <c r="AB184" s="50"/>
      <c r="AC184" s="51"/>
      <c r="AD184" s="51"/>
      <c r="AE184" s="1"/>
      <c r="AF184" s="51"/>
    </row>
    <row r="185" spans="2:32" x14ac:dyDescent="0.3">
      <c r="B185" s="46"/>
      <c r="C185" s="95"/>
      <c r="D185" s="40"/>
      <c r="E185" s="74"/>
      <c r="F185" s="38"/>
      <c r="G185" s="38"/>
      <c r="H185" s="46"/>
      <c r="I185" s="80"/>
      <c r="J185" s="75"/>
      <c r="K185" s="75"/>
      <c r="L185" s="68"/>
      <c r="M185" s="68"/>
      <c r="N185" s="69"/>
      <c r="O185" s="70"/>
      <c r="P185" s="66"/>
      <c r="R185" s="37"/>
      <c r="S185" s="37"/>
      <c r="T185" s="37"/>
      <c r="U185" s="61"/>
      <c r="V185" s="76"/>
      <c r="W185" s="61"/>
      <c r="X185" s="61"/>
      <c r="Y185" s="61"/>
      <c r="AA185" s="49"/>
      <c r="AB185" s="50"/>
      <c r="AC185" s="51"/>
      <c r="AD185" s="51"/>
      <c r="AE185" s="1"/>
      <c r="AF185" s="51"/>
    </row>
    <row r="186" spans="2:32" x14ac:dyDescent="0.3">
      <c r="G186" s="38"/>
      <c r="H186" s="46"/>
      <c r="I186" s="80"/>
      <c r="J186" s="75"/>
      <c r="K186" s="75"/>
      <c r="L186" s="68"/>
      <c r="M186" s="68"/>
      <c r="N186" s="69"/>
      <c r="O186" s="70"/>
      <c r="P186" s="66"/>
      <c r="R186" s="37"/>
      <c r="S186" s="37"/>
      <c r="T186" s="37"/>
      <c r="U186" s="61"/>
      <c r="V186" s="76"/>
      <c r="W186" s="61"/>
      <c r="X186" s="61"/>
      <c r="Y186" s="61"/>
      <c r="AA186" s="49"/>
      <c r="AB186" s="50"/>
      <c r="AC186" s="51"/>
      <c r="AD186" s="51"/>
      <c r="AE186" s="1"/>
      <c r="AF186" s="51"/>
    </row>
    <row r="187" spans="2:32" x14ac:dyDescent="0.3">
      <c r="G187" s="38"/>
      <c r="H187" s="46"/>
      <c r="I187" s="96"/>
      <c r="J187" s="97"/>
      <c r="K187" s="97"/>
      <c r="L187" s="98"/>
      <c r="M187" s="98"/>
      <c r="N187" s="99"/>
      <c r="O187" s="100"/>
      <c r="P187" s="66"/>
      <c r="R187" s="37"/>
      <c r="S187" s="37"/>
      <c r="T187" s="37"/>
      <c r="U187" s="61"/>
      <c r="V187" s="76"/>
      <c r="W187" s="61"/>
      <c r="X187" s="61"/>
      <c r="Y187" s="61"/>
      <c r="AA187" s="49"/>
      <c r="AB187" s="50"/>
      <c r="AC187" s="51"/>
      <c r="AD187" s="51"/>
      <c r="AE187" s="1"/>
      <c r="AF187" s="51"/>
    </row>
    <row r="188" spans="2:32" x14ac:dyDescent="0.3">
      <c r="B188" s="46"/>
      <c r="C188" s="46"/>
      <c r="D188" s="41"/>
      <c r="E188" s="74"/>
      <c r="F188" s="101"/>
      <c r="G188" s="101"/>
      <c r="H188" s="46"/>
      <c r="I188" s="80"/>
      <c r="J188" s="75"/>
      <c r="K188" s="75"/>
      <c r="L188" s="68"/>
      <c r="M188" s="68"/>
      <c r="N188" s="69"/>
      <c r="O188" s="70"/>
      <c r="P188" s="66"/>
      <c r="R188" s="37"/>
      <c r="S188" s="37"/>
      <c r="T188" s="37"/>
      <c r="U188" s="61"/>
      <c r="V188" s="76"/>
      <c r="W188" s="61"/>
      <c r="X188" s="61"/>
      <c r="Y188" s="61"/>
      <c r="AA188" s="49"/>
      <c r="AB188" s="50"/>
      <c r="AC188" s="51"/>
      <c r="AD188" s="51"/>
      <c r="AE188" s="1"/>
      <c r="AF188" s="51"/>
    </row>
    <row r="189" spans="2:32" x14ac:dyDescent="0.3">
      <c r="B189" s="46"/>
      <c r="C189" s="46"/>
      <c r="D189" s="41"/>
      <c r="E189" s="74"/>
      <c r="F189" s="101"/>
      <c r="G189" s="101"/>
      <c r="H189" s="46"/>
      <c r="I189" s="80"/>
      <c r="J189" s="75"/>
      <c r="K189" s="75"/>
      <c r="L189" s="68"/>
      <c r="M189" s="68"/>
      <c r="N189" s="69"/>
      <c r="O189" s="70"/>
      <c r="P189" s="66"/>
      <c r="R189" s="37"/>
      <c r="S189" s="37"/>
      <c r="T189" s="37"/>
      <c r="U189" s="61"/>
      <c r="V189" s="76"/>
      <c r="W189" s="61"/>
      <c r="X189" s="61"/>
      <c r="Y189" s="61"/>
      <c r="AA189" s="49"/>
      <c r="AB189" s="50"/>
      <c r="AC189" s="51"/>
      <c r="AD189" s="51"/>
      <c r="AE189" s="1"/>
      <c r="AF189" s="51"/>
    </row>
    <row r="190" spans="2:32" x14ac:dyDescent="0.3">
      <c r="B190" s="46"/>
      <c r="C190" s="46"/>
      <c r="D190" s="41"/>
      <c r="E190" s="74"/>
      <c r="F190" s="101"/>
      <c r="G190" s="101"/>
      <c r="H190" s="46"/>
      <c r="I190" s="80"/>
      <c r="J190" s="75"/>
      <c r="K190" s="75"/>
      <c r="L190" s="68"/>
      <c r="M190" s="68"/>
      <c r="N190" s="69"/>
      <c r="O190" s="70"/>
      <c r="P190" s="66"/>
      <c r="R190" s="37"/>
      <c r="S190" s="37"/>
      <c r="T190" s="37"/>
      <c r="U190" s="61"/>
      <c r="V190" s="76"/>
      <c r="W190" s="61"/>
      <c r="X190" s="61"/>
      <c r="Y190" s="61"/>
      <c r="AA190" s="49"/>
      <c r="AB190" s="50"/>
      <c r="AC190" s="51"/>
      <c r="AD190" s="51"/>
      <c r="AE190" s="1"/>
      <c r="AF190" s="51"/>
    </row>
    <row r="191" spans="2:32" x14ac:dyDescent="0.3">
      <c r="B191" s="46"/>
      <c r="C191" s="46"/>
      <c r="D191" s="41"/>
      <c r="E191" s="74"/>
      <c r="F191" s="101"/>
      <c r="G191" s="101"/>
      <c r="H191" s="46"/>
      <c r="I191" s="80"/>
      <c r="J191" s="75"/>
      <c r="K191" s="75"/>
      <c r="L191" s="68"/>
      <c r="M191" s="68"/>
      <c r="N191" s="69"/>
      <c r="O191" s="70"/>
      <c r="P191" s="66"/>
      <c r="AA191" s="49"/>
      <c r="AB191" s="50"/>
      <c r="AC191" s="51"/>
      <c r="AD191" s="51"/>
      <c r="AE191" s="1"/>
      <c r="AF191" s="51"/>
    </row>
    <row r="192" spans="2:32" x14ac:dyDescent="0.3">
      <c r="B192" s="46"/>
      <c r="C192" s="46"/>
      <c r="D192" s="41"/>
      <c r="E192" s="74"/>
      <c r="F192" s="101"/>
      <c r="G192" s="101"/>
      <c r="H192" s="46"/>
      <c r="I192" s="80"/>
      <c r="J192" s="75"/>
      <c r="K192" s="75"/>
      <c r="L192" s="68"/>
      <c r="M192" s="68"/>
      <c r="N192" s="69"/>
      <c r="O192" s="70"/>
      <c r="P192" s="66"/>
      <c r="AA192" s="49"/>
      <c r="AB192" s="50"/>
      <c r="AC192" s="51"/>
      <c r="AD192" s="51"/>
      <c r="AE192" s="1"/>
      <c r="AF192" s="51"/>
    </row>
    <row r="193" spans="2:32" x14ac:dyDescent="0.3">
      <c r="B193" s="46"/>
      <c r="C193" s="46"/>
      <c r="D193" s="41"/>
      <c r="E193" s="74"/>
      <c r="F193" s="101"/>
      <c r="G193" s="101"/>
      <c r="H193" s="46"/>
      <c r="I193" s="80"/>
      <c r="J193" s="75"/>
      <c r="K193" s="75"/>
      <c r="L193" s="68"/>
      <c r="M193" s="68"/>
      <c r="N193" s="69"/>
      <c r="O193" s="70"/>
      <c r="P193" s="66"/>
      <c r="AA193" s="49"/>
      <c r="AB193" s="50"/>
      <c r="AC193" s="51"/>
      <c r="AD193" s="51"/>
      <c r="AE193" s="1"/>
      <c r="AF193" s="51"/>
    </row>
    <row r="194" spans="2:32" x14ac:dyDescent="0.3">
      <c r="B194" s="46"/>
      <c r="C194" s="46"/>
      <c r="D194" s="41"/>
      <c r="E194" s="74"/>
      <c r="F194" s="101"/>
      <c r="G194" s="101"/>
      <c r="H194" s="46"/>
      <c r="I194" s="80"/>
      <c r="J194" s="75"/>
      <c r="K194" s="75"/>
      <c r="L194" s="68"/>
      <c r="M194" s="68"/>
      <c r="N194" s="69"/>
      <c r="O194" s="70"/>
      <c r="P194" s="66"/>
      <c r="AA194" s="49"/>
      <c r="AB194" s="50"/>
      <c r="AC194" s="51"/>
      <c r="AD194" s="51"/>
      <c r="AE194" s="1"/>
      <c r="AF194" s="51"/>
    </row>
    <row r="195" spans="2:32" x14ac:dyDescent="0.3">
      <c r="B195" s="46"/>
      <c r="C195" s="46"/>
      <c r="D195" s="41"/>
      <c r="E195" s="74"/>
      <c r="F195" s="101"/>
      <c r="G195" s="101"/>
      <c r="H195" s="46"/>
      <c r="I195" s="80"/>
      <c r="J195" s="75"/>
      <c r="K195" s="75"/>
      <c r="L195" s="68"/>
      <c r="M195" s="68"/>
      <c r="N195" s="69"/>
      <c r="O195" s="70"/>
      <c r="P195" s="66"/>
      <c r="AA195" s="49"/>
      <c r="AB195" s="50"/>
      <c r="AC195" s="51"/>
      <c r="AD195" s="51"/>
      <c r="AE195" s="1"/>
      <c r="AF195" s="51"/>
    </row>
    <row r="196" spans="2:32" x14ac:dyDescent="0.3">
      <c r="B196" s="46"/>
      <c r="C196" s="46"/>
      <c r="D196" s="41"/>
      <c r="E196" s="74"/>
      <c r="F196" s="101"/>
      <c r="G196" s="101"/>
      <c r="H196" s="46"/>
      <c r="I196" s="80"/>
      <c r="J196" s="75"/>
      <c r="K196" s="75"/>
      <c r="L196" s="68"/>
      <c r="M196" s="68"/>
      <c r="N196" s="69"/>
      <c r="O196" s="70"/>
      <c r="P196" s="66"/>
      <c r="AA196" s="49"/>
      <c r="AB196" s="50"/>
      <c r="AC196" s="51"/>
      <c r="AD196" s="51"/>
      <c r="AE196" s="1"/>
      <c r="AF196" s="51"/>
    </row>
    <row r="197" spans="2:32" x14ac:dyDescent="0.3">
      <c r="B197" s="46"/>
      <c r="C197" s="46"/>
      <c r="D197" s="41"/>
      <c r="E197" s="74"/>
      <c r="F197" s="101"/>
      <c r="G197" s="101"/>
      <c r="H197" s="46"/>
      <c r="I197" s="80"/>
      <c r="J197" s="75"/>
      <c r="K197" s="75"/>
      <c r="L197" s="68"/>
      <c r="M197" s="68"/>
      <c r="N197" s="69"/>
      <c r="O197" s="70"/>
      <c r="P197" s="66"/>
      <c r="AA197" s="49"/>
      <c r="AB197" s="50"/>
      <c r="AC197" s="51"/>
      <c r="AD197" s="51"/>
      <c r="AE197" s="1"/>
      <c r="AF197" s="51"/>
    </row>
    <row r="198" spans="2:32" x14ac:dyDescent="0.3">
      <c r="B198" s="46"/>
      <c r="C198" s="46"/>
      <c r="D198" s="41"/>
      <c r="E198" s="74"/>
      <c r="F198" s="101"/>
      <c r="G198" s="101"/>
      <c r="H198" s="46"/>
      <c r="I198" s="80"/>
      <c r="J198" s="75"/>
      <c r="K198" s="75"/>
      <c r="L198" s="68"/>
      <c r="M198" s="68"/>
      <c r="N198" s="69"/>
      <c r="O198" s="70"/>
      <c r="P198" s="66"/>
      <c r="AA198" s="49"/>
      <c r="AB198" s="50"/>
      <c r="AC198" s="51"/>
      <c r="AD198" s="51"/>
      <c r="AE198" s="1"/>
      <c r="AF198" s="51"/>
    </row>
    <row r="199" spans="2:32" x14ac:dyDescent="0.3">
      <c r="B199" s="46"/>
      <c r="C199" s="46"/>
      <c r="D199" s="41"/>
      <c r="E199" s="74"/>
      <c r="F199" s="101"/>
      <c r="G199" s="101"/>
      <c r="H199" s="46"/>
      <c r="I199" s="80"/>
      <c r="J199" s="75"/>
      <c r="K199" s="75"/>
      <c r="L199" s="68"/>
      <c r="M199" s="68"/>
      <c r="N199" s="69"/>
      <c r="O199" s="70"/>
      <c r="P199" s="66"/>
      <c r="AA199" s="49"/>
      <c r="AB199" s="50"/>
      <c r="AC199" s="51"/>
      <c r="AD199" s="51"/>
      <c r="AE199" s="1"/>
      <c r="AF199" s="51"/>
    </row>
    <row r="200" spans="2:32" x14ac:dyDescent="0.3">
      <c r="B200" s="46"/>
      <c r="C200" s="46"/>
      <c r="D200" s="41"/>
      <c r="E200" s="74"/>
      <c r="F200" s="101"/>
      <c r="G200" s="101"/>
      <c r="H200" s="46"/>
      <c r="I200" s="80"/>
      <c r="J200" s="75"/>
      <c r="K200" s="75"/>
      <c r="L200" s="68"/>
      <c r="M200" s="68"/>
      <c r="N200" s="69"/>
      <c r="O200" s="70"/>
      <c r="P200" s="66"/>
      <c r="AA200" s="49"/>
      <c r="AB200" s="50"/>
      <c r="AC200" s="51"/>
      <c r="AD200" s="51"/>
      <c r="AE200" s="1"/>
      <c r="AF200" s="51"/>
    </row>
    <row r="201" spans="2:32" x14ac:dyDescent="0.3">
      <c r="B201" s="46"/>
      <c r="C201" s="46"/>
      <c r="D201" s="41"/>
      <c r="E201" s="74"/>
      <c r="F201" s="101"/>
      <c r="G201" s="101"/>
      <c r="H201" s="46"/>
      <c r="I201" s="80"/>
      <c r="J201" s="75"/>
      <c r="K201" s="75"/>
      <c r="L201" s="68"/>
      <c r="M201" s="68"/>
      <c r="N201" s="69"/>
      <c r="O201" s="70"/>
      <c r="P201" s="66"/>
      <c r="AA201" s="49"/>
      <c r="AB201" s="50"/>
      <c r="AC201" s="51"/>
      <c r="AD201" s="51"/>
      <c r="AE201" s="1"/>
      <c r="AF201" s="51"/>
    </row>
    <row r="202" spans="2:32" x14ac:dyDescent="0.3">
      <c r="B202" s="46"/>
      <c r="C202" s="46"/>
      <c r="D202" s="41"/>
      <c r="E202" s="74"/>
      <c r="F202" s="101"/>
      <c r="G202" s="101"/>
      <c r="H202" s="46"/>
      <c r="I202" s="65"/>
      <c r="J202" s="75"/>
      <c r="K202" s="75"/>
      <c r="L202" s="68"/>
      <c r="M202" s="68"/>
      <c r="N202" s="69"/>
      <c r="O202" s="70"/>
      <c r="P202" s="66"/>
      <c r="AA202" s="49"/>
      <c r="AB202" s="50"/>
      <c r="AC202" s="51"/>
      <c r="AD202" s="51"/>
      <c r="AE202" s="1"/>
      <c r="AF202" s="51"/>
    </row>
    <row r="203" spans="2:32" x14ac:dyDescent="0.3">
      <c r="B203" s="46"/>
      <c r="C203" s="46"/>
      <c r="D203" s="41"/>
      <c r="E203" s="74"/>
      <c r="F203" s="101"/>
      <c r="G203" s="101"/>
      <c r="H203" s="46"/>
      <c r="I203" s="65"/>
      <c r="J203" s="75"/>
      <c r="K203" s="75"/>
      <c r="L203" s="68"/>
      <c r="M203" s="68"/>
      <c r="N203" s="69"/>
      <c r="O203" s="70"/>
      <c r="P203" s="66"/>
      <c r="AA203" s="49"/>
      <c r="AB203" s="50"/>
      <c r="AC203" s="51"/>
      <c r="AD203" s="51"/>
      <c r="AE203" s="1"/>
      <c r="AF203" s="51"/>
    </row>
    <row r="204" spans="2:32" x14ac:dyDescent="0.3">
      <c r="B204" s="46"/>
      <c r="C204" s="46"/>
      <c r="D204" s="41"/>
      <c r="E204" s="74"/>
      <c r="F204" s="101"/>
      <c r="G204" s="101"/>
      <c r="H204" s="46"/>
      <c r="I204" s="65"/>
      <c r="J204" s="75"/>
      <c r="K204" s="75"/>
      <c r="L204" s="68"/>
      <c r="M204" s="68"/>
      <c r="N204" s="69"/>
      <c r="O204" s="70"/>
      <c r="P204" s="66"/>
      <c r="AA204" s="49"/>
      <c r="AB204" s="50"/>
      <c r="AC204" s="51"/>
      <c r="AD204" s="51"/>
      <c r="AE204" s="1"/>
      <c r="AF204" s="51"/>
    </row>
    <row r="205" spans="2:32" x14ac:dyDescent="0.3">
      <c r="B205" s="46"/>
      <c r="C205" s="46"/>
      <c r="D205" s="41"/>
      <c r="E205" s="74"/>
      <c r="F205" s="101"/>
      <c r="G205" s="101"/>
      <c r="H205" s="46"/>
      <c r="I205" s="65"/>
      <c r="J205" s="75"/>
      <c r="K205" s="75"/>
      <c r="L205" s="68"/>
      <c r="M205" s="68"/>
      <c r="N205" s="69"/>
      <c r="O205" s="70"/>
      <c r="P205" s="66"/>
      <c r="AA205" s="49"/>
      <c r="AB205" s="50"/>
      <c r="AC205" s="51"/>
      <c r="AD205" s="51"/>
      <c r="AE205" s="1"/>
      <c r="AF205" s="51"/>
    </row>
    <row r="206" spans="2:32" x14ac:dyDescent="0.3">
      <c r="B206" s="46"/>
      <c r="C206" s="46"/>
      <c r="D206" s="41"/>
      <c r="E206" s="74"/>
      <c r="F206" s="101"/>
      <c r="G206" s="101"/>
      <c r="H206" s="46"/>
      <c r="I206" s="65"/>
      <c r="J206" s="75"/>
      <c r="K206" s="75"/>
      <c r="L206" s="68"/>
      <c r="M206" s="68"/>
      <c r="N206" s="69"/>
      <c r="O206" s="70"/>
      <c r="P206" s="66"/>
      <c r="AA206" s="49"/>
      <c r="AB206" s="50"/>
      <c r="AC206" s="51"/>
      <c r="AD206" s="51"/>
      <c r="AE206" s="1"/>
      <c r="AF206" s="51"/>
    </row>
    <row r="207" spans="2:32" x14ac:dyDescent="0.3">
      <c r="B207" s="46"/>
      <c r="C207" s="46"/>
      <c r="D207" s="41"/>
      <c r="E207" s="74"/>
      <c r="F207" s="101"/>
      <c r="G207" s="101"/>
      <c r="H207" s="46"/>
      <c r="I207" s="65"/>
      <c r="J207" s="75"/>
      <c r="K207" s="75"/>
      <c r="L207" s="68"/>
      <c r="M207" s="68"/>
      <c r="N207" s="69"/>
      <c r="O207" s="70"/>
      <c r="P207" s="66"/>
      <c r="AA207" s="49"/>
      <c r="AB207" s="50"/>
      <c r="AC207" s="51"/>
      <c r="AD207" s="51"/>
      <c r="AE207" s="1"/>
      <c r="AF207" s="51"/>
    </row>
    <row r="208" spans="2:32" x14ac:dyDescent="0.3">
      <c r="B208" s="46"/>
      <c r="C208" s="46"/>
      <c r="D208" s="41"/>
      <c r="E208" s="74"/>
      <c r="F208" s="101"/>
      <c r="G208" s="101"/>
      <c r="H208" s="46"/>
      <c r="I208" s="65"/>
      <c r="J208" s="75"/>
      <c r="K208" s="75"/>
      <c r="L208" s="68"/>
      <c r="M208" s="68"/>
      <c r="N208" s="69"/>
      <c r="O208" s="70"/>
      <c r="P208" s="66"/>
      <c r="AA208" s="49"/>
      <c r="AB208" s="50"/>
      <c r="AC208" s="51"/>
      <c r="AD208" s="51"/>
      <c r="AE208" s="1"/>
      <c r="AF208" s="51"/>
    </row>
    <row r="209" spans="2:32" x14ac:dyDescent="0.3">
      <c r="B209" s="46"/>
      <c r="C209" s="46"/>
      <c r="D209" s="41"/>
      <c r="E209" s="74"/>
      <c r="F209" s="101"/>
      <c r="G209" s="101"/>
      <c r="H209" s="46"/>
      <c r="I209" s="65"/>
      <c r="J209" s="75"/>
      <c r="K209" s="75"/>
      <c r="L209" s="68"/>
      <c r="M209" s="68"/>
      <c r="N209" s="69"/>
      <c r="O209" s="70"/>
      <c r="P209" s="66"/>
      <c r="AA209" s="49"/>
      <c r="AB209" s="50"/>
      <c r="AC209" s="51"/>
      <c r="AD209" s="51"/>
      <c r="AE209" s="1"/>
      <c r="AF209" s="51"/>
    </row>
    <row r="210" spans="2:32" x14ac:dyDescent="0.3">
      <c r="B210" s="46"/>
      <c r="C210" s="46"/>
      <c r="D210" s="41"/>
      <c r="E210" s="74"/>
      <c r="F210" s="101"/>
      <c r="G210" s="101"/>
      <c r="H210" s="46"/>
      <c r="I210" s="65"/>
      <c r="J210" s="75"/>
      <c r="K210" s="75"/>
      <c r="L210" s="68"/>
      <c r="M210" s="68"/>
      <c r="N210" s="69"/>
      <c r="O210" s="70"/>
      <c r="P210" s="66"/>
      <c r="AA210" s="49"/>
      <c r="AB210" s="50"/>
      <c r="AC210" s="51"/>
      <c r="AD210" s="51"/>
      <c r="AE210" s="1"/>
      <c r="AF210" s="51"/>
    </row>
    <row r="211" spans="2:32" x14ac:dyDescent="0.3">
      <c r="B211" s="46"/>
      <c r="C211" s="46"/>
      <c r="D211" s="41"/>
      <c r="E211" s="74"/>
      <c r="F211" s="101"/>
      <c r="G211" s="101"/>
      <c r="H211" s="46"/>
      <c r="I211" s="65"/>
      <c r="J211" s="75"/>
      <c r="K211" s="75"/>
      <c r="L211" s="68"/>
      <c r="M211" s="68"/>
      <c r="N211" s="69"/>
      <c r="O211" s="70"/>
      <c r="P211" s="66"/>
      <c r="AA211" s="49"/>
      <c r="AB211" s="50"/>
      <c r="AC211" s="51"/>
      <c r="AD211" s="51"/>
      <c r="AE211" s="1"/>
      <c r="AF211" s="51"/>
    </row>
    <row r="212" spans="2:32" x14ac:dyDescent="0.3">
      <c r="B212" s="46"/>
      <c r="C212" s="46"/>
      <c r="D212" s="41"/>
      <c r="E212" s="74"/>
      <c r="F212" s="101"/>
      <c r="G212" s="101"/>
      <c r="H212" s="46"/>
      <c r="I212" s="65"/>
      <c r="J212" s="75"/>
      <c r="K212" s="75"/>
      <c r="L212" s="68"/>
      <c r="M212" s="68"/>
      <c r="N212" s="69"/>
      <c r="O212" s="70"/>
      <c r="P212" s="66"/>
      <c r="AA212" s="49"/>
      <c r="AB212" s="50"/>
      <c r="AC212" s="51"/>
      <c r="AD212" s="51"/>
      <c r="AE212" s="1"/>
      <c r="AF212" s="51"/>
    </row>
    <row r="213" spans="2:32" x14ac:dyDescent="0.3">
      <c r="B213" s="46"/>
      <c r="C213" s="46"/>
      <c r="D213" s="41"/>
      <c r="E213" s="74"/>
      <c r="F213" s="101"/>
      <c r="G213" s="101"/>
      <c r="H213" s="46"/>
      <c r="I213" s="65"/>
      <c r="J213" s="75"/>
      <c r="K213" s="75"/>
      <c r="L213" s="68"/>
      <c r="M213" s="68"/>
      <c r="N213" s="69"/>
      <c r="O213" s="70"/>
      <c r="P213" s="66"/>
      <c r="AA213" s="49"/>
      <c r="AB213" s="50"/>
      <c r="AC213" s="51"/>
      <c r="AD213" s="51"/>
      <c r="AE213" s="1"/>
      <c r="AF213" s="51"/>
    </row>
    <row r="214" spans="2:32" x14ac:dyDescent="0.3">
      <c r="B214" s="46"/>
      <c r="C214" s="46"/>
      <c r="D214" s="41"/>
      <c r="E214" s="74"/>
      <c r="F214" s="101"/>
      <c r="G214" s="101"/>
      <c r="H214" s="46"/>
      <c r="I214" s="65"/>
      <c r="J214" s="75"/>
      <c r="K214" s="75"/>
      <c r="L214" s="68"/>
      <c r="M214" s="68"/>
      <c r="N214" s="69"/>
      <c r="O214" s="70"/>
      <c r="P214" s="66"/>
      <c r="AA214" s="49"/>
      <c r="AB214" s="50"/>
      <c r="AC214" s="51"/>
      <c r="AD214" s="51"/>
      <c r="AE214" s="1"/>
      <c r="AF214" s="51"/>
    </row>
    <row r="215" spans="2:32" x14ac:dyDescent="0.3">
      <c r="B215" s="46"/>
      <c r="C215" s="46"/>
      <c r="D215" s="41"/>
      <c r="E215" s="74"/>
      <c r="F215" s="101"/>
      <c r="G215" s="101"/>
      <c r="H215" s="46"/>
      <c r="I215" s="65"/>
      <c r="J215" s="75"/>
      <c r="K215" s="75"/>
      <c r="L215" s="68"/>
      <c r="M215" s="68"/>
      <c r="N215" s="69"/>
      <c r="O215" s="70"/>
      <c r="P215" s="66"/>
      <c r="AA215" s="49"/>
      <c r="AB215" s="50"/>
      <c r="AC215" s="51"/>
      <c r="AD215" s="51"/>
      <c r="AE215" s="1"/>
      <c r="AF215" s="51"/>
    </row>
    <row r="216" spans="2:32" x14ac:dyDescent="0.3">
      <c r="B216" s="46"/>
      <c r="C216" s="46"/>
      <c r="D216" s="41"/>
      <c r="E216" s="74"/>
      <c r="F216" s="101"/>
      <c r="G216" s="101"/>
      <c r="H216" s="46"/>
      <c r="I216" s="65"/>
      <c r="J216" s="75"/>
      <c r="K216" s="75"/>
      <c r="L216" s="68"/>
      <c r="M216" s="68"/>
      <c r="N216" s="69"/>
      <c r="O216" s="70"/>
      <c r="P216" s="66"/>
      <c r="AA216" s="49"/>
      <c r="AB216" s="50"/>
      <c r="AC216" s="51"/>
      <c r="AD216" s="51"/>
      <c r="AE216" s="1"/>
      <c r="AF216" s="51"/>
    </row>
    <row r="217" spans="2:32" x14ac:dyDescent="0.3">
      <c r="B217" s="46"/>
      <c r="C217" s="46"/>
      <c r="D217" s="41"/>
      <c r="E217" s="74"/>
      <c r="F217" s="101"/>
      <c r="G217" s="101"/>
      <c r="H217" s="46"/>
      <c r="I217" s="65"/>
      <c r="J217" s="75"/>
      <c r="K217" s="75"/>
      <c r="L217" s="68"/>
      <c r="M217" s="68"/>
      <c r="N217" s="69"/>
      <c r="O217" s="70"/>
      <c r="P217" s="66"/>
      <c r="AA217" s="49"/>
      <c r="AB217" s="50"/>
      <c r="AC217" s="51"/>
      <c r="AD217" s="51"/>
      <c r="AE217" s="1"/>
      <c r="AF217" s="51"/>
    </row>
    <row r="218" spans="2:32" x14ac:dyDescent="0.3">
      <c r="B218" s="46"/>
      <c r="C218" s="46"/>
      <c r="D218" s="41"/>
      <c r="E218" s="74"/>
      <c r="F218" s="101"/>
      <c r="G218" s="101"/>
      <c r="H218" s="46"/>
      <c r="I218" s="65"/>
      <c r="J218" s="75"/>
      <c r="K218" s="75"/>
      <c r="L218" s="68"/>
      <c r="M218" s="68"/>
      <c r="N218" s="69"/>
      <c r="O218" s="70"/>
      <c r="P218" s="66"/>
      <c r="AA218" s="49"/>
      <c r="AB218" s="50"/>
      <c r="AC218" s="51"/>
      <c r="AD218" s="51"/>
      <c r="AE218" s="1"/>
      <c r="AF218" s="51"/>
    </row>
    <row r="219" spans="2:32" x14ac:dyDescent="0.3">
      <c r="B219" s="46"/>
      <c r="C219" s="46"/>
      <c r="D219" s="41"/>
      <c r="E219" s="74"/>
      <c r="F219" s="101"/>
      <c r="G219" s="101"/>
      <c r="H219" s="46"/>
      <c r="I219" s="65"/>
      <c r="J219" s="75"/>
      <c r="K219" s="75"/>
      <c r="L219" s="68"/>
      <c r="M219" s="68"/>
      <c r="N219" s="69"/>
      <c r="O219" s="70"/>
      <c r="P219" s="66"/>
      <c r="AA219" s="49"/>
      <c r="AB219" s="50"/>
      <c r="AC219" s="51"/>
      <c r="AD219" s="51"/>
      <c r="AE219" s="1"/>
      <c r="AF219" s="51"/>
    </row>
    <row r="220" spans="2:32" x14ac:dyDescent="0.3">
      <c r="B220" s="46"/>
      <c r="C220" s="46"/>
      <c r="D220" s="41"/>
      <c r="E220" s="74"/>
      <c r="F220" s="101"/>
      <c r="G220" s="101"/>
      <c r="H220" s="46"/>
      <c r="I220" s="65"/>
      <c r="J220" s="75"/>
      <c r="K220" s="75"/>
      <c r="L220" s="68"/>
      <c r="M220" s="68"/>
      <c r="N220" s="69"/>
      <c r="O220" s="70"/>
      <c r="P220" s="66"/>
      <c r="AA220" s="49"/>
      <c r="AB220" s="50"/>
      <c r="AC220" s="51"/>
      <c r="AD220" s="51"/>
      <c r="AE220" s="1"/>
      <c r="AF220" s="51"/>
    </row>
    <row r="221" spans="2:32" x14ac:dyDescent="0.3">
      <c r="B221" s="46"/>
      <c r="C221" s="46"/>
      <c r="D221" s="41"/>
      <c r="E221" s="74"/>
      <c r="F221" s="101"/>
      <c r="G221" s="101"/>
      <c r="H221" s="46"/>
      <c r="I221" s="65"/>
      <c r="J221" s="75"/>
      <c r="K221" s="75"/>
      <c r="L221" s="68"/>
      <c r="M221" s="68"/>
      <c r="N221" s="69"/>
      <c r="O221" s="70"/>
      <c r="P221" s="66"/>
      <c r="AA221" s="49"/>
      <c r="AB221" s="50"/>
      <c r="AC221" s="51"/>
      <c r="AD221" s="51"/>
      <c r="AE221" s="1"/>
      <c r="AF221" s="51"/>
    </row>
    <row r="222" spans="2:32" x14ac:dyDescent="0.3">
      <c r="B222" s="46"/>
      <c r="C222" s="46"/>
      <c r="D222" s="41"/>
      <c r="E222" s="74"/>
      <c r="F222" s="101"/>
      <c r="G222" s="101"/>
      <c r="H222" s="46"/>
      <c r="I222" s="65"/>
      <c r="J222" s="75"/>
      <c r="K222" s="75"/>
      <c r="L222" s="68"/>
      <c r="M222" s="68"/>
      <c r="N222" s="69"/>
      <c r="O222" s="70"/>
      <c r="P222" s="66"/>
      <c r="AA222" s="49"/>
      <c r="AB222" s="50"/>
      <c r="AC222" s="51"/>
      <c r="AD222" s="51"/>
      <c r="AE222" s="1"/>
      <c r="AF222" s="51"/>
    </row>
    <row r="223" spans="2:32" x14ac:dyDescent="0.3">
      <c r="B223" s="46"/>
      <c r="C223" s="46"/>
      <c r="D223" s="41"/>
      <c r="E223" s="74"/>
      <c r="F223" s="101"/>
      <c r="G223" s="101"/>
      <c r="H223" s="46"/>
      <c r="I223" s="65"/>
      <c r="J223" s="75"/>
      <c r="K223" s="75"/>
      <c r="L223" s="68"/>
      <c r="M223" s="68"/>
      <c r="N223" s="69"/>
      <c r="O223" s="70"/>
      <c r="P223" s="66"/>
      <c r="AA223" s="49"/>
      <c r="AB223" s="50"/>
      <c r="AC223" s="51"/>
      <c r="AD223" s="51"/>
      <c r="AE223" s="1"/>
      <c r="AF223" s="51"/>
    </row>
    <row r="224" spans="2:32" x14ac:dyDescent="0.3">
      <c r="B224" s="46"/>
      <c r="C224" s="46"/>
      <c r="D224" s="41"/>
      <c r="E224" s="74"/>
      <c r="F224" s="101"/>
      <c r="G224" s="101"/>
      <c r="H224" s="46"/>
      <c r="I224" s="65"/>
      <c r="J224" s="75"/>
      <c r="K224" s="75"/>
      <c r="L224" s="68"/>
      <c r="M224" s="68"/>
      <c r="N224" s="69"/>
      <c r="O224" s="70"/>
      <c r="P224" s="66"/>
      <c r="AA224" s="49"/>
      <c r="AB224" s="50"/>
      <c r="AC224" s="51"/>
      <c r="AD224" s="51"/>
      <c r="AE224" s="1"/>
      <c r="AF224" s="51"/>
    </row>
    <row r="225" spans="2:32" x14ac:dyDescent="0.3">
      <c r="B225" s="46"/>
      <c r="C225" s="46"/>
      <c r="D225" s="41"/>
      <c r="E225" s="74"/>
      <c r="F225" s="101"/>
      <c r="G225" s="101"/>
      <c r="H225" s="46"/>
      <c r="I225" s="65"/>
      <c r="J225" s="75"/>
      <c r="K225" s="75"/>
      <c r="L225" s="68"/>
      <c r="M225" s="68"/>
      <c r="N225" s="69"/>
      <c r="O225" s="70"/>
      <c r="P225" s="66"/>
      <c r="AA225" s="49"/>
      <c r="AB225" s="50"/>
      <c r="AC225" s="51"/>
      <c r="AD225" s="51"/>
      <c r="AE225" s="1"/>
      <c r="AF225" s="51"/>
    </row>
    <row r="226" spans="2:32" x14ac:dyDescent="0.3">
      <c r="B226" s="46"/>
      <c r="C226" s="46"/>
      <c r="D226" s="41"/>
      <c r="E226" s="74"/>
      <c r="F226" s="101"/>
      <c r="G226" s="101"/>
      <c r="H226" s="46"/>
      <c r="I226" s="65"/>
      <c r="J226" s="75"/>
      <c r="K226" s="75"/>
      <c r="L226" s="68"/>
      <c r="M226" s="68"/>
      <c r="N226" s="69"/>
      <c r="O226" s="70"/>
      <c r="P226" s="66"/>
      <c r="AA226" s="49"/>
      <c r="AB226" s="50"/>
      <c r="AC226" s="51"/>
      <c r="AD226" s="51"/>
      <c r="AE226" s="1"/>
      <c r="AF226" s="51"/>
    </row>
    <row r="227" spans="2:32" x14ac:dyDescent="0.3">
      <c r="B227" s="46"/>
      <c r="C227" s="46"/>
      <c r="D227" s="41"/>
      <c r="E227" s="74"/>
      <c r="F227" s="101"/>
      <c r="G227" s="101"/>
      <c r="H227" s="46"/>
      <c r="I227" s="65"/>
      <c r="J227" s="75"/>
      <c r="K227" s="75"/>
      <c r="L227" s="68"/>
      <c r="M227" s="68"/>
      <c r="N227" s="69"/>
      <c r="O227" s="70"/>
      <c r="P227" s="66"/>
      <c r="AA227" s="49"/>
      <c r="AB227" s="50"/>
      <c r="AC227" s="51"/>
      <c r="AD227" s="51"/>
      <c r="AE227" s="1"/>
      <c r="AF227" s="51"/>
    </row>
    <row r="228" spans="2:32" x14ac:dyDescent="0.3">
      <c r="B228" s="46"/>
      <c r="C228" s="46"/>
      <c r="D228" s="41"/>
      <c r="E228" s="74"/>
      <c r="F228" s="101"/>
      <c r="G228" s="101"/>
      <c r="H228" s="46"/>
      <c r="I228" s="65"/>
      <c r="J228" s="75"/>
      <c r="K228" s="75"/>
      <c r="L228" s="68"/>
      <c r="M228" s="68"/>
      <c r="N228" s="69"/>
      <c r="O228" s="70"/>
      <c r="P228" s="66"/>
      <c r="AA228" s="49"/>
      <c r="AB228" s="50"/>
      <c r="AC228" s="51"/>
      <c r="AD228" s="51"/>
      <c r="AE228" s="1"/>
      <c r="AF228" s="51"/>
    </row>
    <row r="229" spans="2:32" x14ac:dyDescent="0.3">
      <c r="B229" s="46"/>
      <c r="C229" s="46"/>
      <c r="D229" s="41"/>
      <c r="E229" s="74"/>
      <c r="F229" s="101"/>
      <c r="G229" s="101"/>
      <c r="H229" s="46"/>
      <c r="I229" s="65"/>
      <c r="J229" s="75"/>
      <c r="K229" s="75"/>
      <c r="L229" s="68"/>
      <c r="M229" s="68"/>
      <c r="N229" s="69"/>
      <c r="O229" s="70"/>
      <c r="P229" s="66"/>
      <c r="AA229" s="49"/>
      <c r="AB229" s="50"/>
      <c r="AC229" s="51"/>
      <c r="AD229" s="51"/>
      <c r="AE229" s="1"/>
      <c r="AF229" s="51"/>
    </row>
    <row r="230" spans="2:32" x14ac:dyDescent="0.3">
      <c r="B230" s="46"/>
      <c r="C230" s="46"/>
      <c r="D230" s="41"/>
      <c r="E230" s="74"/>
      <c r="F230" s="101"/>
      <c r="G230" s="101"/>
      <c r="H230" s="46"/>
      <c r="I230" s="65"/>
      <c r="J230" s="75"/>
      <c r="K230" s="75"/>
      <c r="L230" s="68"/>
      <c r="M230" s="68"/>
      <c r="N230" s="69"/>
      <c r="O230" s="70"/>
      <c r="P230" s="66"/>
      <c r="AA230" s="49"/>
      <c r="AB230" s="50"/>
      <c r="AC230" s="51"/>
      <c r="AD230" s="51"/>
      <c r="AE230" s="1"/>
      <c r="AF230" s="51"/>
    </row>
    <row r="231" spans="2:32" x14ac:dyDescent="0.3">
      <c r="B231" s="46"/>
      <c r="C231" s="46"/>
      <c r="D231" s="41"/>
      <c r="E231" s="74"/>
      <c r="F231" s="101"/>
      <c r="G231" s="101"/>
      <c r="H231" s="46"/>
      <c r="I231" s="65"/>
      <c r="J231" s="75"/>
      <c r="K231" s="75"/>
      <c r="L231" s="68"/>
      <c r="M231" s="68"/>
      <c r="N231" s="69"/>
      <c r="O231" s="70"/>
      <c r="P231" s="66"/>
      <c r="AA231" s="49"/>
      <c r="AB231" s="50"/>
      <c r="AC231" s="51"/>
      <c r="AD231" s="51"/>
      <c r="AE231" s="1"/>
      <c r="AF231" s="51"/>
    </row>
    <row r="232" spans="2:32" x14ac:dyDescent="0.3">
      <c r="B232" s="46"/>
      <c r="C232" s="46"/>
      <c r="D232" s="41"/>
      <c r="E232" s="74"/>
      <c r="F232" s="101"/>
      <c r="G232" s="101"/>
      <c r="H232" s="46"/>
      <c r="I232" s="65"/>
      <c r="J232" s="75"/>
      <c r="K232" s="75"/>
      <c r="L232" s="68"/>
      <c r="M232" s="68"/>
      <c r="N232" s="69"/>
      <c r="O232" s="70"/>
      <c r="P232" s="66"/>
      <c r="AA232" s="49"/>
      <c r="AB232" s="50"/>
      <c r="AC232" s="51"/>
      <c r="AD232" s="51"/>
      <c r="AE232" s="1"/>
      <c r="AF232" s="51"/>
    </row>
    <row r="233" spans="2:32" x14ac:dyDescent="0.3">
      <c r="B233" s="46"/>
      <c r="C233" s="46"/>
      <c r="D233" s="41"/>
      <c r="E233" s="74"/>
      <c r="F233" s="101"/>
      <c r="G233" s="101"/>
      <c r="H233" s="46"/>
      <c r="I233" s="65"/>
      <c r="J233" s="75"/>
      <c r="K233" s="75"/>
      <c r="L233" s="68"/>
      <c r="M233" s="68"/>
      <c r="N233" s="69"/>
      <c r="O233" s="70"/>
      <c r="P233" s="66"/>
      <c r="AA233" s="49"/>
      <c r="AB233" s="50"/>
      <c r="AC233" s="51"/>
      <c r="AD233" s="51"/>
      <c r="AE233" s="1"/>
      <c r="AF233" s="51"/>
    </row>
    <row r="234" spans="2:32" x14ac:dyDescent="0.3">
      <c r="B234" s="46"/>
      <c r="C234" s="46"/>
      <c r="D234" s="41"/>
      <c r="E234" s="74"/>
      <c r="F234" s="101"/>
      <c r="G234" s="101"/>
      <c r="H234" s="46"/>
      <c r="I234" s="65"/>
      <c r="J234" s="75"/>
      <c r="K234" s="75"/>
      <c r="L234" s="68"/>
      <c r="M234" s="68"/>
      <c r="N234" s="69"/>
      <c r="O234" s="70"/>
      <c r="P234" s="66"/>
      <c r="AA234" s="49"/>
      <c r="AB234" s="50"/>
      <c r="AC234" s="51"/>
      <c r="AD234" s="51"/>
      <c r="AE234" s="1"/>
      <c r="AF234" s="51"/>
    </row>
    <row r="235" spans="2:32" x14ac:dyDescent="0.3">
      <c r="B235" s="46"/>
      <c r="C235" s="46"/>
      <c r="D235" s="41"/>
      <c r="E235" s="74"/>
      <c r="F235" s="101"/>
      <c r="G235" s="101"/>
      <c r="H235" s="46"/>
      <c r="I235" s="65"/>
      <c r="J235" s="75"/>
      <c r="K235" s="75"/>
      <c r="L235" s="68"/>
      <c r="M235" s="68"/>
      <c r="N235" s="69"/>
      <c r="O235" s="70"/>
      <c r="P235" s="66"/>
      <c r="AA235" s="49"/>
      <c r="AB235" s="50"/>
      <c r="AC235" s="51"/>
      <c r="AD235" s="51"/>
      <c r="AE235" s="1"/>
      <c r="AF235" s="51"/>
    </row>
    <row r="236" spans="2:32" x14ac:dyDescent="0.3">
      <c r="B236" s="46"/>
      <c r="C236" s="46"/>
      <c r="D236" s="41"/>
      <c r="E236" s="74"/>
      <c r="F236" s="101"/>
      <c r="G236" s="101"/>
      <c r="H236" s="46"/>
      <c r="I236" s="65"/>
      <c r="J236" s="75"/>
      <c r="K236" s="75"/>
      <c r="L236" s="68"/>
      <c r="M236" s="68"/>
      <c r="N236" s="69"/>
      <c r="O236" s="70"/>
      <c r="P236" s="66"/>
      <c r="AA236" s="49"/>
      <c r="AB236" s="50"/>
      <c r="AC236" s="51"/>
      <c r="AD236" s="51"/>
      <c r="AE236" s="1"/>
      <c r="AF236" s="51"/>
    </row>
    <row r="237" spans="2:32" x14ac:dyDescent="0.3">
      <c r="B237" s="46"/>
      <c r="C237" s="46"/>
      <c r="D237" s="41"/>
      <c r="E237" s="74"/>
      <c r="F237" s="101"/>
      <c r="G237" s="101"/>
      <c r="H237" s="46"/>
      <c r="I237" s="65"/>
      <c r="J237" s="75"/>
      <c r="K237" s="75"/>
      <c r="L237" s="68"/>
      <c r="M237" s="68"/>
      <c r="N237" s="69"/>
      <c r="O237" s="70"/>
      <c r="P237" s="66"/>
      <c r="AA237" s="49"/>
      <c r="AB237" s="50"/>
      <c r="AC237" s="51"/>
      <c r="AD237" s="51"/>
      <c r="AE237" s="1"/>
      <c r="AF237" s="51"/>
    </row>
    <row r="238" spans="2:32" x14ac:dyDescent="0.3">
      <c r="B238" s="46"/>
      <c r="D238" s="37"/>
      <c r="E238" s="37"/>
      <c r="F238" s="78"/>
      <c r="G238" s="78"/>
      <c r="H238" s="46"/>
      <c r="I238" s="65"/>
      <c r="J238" s="75"/>
      <c r="K238" s="75"/>
      <c r="L238" s="68"/>
      <c r="M238" s="68"/>
      <c r="N238" s="69"/>
      <c r="O238" s="70"/>
      <c r="P238" s="66"/>
      <c r="AA238" s="49"/>
      <c r="AB238" s="50"/>
      <c r="AC238" s="51"/>
      <c r="AD238" s="51"/>
      <c r="AE238" s="1"/>
      <c r="AF238" s="51"/>
    </row>
    <row r="239" spans="2:32" x14ac:dyDescent="0.3">
      <c r="B239" s="46"/>
      <c r="D239" s="37"/>
      <c r="E239" s="37"/>
      <c r="F239" s="78"/>
      <c r="G239" s="78"/>
      <c r="H239" s="46"/>
      <c r="I239" s="65"/>
      <c r="J239" s="75"/>
      <c r="K239" s="75"/>
      <c r="L239" s="68"/>
      <c r="M239" s="68"/>
      <c r="N239" s="69"/>
      <c r="O239" s="70"/>
      <c r="P239" s="66"/>
      <c r="AA239" s="49"/>
      <c r="AB239" s="50"/>
      <c r="AC239" s="51"/>
      <c r="AD239" s="51"/>
      <c r="AE239" s="1"/>
      <c r="AF239" s="51"/>
    </row>
    <row r="240" spans="2:32" x14ac:dyDescent="0.3">
      <c r="B240" s="46"/>
      <c r="D240" s="37"/>
      <c r="E240" s="37"/>
      <c r="F240" s="78"/>
      <c r="G240" s="78"/>
      <c r="H240" s="46"/>
      <c r="I240" s="65"/>
      <c r="J240" s="75"/>
      <c r="K240" s="75"/>
      <c r="L240" s="68"/>
      <c r="M240" s="68"/>
      <c r="N240" s="69"/>
      <c r="O240" s="70"/>
      <c r="P240" s="66"/>
      <c r="AA240" s="49"/>
      <c r="AB240" s="50"/>
      <c r="AC240" s="51"/>
      <c r="AD240" s="51"/>
      <c r="AE240" s="1"/>
      <c r="AF240" s="51"/>
    </row>
    <row r="241" spans="2:32" x14ac:dyDescent="0.3">
      <c r="B241" s="46"/>
      <c r="D241" s="37"/>
      <c r="E241" s="37"/>
      <c r="F241" s="78"/>
      <c r="G241" s="78"/>
      <c r="H241" s="46"/>
      <c r="I241" s="65"/>
      <c r="J241" s="75"/>
      <c r="K241" s="75"/>
      <c r="L241" s="68"/>
      <c r="M241" s="68"/>
      <c r="N241" s="69"/>
      <c r="O241" s="70"/>
      <c r="P241" s="66"/>
      <c r="AA241" s="49"/>
      <c r="AB241" s="50"/>
      <c r="AC241" s="51"/>
      <c r="AD241" s="51"/>
      <c r="AE241" s="1"/>
      <c r="AF241" s="51"/>
    </row>
    <row r="242" spans="2:32" x14ac:dyDescent="0.3">
      <c r="B242" s="46"/>
      <c r="D242" s="37"/>
      <c r="E242" s="37"/>
      <c r="F242" s="78"/>
      <c r="G242" s="78"/>
      <c r="H242" s="46"/>
      <c r="I242" s="65"/>
      <c r="J242" s="75"/>
      <c r="K242" s="75"/>
      <c r="L242" s="68"/>
      <c r="M242" s="68"/>
      <c r="N242" s="69"/>
      <c r="O242" s="70"/>
      <c r="P242" s="102"/>
      <c r="AA242" s="49"/>
      <c r="AB242" s="50"/>
      <c r="AC242" s="51"/>
      <c r="AD242" s="51"/>
      <c r="AE242" s="1"/>
      <c r="AF242" s="51"/>
    </row>
    <row r="243" spans="2:32" x14ac:dyDescent="0.3">
      <c r="B243" s="46"/>
      <c r="D243" s="37"/>
      <c r="E243" s="37"/>
      <c r="F243" s="78"/>
      <c r="G243" s="78"/>
      <c r="H243" s="46"/>
      <c r="I243" s="65"/>
      <c r="J243" s="75"/>
      <c r="K243" s="75"/>
      <c r="L243" s="68"/>
      <c r="M243" s="68"/>
      <c r="N243" s="69"/>
      <c r="O243" s="70"/>
      <c r="P243" s="102"/>
      <c r="AA243" s="49"/>
      <c r="AB243" s="50"/>
      <c r="AC243" s="51"/>
      <c r="AD243" s="51"/>
      <c r="AE243" s="1"/>
      <c r="AF243" s="51"/>
    </row>
    <row r="244" spans="2:32" x14ac:dyDescent="0.3">
      <c r="B244" s="46"/>
      <c r="C244" s="46"/>
      <c r="D244" s="41"/>
      <c r="E244" s="74"/>
      <c r="F244" s="101"/>
      <c r="G244" s="101"/>
      <c r="H244" s="46"/>
      <c r="I244" s="65"/>
      <c r="J244" s="75"/>
      <c r="K244" s="75"/>
      <c r="L244" s="68"/>
      <c r="M244" s="68"/>
      <c r="N244" s="69"/>
      <c r="O244" s="70"/>
      <c r="P244" s="102"/>
      <c r="AA244" s="49"/>
      <c r="AB244" s="50"/>
      <c r="AC244" s="51"/>
      <c r="AD244" s="51"/>
      <c r="AE244" s="1"/>
      <c r="AF244" s="51"/>
    </row>
    <row r="245" spans="2:32" x14ac:dyDescent="0.3">
      <c r="B245" s="46"/>
      <c r="C245" s="46"/>
      <c r="D245" s="41"/>
      <c r="E245" s="74"/>
      <c r="F245" s="101"/>
      <c r="G245" s="101"/>
      <c r="H245" s="46"/>
      <c r="I245" s="65"/>
      <c r="J245" s="75"/>
      <c r="K245" s="75"/>
      <c r="L245" s="68"/>
      <c r="M245" s="68"/>
      <c r="N245" s="69"/>
      <c r="O245" s="70"/>
      <c r="P245" s="102"/>
      <c r="AA245" s="49"/>
      <c r="AB245" s="50"/>
      <c r="AC245" s="51"/>
      <c r="AD245" s="51"/>
      <c r="AE245" s="1"/>
      <c r="AF245" s="51"/>
    </row>
    <row r="246" spans="2:32" x14ac:dyDescent="0.3">
      <c r="B246" s="46"/>
      <c r="C246" s="46"/>
      <c r="D246" s="41"/>
      <c r="E246" s="74"/>
      <c r="F246" s="101"/>
      <c r="G246" s="101"/>
      <c r="H246" s="46"/>
      <c r="I246" s="65"/>
      <c r="J246" s="75"/>
      <c r="K246" s="75"/>
      <c r="L246" s="68"/>
      <c r="M246" s="68"/>
      <c r="N246" s="69"/>
      <c r="O246" s="70"/>
      <c r="P246" s="102"/>
      <c r="AA246" s="49"/>
      <c r="AB246" s="50"/>
      <c r="AC246" s="51"/>
      <c r="AD246" s="51"/>
      <c r="AE246" s="1"/>
      <c r="AF246" s="51"/>
    </row>
    <row r="247" spans="2:32" x14ac:dyDescent="0.3">
      <c r="B247" s="46"/>
      <c r="C247" s="46"/>
      <c r="D247" s="41"/>
      <c r="E247" s="74"/>
      <c r="F247" s="101"/>
      <c r="G247" s="101"/>
      <c r="H247" s="46"/>
      <c r="I247" s="65"/>
      <c r="J247" s="75"/>
      <c r="K247" s="75"/>
      <c r="L247" s="68"/>
      <c r="M247" s="68"/>
      <c r="N247" s="69"/>
      <c r="O247" s="70"/>
      <c r="P247" s="102"/>
      <c r="AA247" s="49"/>
      <c r="AB247" s="50"/>
      <c r="AC247" s="51"/>
      <c r="AD247" s="51"/>
      <c r="AE247" s="1"/>
      <c r="AF247" s="51"/>
    </row>
    <row r="248" spans="2:32" x14ac:dyDescent="0.3">
      <c r="B248" s="46"/>
      <c r="C248" s="46"/>
      <c r="D248" s="41"/>
      <c r="E248" s="74"/>
      <c r="F248" s="101"/>
      <c r="G248" s="101"/>
      <c r="H248" s="46"/>
      <c r="I248" s="65"/>
      <c r="J248" s="75"/>
      <c r="K248" s="75"/>
      <c r="L248" s="68"/>
      <c r="M248" s="68"/>
      <c r="N248" s="69"/>
      <c r="O248" s="70"/>
      <c r="P248" s="102"/>
      <c r="AA248" s="49"/>
      <c r="AB248" s="50"/>
      <c r="AC248" s="51"/>
      <c r="AD248" s="51"/>
      <c r="AE248" s="1"/>
      <c r="AF248" s="51"/>
    </row>
    <row r="249" spans="2:32" x14ac:dyDescent="0.3">
      <c r="B249" s="46"/>
      <c r="D249" s="37"/>
      <c r="E249" s="37"/>
      <c r="F249" s="78"/>
      <c r="G249" s="78"/>
      <c r="H249" s="46"/>
      <c r="I249" s="65"/>
      <c r="J249" s="75"/>
      <c r="K249" s="75"/>
      <c r="L249" s="68"/>
      <c r="M249" s="68"/>
      <c r="N249" s="69"/>
      <c r="O249" s="70"/>
      <c r="P249" s="102"/>
      <c r="AA249" s="49"/>
      <c r="AB249" s="50"/>
      <c r="AC249" s="51"/>
      <c r="AD249" s="51"/>
      <c r="AE249" s="1"/>
      <c r="AF249" s="51"/>
    </row>
    <row r="250" spans="2:32" x14ac:dyDescent="0.3">
      <c r="B250" s="46"/>
      <c r="D250" s="37"/>
      <c r="E250" s="37"/>
      <c r="F250" s="78"/>
      <c r="G250" s="78"/>
      <c r="H250" s="46"/>
      <c r="I250" s="65"/>
      <c r="J250" s="75"/>
      <c r="K250" s="75"/>
      <c r="L250" s="68"/>
      <c r="M250" s="68"/>
      <c r="N250" s="69"/>
      <c r="O250" s="70"/>
      <c r="P250" s="102"/>
      <c r="AA250" s="49"/>
      <c r="AB250" s="50"/>
      <c r="AC250" s="51"/>
      <c r="AD250" s="51"/>
      <c r="AE250" s="1"/>
      <c r="AF250" s="51"/>
    </row>
    <row r="251" spans="2:32" x14ac:dyDescent="0.3">
      <c r="B251" s="46"/>
      <c r="D251" s="37"/>
      <c r="E251" s="37"/>
      <c r="F251" s="78"/>
      <c r="G251" s="78"/>
      <c r="H251" s="46"/>
      <c r="I251" s="65"/>
      <c r="J251" s="75"/>
      <c r="K251" s="75"/>
      <c r="L251" s="68"/>
      <c r="M251" s="68"/>
      <c r="N251" s="69"/>
      <c r="O251" s="70"/>
      <c r="P251" s="102"/>
      <c r="AA251" s="49"/>
      <c r="AB251" s="50"/>
      <c r="AC251" s="51"/>
      <c r="AD251" s="51"/>
      <c r="AE251" s="1"/>
      <c r="AF251" s="51"/>
    </row>
    <row r="252" spans="2:32" x14ac:dyDescent="0.3">
      <c r="B252" s="46"/>
      <c r="D252" s="37"/>
      <c r="E252" s="37"/>
      <c r="F252" s="78"/>
      <c r="G252" s="78"/>
      <c r="H252" s="46"/>
      <c r="I252" s="65"/>
      <c r="J252" s="75"/>
      <c r="K252" s="75"/>
      <c r="L252" s="68"/>
      <c r="M252" s="68"/>
      <c r="N252" s="69"/>
      <c r="O252" s="70"/>
      <c r="P252" s="102"/>
      <c r="AA252" s="49"/>
      <c r="AB252" s="50"/>
      <c r="AC252" s="51"/>
      <c r="AD252" s="51"/>
      <c r="AE252" s="1"/>
      <c r="AF252" s="51"/>
    </row>
    <row r="253" spans="2:32" x14ac:dyDescent="0.3">
      <c r="B253" s="46"/>
      <c r="D253" s="37"/>
      <c r="E253" s="37"/>
      <c r="F253" s="78"/>
      <c r="G253" s="78"/>
      <c r="H253" s="46"/>
      <c r="I253" s="65"/>
      <c r="J253" s="75"/>
      <c r="K253" s="75"/>
      <c r="L253" s="68"/>
      <c r="M253" s="68"/>
      <c r="N253" s="69"/>
      <c r="O253" s="70"/>
      <c r="P253" s="102"/>
      <c r="AA253" s="49"/>
      <c r="AB253" s="50"/>
      <c r="AC253" s="51"/>
      <c r="AD253" s="51"/>
      <c r="AE253" s="1"/>
      <c r="AF253" s="51"/>
    </row>
    <row r="254" spans="2:32" x14ac:dyDescent="0.3">
      <c r="B254" s="46"/>
      <c r="D254" s="37"/>
      <c r="E254" s="37"/>
      <c r="F254" s="78"/>
      <c r="G254" s="78"/>
      <c r="H254" s="46"/>
      <c r="I254" s="65"/>
      <c r="J254" s="75"/>
      <c r="K254" s="75"/>
      <c r="L254" s="68"/>
      <c r="M254" s="68"/>
      <c r="N254" s="69"/>
      <c r="O254" s="70"/>
      <c r="P254" s="102"/>
      <c r="AA254" s="49"/>
      <c r="AB254" s="50"/>
      <c r="AC254" s="51"/>
      <c r="AD254" s="51"/>
      <c r="AE254" s="1"/>
      <c r="AF254" s="51"/>
    </row>
    <row r="255" spans="2:32" x14ac:dyDescent="0.3">
      <c r="B255" s="46"/>
      <c r="D255" s="37"/>
      <c r="E255" s="37"/>
      <c r="F255" s="78"/>
      <c r="G255" s="78"/>
      <c r="H255" s="46"/>
      <c r="J255" s="103"/>
      <c r="K255" s="103"/>
      <c r="L255" s="104"/>
      <c r="M255" s="104"/>
      <c r="N255" s="88"/>
      <c r="O255" s="105"/>
      <c r="AA255" s="49"/>
      <c r="AB255" s="50"/>
      <c r="AC255" s="51"/>
      <c r="AD255" s="51"/>
      <c r="AE255" s="1"/>
      <c r="AF255" s="51"/>
    </row>
    <row r="256" spans="2:32" x14ac:dyDescent="0.3">
      <c r="B256" s="46"/>
      <c r="D256" s="37"/>
      <c r="E256" s="37"/>
      <c r="F256" s="78"/>
      <c r="G256" s="78"/>
      <c r="H256" s="46"/>
      <c r="J256" s="103"/>
      <c r="K256" s="103"/>
      <c r="L256" s="104"/>
      <c r="M256" s="104"/>
      <c r="N256" s="88"/>
      <c r="O256" s="105"/>
      <c r="AA256" s="49"/>
      <c r="AB256" s="50"/>
      <c r="AC256" s="51"/>
      <c r="AD256" s="51"/>
      <c r="AE256" s="1"/>
      <c r="AF256" s="51"/>
    </row>
    <row r="257" spans="2:32" x14ac:dyDescent="0.3">
      <c r="B257" s="46"/>
      <c r="D257" s="37"/>
      <c r="E257" s="37"/>
      <c r="F257" s="78"/>
      <c r="G257" s="78"/>
      <c r="H257" s="46"/>
      <c r="J257" s="103"/>
      <c r="K257" s="103"/>
      <c r="L257" s="104"/>
      <c r="M257" s="104"/>
      <c r="N257" s="88"/>
      <c r="O257" s="105"/>
      <c r="AA257" s="49"/>
      <c r="AB257" s="50"/>
      <c r="AC257" s="51"/>
      <c r="AD257" s="51"/>
      <c r="AE257" s="1"/>
      <c r="AF257" s="51"/>
    </row>
    <row r="258" spans="2:32" x14ac:dyDescent="0.3">
      <c r="B258" s="46"/>
      <c r="D258" s="37"/>
      <c r="E258" s="37"/>
      <c r="F258" s="78"/>
      <c r="G258" s="78"/>
      <c r="H258" s="46"/>
      <c r="J258" s="103"/>
      <c r="K258" s="103"/>
      <c r="L258" s="104"/>
      <c r="M258" s="104"/>
      <c r="N258" s="88"/>
      <c r="O258" s="105"/>
      <c r="AA258" s="49"/>
      <c r="AB258" s="50"/>
      <c r="AC258" s="51"/>
      <c r="AD258" s="51"/>
      <c r="AE258" s="1"/>
      <c r="AF258" s="51"/>
    </row>
    <row r="259" spans="2:32" x14ac:dyDescent="0.3">
      <c r="B259" s="46"/>
      <c r="D259" s="37"/>
      <c r="E259" s="37"/>
      <c r="F259" s="78"/>
      <c r="G259" s="78"/>
      <c r="H259" s="46"/>
      <c r="J259" s="103"/>
      <c r="K259" s="103"/>
      <c r="L259" s="104"/>
      <c r="M259" s="104"/>
      <c r="N259" s="88"/>
      <c r="O259" s="105"/>
      <c r="AA259" s="49"/>
      <c r="AB259" s="50"/>
      <c r="AC259" s="51"/>
      <c r="AD259" s="51"/>
      <c r="AE259" s="1"/>
      <c r="AF259" s="51"/>
    </row>
    <row r="260" spans="2:32" x14ac:dyDescent="0.3">
      <c r="B260" s="46"/>
      <c r="D260" s="37"/>
      <c r="E260" s="37"/>
      <c r="F260" s="78"/>
      <c r="G260" s="78"/>
      <c r="H260" s="46"/>
      <c r="J260" s="103"/>
      <c r="K260" s="103"/>
      <c r="L260" s="104"/>
      <c r="M260" s="104"/>
      <c r="N260" s="88"/>
      <c r="O260" s="105"/>
      <c r="AA260" s="49"/>
      <c r="AB260" s="50"/>
      <c r="AC260" s="51"/>
      <c r="AD260" s="51"/>
      <c r="AE260" s="1"/>
      <c r="AF260" s="51"/>
    </row>
    <row r="261" spans="2:32" x14ac:dyDescent="0.3">
      <c r="B261" s="46"/>
      <c r="D261" s="37"/>
      <c r="E261" s="37"/>
      <c r="F261" s="78"/>
      <c r="G261" s="78"/>
      <c r="H261" s="46"/>
      <c r="J261" s="103"/>
      <c r="K261" s="103"/>
      <c r="L261" s="104"/>
      <c r="M261" s="104"/>
      <c r="N261" s="88"/>
      <c r="O261" s="105"/>
      <c r="AA261" s="49"/>
      <c r="AB261" s="50"/>
      <c r="AC261" s="51"/>
      <c r="AD261" s="51"/>
      <c r="AE261" s="1"/>
      <c r="AF261" s="51"/>
    </row>
    <row r="262" spans="2:32" x14ac:dyDescent="0.3">
      <c r="B262" s="46"/>
      <c r="D262" s="37"/>
      <c r="E262" s="37"/>
      <c r="F262" s="78"/>
      <c r="G262" s="78"/>
      <c r="H262" s="46"/>
      <c r="J262" s="103"/>
      <c r="K262" s="103"/>
      <c r="L262" s="104"/>
      <c r="M262" s="104"/>
      <c r="N262" s="88"/>
      <c r="O262" s="105"/>
      <c r="AA262" s="49"/>
      <c r="AB262" s="50"/>
      <c r="AC262" s="51"/>
      <c r="AD262" s="51"/>
      <c r="AE262" s="1"/>
      <c r="AF262" s="51"/>
    </row>
    <row r="263" spans="2:32" x14ac:dyDescent="0.3">
      <c r="B263" s="46"/>
      <c r="D263" s="37"/>
      <c r="E263" s="37"/>
      <c r="F263" s="78"/>
      <c r="G263" s="78"/>
      <c r="H263" s="46"/>
      <c r="J263" s="103"/>
      <c r="K263" s="103"/>
      <c r="L263" s="104"/>
      <c r="M263" s="104"/>
      <c r="N263" s="88"/>
      <c r="O263" s="105"/>
      <c r="AA263" s="49"/>
      <c r="AB263" s="50"/>
      <c r="AC263" s="51"/>
      <c r="AD263" s="51"/>
      <c r="AE263" s="1"/>
      <c r="AF263" s="51"/>
    </row>
    <row r="264" spans="2:32" x14ac:dyDescent="0.3">
      <c r="B264" s="46"/>
      <c r="D264" s="37"/>
      <c r="E264" s="37"/>
      <c r="F264" s="78"/>
      <c r="G264" s="78"/>
      <c r="H264" s="46"/>
      <c r="J264" s="103"/>
      <c r="K264" s="103"/>
      <c r="L264" s="104"/>
      <c r="M264" s="104"/>
      <c r="N264" s="88"/>
      <c r="O264" s="105"/>
      <c r="AA264" s="49"/>
      <c r="AB264" s="50"/>
      <c r="AC264" s="51"/>
      <c r="AD264" s="51"/>
      <c r="AE264" s="1"/>
      <c r="AF264" s="51"/>
    </row>
    <row r="265" spans="2:32" x14ac:dyDescent="0.3">
      <c r="B265" s="46"/>
      <c r="D265" s="37"/>
      <c r="E265" s="37"/>
      <c r="F265" s="78"/>
      <c r="G265" s="78"/>
      <c r="H265" s="46"/>
      <c r="J265" s="103"/>
      <c r="K265" s="103"/>
      <c r="L265" s="104"/>
      <c r="M265" s="104"/>
      <c r="N265" s="88"/>
      <c r="O265" s="105"/>
      <c r="AA265" s="49"/>
      <c r="AB265" s="50"/>
      <c r="AC265" s="51"/>
      <c r="AD265" s="51"/>
      <c r="AE265" s="1"/>
      <c r="AF265" s="51"/>
    </row>
    <row r="266" spans="2:32" x14ac:dyDescent="0.3">
      <c r="B266" s="46"/>
      <c r="D266" s="37"/>
      <c r="E266" s="37"/>
      <c r="F266" s="78"/>
      <c r="G266" s="78"/>
      <c r="H266" s="46"/>
      <c r="J266" s="103"/>
      <c r="K266" s="103"/>
      <c r="L266" s="104"/>
      <c r="M266" s="104"/>
      <c r="N266" s="88"/>
      <c r="O266" s="105"/>
      <c r="AA266" s="49"/>
      <c r="AB266" s="50"/>
      <c r="AC266" s="51"/>
      <c r="AD266" s="51"/>
      <c r="AE266" s="1"/>
      <c r="AF266" s="51"/>
    </row>
    <row r="267" spans="2:32" x14ac:dyDescent="0.3">
      <c r="B267" s="46"/>
      <c r="D267" s="37"/>
      <c r="E267" s="37"/>
      <c r="F267" s="78"/>
      <c r="G267" s="78"/>
      <c r="H267" s="46"/>
      <c r="J267" s="103"/>
      <c r="K267" s="103"/>
      <c r="L267" s="104"/>
      <c r="M267" s="104"/>
      <c r="N267" s="88"/>
      <c r="O267" s="105"/>
      <c r="AA267" s="49"/>
      <c r="AB267" s="50"/>
      <c r="AC267" s="51"/>
      <c r="AD267" s="51"/>
      <c r="AE267" s="1"/>
      <c r="AF267" s="51"/>
    </row>
    <row r="268" spans="2:32" x14ac:dyDescent="0.3">
      <c r="B268" s="46"/>
      <c r="D268" s="37"/>
      <c r="E268" s="37"/>
      <c r="F268" s="78"/>
      <c r="G268" s="78"/>
      <c r="H268" s="46"/>
      <c r="J268" s="103"/>
      <c r="K268" s="103"/>
      <c r="L268" s="104"/>
      <c r="M268" s="104"/>
      <c r="N268" s="88"/>
      <c r="O268" s="105"/>
      <c r="AA268" s="49"/>
      <c r="AB268" s="50"/>
      <c r="AC268" s="51"/>
      <c r="AD268" s="51"/>
      <c r="AE268" s="1"/>
      <c r="AF268" s="51"/>
    </row>
    <row r="269" spans="2:32" x14ac:dyDescent="0.3">
      <c r="B269" s="46"/>
      <c r="D269" s="37"/>
      <c r="E269" s="37"/>
      <c r="F269" s="78"/>
      <c r="G269" s="78"/>
      <c r="H269" s="46"/>
      <c r="J269" s="103"/>
      <c r="K269" s="103"/>
      <c r="L269" s="104"/>
      <c r="M269" s="104"/>
      <c r="N269" s="88"/>
      <c r="O269" s="105"/>
      <c r="AA269" s="49"/>
      <c r="AB269" s="50"/>
      <c r="AC269" s="51"/>
      <c r="AD269" s="51"/>
      <c r="AE269" s="1"/>
      <c r="AF269" s="51"/>
    </row>
    <row r="270" spans="2:32" x14ac:dyDescent="0.3">
      <c r="B270" s="46"/>
      <c r="D270" s="37"/>
      <c r="E270" s="37"/>
      <c r="F270" s="78"/>
      <c r="G270" s="78"/>
      <c r="H270" s="46"/>
      <c r="J270" s="103"/>
      <c r="K270" s="103"/>
      <c r="L270" s="104"/>
      <c r="M270" s="104"/>
      <c r="N270" s="88"/>
      <c r="O270" s="105"/>
      <c r="AA270" s="49"/>
      <c r="AB270" s="50"/>
      <c r="AC270" s="51"/>
      <c r="AD270" s="51"/>
      <c r="AE270" s="1"/>
      <c r="AF270" s="51"/>
    </row>
    <row r="271" spans="2:32" x14ac:dyDescent="0.3">
      <c r="B271" s="46"/>
      <c r="D271" s="37"/>
      <c r="E271" s="37"/>
      <c r="F271" s="78"/>
      <c r="G271" s="78"/>
      <c r="H271" s="46"/>
      <c r="J271" s="103"/>
      <c r="K271" s="103"/>
      <c r="L271" s="104"/>
      <c r="M271" s="104"/>
      <c r="N271" s="88"/>
      <c r="O271" s="105"/>
      <c r="AA271" s="49"/>
      <c r="AB271" s="50"/>
      <c r="AC271" s="51"/>
      <c r="AD271" s="51"/>
      <c r="AE271" s="1"/>
      <c r="AF271" s="51"/>
    </row>
    <row r="272" spans="2:32" x14ac:dyDescent="0.3">
      <c r="B272" s="46"/>
      <c r="D272" s="37"/>
      <c r="E272" s="37"/>
      <c r="F272" s="78"/>
      <c r="G272" s="78"/>
      <c r="H272" s="46"/>
      <c r="J272" s="103"/>
      <c r="K272" s="103"/>
      <c r="L272" s="104"/>
      <c r="M272" s="104"/>
      <c r="N272" s="88"/>
      <c r="O272" s="105"/>
      <c r="AA272" s="49"/>
      <c r="AB272" s="50"/>
      <c r="AC272" s="51"/>
      <c r="AD272" s="51"/>
      <c r="AE272" s="1"/>
      <c r="AF272" s="51"/>
    </row>
    <row r="273" spans="2:32" x14ac:dyDescent="0.3">
      <c r="B273" s="46"/>
      <c r="D273" s="37"/>
      <c r="E273" s="37"/>
      <c r="F273" s="78"/>
      <c r="G273" s="78"/>
      <c r="H273" s="46"/>
      <c r="J273" s="103"/>
      <c r="K273" s="103"/>
      <c r="L273" s="104"/>
      <c r="M273" s="104"/>
      <c r="N273" s="88"/>
      <c r="O273" s="105"/>
      <c r="AA273" s="49"/>
      <c r="AB273" s="50"/>
      <c r="AC273" s="51"/>
      <c r="AD273" s="51"/>
      <c r="AE273" s="1"/>
      <c r="AF273" s="51"/>
    </row>
    <row r="274" spans="2:32" x14ac:dyDescent="0.3">
      <c r="B274" s="46"/>
      <c r="D274" s="37"/>
      <c r="E274" s="37"/>
      <c r="F274" s="78"/>
      <c r="G274" s="78"/>
      <c r="H274" s="46"/>
      <c r="J274" s="103"/>
      <c r="K274" s="103"/>
      <c r="L274" s="104"/>
      <c r="M274" s="104"/>
      <c r="N274" s="88"/>
      <c r="O274" s="105"/>
      <c r="AA274" s="49"/>
      <c r="AB274" s="50"/>
      <c r="AC274" s="51"/>
      <c r="AD274" s="51"/>
      <c r="AE274" s="1"/>
      <c r="AF274" s="51"/>
    </row>
    <row r="275" spans="2:32" x14ac:dyDescent="0.3">
      <c r="B275" s="46"/>
      <c r="D275" s="37"/>
      <c r="E275" s="37"/>
      <c r="F275" s="78"/>
      <c r="G275" s="78"/>
      <c r="H275" s="46"/>
      <c r="J275" s="103"/>
      <c r="K275" s="103"/>
      <c r="L275" s="104"/>
      <c r="M275" s="104"/>
      <c r="N275" s="88"/>
      <c r="O275" s="105"/>
      <c r="AA275" s="49"/>
      <c r="AB275" s="50"/>
      <c r="AC275" s="51"/>
      <c r="AD275" s="51"/>
      <c r="AE275" s="1"/>
      <c r="AF275" s="51"/>
    </row>
    <row r="276" spans="2:32" x14ac:dyDescent="0.3">
      <c r="B276" s="46"/>
      <c r="D276" s="37"/>
      <c r="E276" s="37"/>
      <c r="F276" s="78"/>
      <c r="G276" s="78"/>
      <c r="H276" s="46"/>
      <c r="J276" s="103"/>
      <c r="K276" s="103"/>
      <c r="L276" s="104"/>
      <c r="M276" s="104"/>
      <c r="N276" s="88"/>
      <c r="O276" s="105"/>
      <c r="AA276" s="49"/>
      <c r="AB276" s="50"/>
      <c r="AC276" s="51"/>
      <c r="AD276" s="51"/>
      <c r="AE276" s="1"/>
      <c r="AF276" s="51"/>
    </row>
    <row r="277" spans="2:32" x14ac:dyDescent="0.3">
      <c r="B277" s="46"/>
      <c r="D277" s="37"/>
      <c r="E277" s="37"/>
      <c r="F277" s="78"/>
      <c r="G277" s="78"/>
      <c r="H277" s="46"/>
      <c r="J277" s="103"/>
      <c r="K277" s="103"/>
      <c r="L277" s="104"/>
      <c r="M277" s="104"/>
      <c r="N277" s="88"/>
      <c r="O277" s="105"/>
      <c r="AA277" s="49"/>
      <c r="AB277" s="50"/>
      <c r="AC277" s="51"/>
      <c r="AD277" s="51"/>
      <c r="AE277" s="1"/>
      <c r="AF277" s="51"/>
    </row>
    <row r="278" spans="2:32" x14ac:dyDescent="0.3">
      <c r="B278" s="46"/>
      <c r="D278" s="37"/>
      <c r="E278" s="10"/>
      <c r="F278" s="78"/>
      <c r="H278" s="46"/>
      <c r="J278" s="103"/>
      <c r="K278" s="103"/>
      <c r="L278" s="104"/>
      <c r="M278" s="104"/>
      <c r="N278" s="88"/>
      <c r="O278" s="105"/>
      <c r="AA278" s="49"/>
      <c r="AB278" s="50"/>
      <c r="AC278" s="51"/>
      <c r="AD278" s="51"/>
      <c r="AE278" s="1"/>
      <c r="AF278" s="51"/>
    </row>
    <row r="279" spans="2:32" x14ac:dyDescent="0.3">
      <c r="B279" s="46"/>
      <c r="D279" s="37"/>
      <c r="E279" s="10"/>
      <c r="F279" s="78"/>
      <c r="H279" s="46"/>
      <c r="J279" s="103"/>
      <c r="K279" s="103"/>
      <c r="L279" s="104"/>
      <c r="M279" s="104"/>
      <c r="N279" s="88"/>
      <c r="O279" s="105"/>
      <c r="AA279" s="49"/>
      <c r="AB279" s="50"/>
      <c r="AC279" s="51"/>
      <c r="AD279" s="51"/>
      <c r="AE279" s="1"/>
      <c r="AF279" s="51"/>
    </row>
    <row r="280" spans="2:32" x14ac:dyDescent="0.3">
      <c r="B280" s="46"/>
      <c r="D280" s="37"/>
      <c r="E280" s="10"/>
      <c r="F280" s="78"/>
      <c r="H280" s="46"/>
      <c r="J280" s="103"/>
      <c r="K280" s="103"/>
      <c r="L280" s="104"/>
      <c r="M280" s="104"/>
      <c r="N280" s="88"/>
      <c r="O280" s="105"/>
      <c r="AA280" s="49"/>
      <c r="AB280" s="50"/>
      <c r="AC280" s="51"/>
      <c r="AD280" s="51"/>
      <c r="AE280" s="1"/>
      <c r="AF280" s="51"/>
    </row>
    <row r="281" spans="2:32" x14ac:dyDescent="0.3">
      <c r="B281" s="46"/>
      <c r="D281" s="37"/>
      <c r="E281" s="10"/>
      <c r="F281" s="78"/>
      <c r="H281" s="46"/>
      <c r="J281" s="103"/>
      <c r="K281" s="103"/>
      <c r="L281" s="104"/>
      <c r="M281" s="104"/>
      <c r="N281" s="88"/>
      <c r="O281" s="105"/>
      <c r="AA281" s="49"/>
      <c r="AB281" s="50"/>
      <c r="AC281" s="51"/>
      <c r="AD281" s="51"/>
      <c r="AE281" s="1"/>
      <c r="AF281" s="51"/>
    </row>
    <row r="282" spans="2:32" x14ac:dyDescent="0.3">
      <c r="B282" s="46"/>
      <c r="D282" s="37"/>
      <c r="E282" s="37"/>
      <c r="F282" s="78"/>
      <c r="G282" s="78"/>
      <c r="H282" s="46"/>
      <c r="J282" s="103"/>
      <c r="K282" s="103"/>
      <c r="L282" s="104"/>
      <c r="M282" s="104"/>
      <c r="N282" s="88"/>
      <c r="O282" s="105"/>
      <c r="AA282" s="49"/>
      <c r="AB282" s="50"/>
      <c r="AC282" s="51"/>
      <c r="AD282" s="51"/>
      <c r="AE282" s="1"/>
      <c r="AF282" s="51"/>
    </row>
    <row r="283" spans="2:32" x14ac:dyDescent="0.3">
      <c r="B283" s="46"/>
      <c r="D283" s="37"/>
      <c r="E283" s="37"/>
      <c r="F283" s="78"/>
      <c r="G283" s="78"/>
      <c r="H283" s="46"/>
      <c r="J283" s="103"/>
      <c r="K283" s="103"/>
      <c r="L283" s="104"/>
      <c r="M283" s="104"/>
      <c r="N283" s="88"/>
      <c r="O283" s="105"/>
      <c r="AA283" s="49"/>
      <c r="AB283" s="50"/>
      <c r="AC283" s="51"/>
      <c r="AD283" s="51"/>
      <c r="AE283" s="1"/>
      <c r="AF283" s="51"/>
    </row>
    <row r="284" spans="2:32" x14ac:dyDescent="0.3">
      <c r="B284" s="46"/>
      <c r="D284" s="37"/>
      <c r="E284" s="37"/>
      <c r="F284" s="78"/>
      <c r="G284" s="78"/>
      <c r="H284" s="46"/>
      <c r="J284" s="103"/>
      <c r="K284" s="103"/>
      <c r="L284" s="104"/>
      <c r="M284" s="104"/>
      <c r="N284" s="88"/>
      <c r="O284" s="105"/>
      <c r="AA284" s="49"/>
      <c r="AB284" s="50"/>
      <c r="AC284" s="51"/>
      <c r="AD284" s="51"/>
      <c r="AE284" s="1"/>
      <c r="AF284" s="51"/>
    </row>
    <row r="285" spans="2:32" x14ac:dyDescent="0.3">
      <c r="B285" s="46"/>
      <c r="D285" s="37"/>
      <c r="E285" s="37"/>
      <c r="F285" s="78"/>
      <c r="G285" s="78"/>
      <c r="H285" s="46"/>
      <c r="J285" s="103"/>
      <c r="K285" s="103"/>
      <c r="L285" s="104"/>
      <c r="M285" s="104"/>
      <c r="N285" s="88"/>
      <c r="O285" s="105"/>
      <c r="AA285" s="49"/>
      <c r="AB285" s="50"/>
      <c r="AC285" s="51"/>
      <c r="AD285" s="51"/>
      <c r="AE285" s="1"/>
      <c r="AF285" s="51"/>
    </row>
    <row r="286" spans="2:32" x14ac:dyDescent="0.3">
      <c r="B286" s="46"/>
      <c r="D286" s="37"/>
      <c r="E286" s="37"/>
      <c r="F286" s="78"/>
      <c r="G286" s="78"/>
      <c r="H286" s="46"/>
      <c r="J286" s="103"/>
      <c r="K286" s="103"/>
      <c r="L286" s="104"/>
      <c r="M286" s="104"/>
      <c r="N286" s="88"/>
      <c r="O286" s="105"/>
      <c r="AA286" s="49"/>
      <c r="AB286" s="50"/>
      <c r="AC286" s="51"/>
      <c r="AD286" s="51"/>
      <c r="AE286" s="1"/>
      <c r="AF286" s="51"/>
    </row>
    <row r="287" spans="2:32" x14ac:dyDescent="0.3">
      <c r="B287" s="46"/>
      <c r="D287" s="37"/>
      <c r="E287" s="37"/>
      <c r="F287" s="78"/>
      <c r="G287" s="78"/>
      <c r="H287" s="46"/>
      <c r="J287" s="103"/>
      <c r="K287" s="103"/>
      <c r="L287" s="104"/>
      <c r="M287" s="104"/>
      <c r="N287" s="88"/>
      <c r="O287" s="105"/>
      <c r="AA287" s="49"/>
      <c r="AB287" s="50"/>
      <c r="AC287" s="51"/>
      <c r="AD287" s="51"/>
      <c r="AE287" s="1"/>
      <c r="AF287" s="51"/>
    </row>
    <row r="288" spans="2:32" x14ac:dyDescent="0.3">
      <c r="B288" s="46"/>
      <c r="D288" s="37"/>
      <c r="E288" s="37"/>
      <c r="F288" s="78"/>
      <c r="G288" s="78"/>
      <c r="H288" s="46"/>
      <c r="J288" s="103"/>
      <c r="K288" s="103"/>
      <c r="L288" s="104"/>
      <c r="M288" s="104"/>
      <c r="N288" s="88"/>
      <c r="O288" s="105"/>
      <c r="AA288" s="49"/>
      <c r="AB288" s="50"/>
      <c r="AC288" s="51"/>
      <c r="AD288" s="51"/>
      <c r="AE288" s="1"/>
      <c r="AF288" s="51"/>
    </row>
    <row r="289" spans="2:32" x14ac:dyDescent="0.3">
      <c r="B289" s="46"/>
      <c r="D289" s="37"/>
      <c r="E289" s="37"/>
      <c r="F289" s="78"/>
      <c r="G289" s="78"/>
      <c r="H289" s="46"/>
      <c r="J289" s="103"/>
      <c r="K289" s="103"/>
      <c r="L289" s="104"/>
      <c r="M289" s="104"/>
      <c r="N289" s="88"/>
      <c r="O289" s="105"/>
      <c r="AA289" s="49"/>
      <c r="AB289" s="50"/>
      <c r="AC289" s="51"/>
      <c r="AD289" s="51"/>
      <c r="AE289" s="1"/>
      <c r="AF289" s="51"/>
    </row>
    <row r="290" spans="2:32" x14ac:dyDescent="0.3">
      <c r="B290" s="46"/>
      <c r="D290" s="37"/>
      <c r="E290" s="37"/>
      <c r="F290" s="78"/>
      <c r="G290" s="78"/>
      <c r="H290" s="46"/>
      <c r="J290" s="103"/>
      <c r="K290" s="103"/>
      <c r="L290" s="104"/>
      <c r="M290" s="104"/>
      <c r="N290" s="88"/>
      <c r="O290" s="105"/>
      <c r="AA290" s="49"/>
      <c r="AB290" s="50"/>
      <c r="AC290" s="51"/>
      <c r="AD290" s="51"/>
      <c r="AE290" s="1"/>
      <c r="AF290" s="51"/>
    </row>
    <row r="291" spans="2:32" x14ac:dyDescent="0.3">
      <c r="B291" s="46"/>
      <c r="D291" s="37"/>
      <c r="E291" s="37"/>
      <c r="F291" s="78"/>
      <c r="G291" s="78"/>
      <c r="H291" s="46"/>
      <c r="J291" s="103"/>
      <c r="K291" s="103"/>
      <c r="L291" s="104"/>
      <c r="M291" s="104"/>
      <c r="N291" s="88"/>
      <c r="O291" s="105"/>
      <c r="AA291" s="49"/>
      <c r="AB291" s="50"/>
      <c r="AC291" s="51"/>
      <c r="AD291" s="51"/>
      <c r="AE291" s="1"/>
      <c r="AF291" s="51"/>
    </row>
    <row r="292" spans="2:32" x14ac:dyDescent="0.3">
      <c r="B292" s="46"/>
      <c r="D292" s="37"/>
      <c r="E292" s="37"/>
      <c r="F292" s="78"/>
      <c r="G292" s="78"/>
      <c r="H292" s="46"/>
      <c r="J292" s="103"/>
      <c r="K292" s="103"/>
      <c r="L292" s="104"/>
      <c r="M292" s="104"/>
      <c r="N292" s="88"/>
      <c r="O292" s="105"/>
      <c r="AA292" s="49"/>
      <c r="AB292" s="50"/>
      <c r="AC292" s="51"/>
      <c r="AD292" s="51"/>
      <c r="AE292" s="1"/>
      <c r="AF292" s="51"/>
    </row>
    <row r="293" spans="2:32" x14ac:dyDescent="0.3">
      <c r="B293" s="46"/>
      <c r="D293" s="37"/>
      <c r="E293" s="37"/>
      <c r="F293" s="78"/>
      <c r="G293" s="78"/>
      <c r="H293" s="46"/>
      <c r="J293" s="103"/>
      <c r="K293" s="103"/>
      <c r="L293" s="104"/>
      <c r="M293" s="104"/>
      <c r="N293" s="88"/>
      <c r="O293" s="105"/>
      <c r="AA293" s="49"/>
      <c r="AB293" s="50"/>
      <c r="AC293" s="51"/>
      <c r="AD293" s="51"/>
      <c r="AE293" s="1"/>
      <c r="AF293" s="51"/>
    </row>
    <row r="294" spans="2:32" x14ac:dyDescent="0.3">
      <c r="B294" s="46"/>
      <c r="D294" s="37"/>
      <c r="E294" s="37"/>
      <c r="F294" s="78"/>
      <c r="G294" s="78"/>
      <c r="H294" s="46"/>
      <c r="J294" s="103"/>
      <c r="K294" s="103"/>
      <c r="L294" s="104"/>
      <c r="M294" s="104"/>
      <c r="N294" s="88"/>
      <c r="O294" s="105"/>
      <c r="AA294" s="49"/>
      <c r="AB294" s="50"/>
      <c r="AC294" s="51"/>
      <c r="AD294" s="51"/>
      <c r="AE294" s="1"/>
      <c r="AF294" s="51"/>
    </row>
    <row r="295" spans="2:32" x14ac:dyDescent="0.3">
      <c r="B295" s="46"/>
      <c r="D295" s="37"/>
      <c r="E295" s="37"/>
      <c r="F295" s="78"/>
      <c r="G295" s="78"/>
      <c r="H295" s="46"/>
      <c r="J295" s="103"/>
      <c r="K295" s="103"/>
      <c r="L295" s="104"/>
      <c r="M295" s="104"/>
      <c r="N295" s="88"/>
      <c r="O295" s="105"/>
      <c r="AA295" s="49"/>
      <c r="AB295" s="50"/>
      <c r="AC295" s="51"/>
      <c r="AD295" s="51"/>
      <c r="AE295" s="1"/>
      <c r="AF295" s="51"/>
    </row>
    <row r="296" spans="2:32" x14ac:dyDescent="0.3">
      <c r="B296" s="46"/>
      <c r="D296" s="37"/>
      <c r="E296" s="37"/>
      <c r="F296" s="78"/>
      <c r="G296" s="78"/>
      <c r="H296" s="46"/>
      <c r="J296" s="103"/>
      <c r="K296" s="103"/>
      <c r="L296" s="104"/>
      <c r="M296" s="104"/>
      <c r="N296" s="88"/>
      <c r="O296" s="105"/>
      <c r="AA296" s="49"/>
      <c r="AB296" s="50"/>
      <c r="AC296" s="51"/>
      <c r="AD296" s="51"/>
      <c r="AE296" s="1"/>
      <c r="AF296" s="51"/>
    </row>
    <row r="297" spans="2:32" x14ac:dyDescent="0.3">
      <c r="B297" s="46"/>
      <c r="D297" s="37"/>
      <c r="E297" s="37"/>
      <c r="F297" s="78"/>
      <c r="G297" s="78"/>
      <c r="H297" s="46"/>
      <c r="J297" s="103"/>
      <c r="K297" s="103"/>
      <c r="L297" s="104"/>
      <c r="M297" s="104"/>
      <c r="N297" s="88"/>
      <c r="O297" s="105"/>
      <c r="AA297" s="49"/>
      <c r="AB297" s="50"/>
      <c r="AC297" s="51"/>
      <c r="AD297" s="51"/>
      <c r="AE297" s="1"/>
      <c r="AF297" s="51"/>
    </row>
    <row r="298" spans="2:32" x14ac:dyDescent="0.3">
      <c r="B298" s="46"/>
      <c r="D298" s="37"/>
      <c r="E298" s="37"/>
      <c r="F298" s="78"/>
      <c r="G298" s="78"/>
      <c r="H298" s="46"/>
      <c r="J298" s="103"/>
      <c r="K298" s="103"/>
      <c r="L298" s="104"/>
      <c r="M298" s="104"/>
      <c r="N298" s="88"/>
      <c r="O298" s="105"/>
      <c r="AA298" s="49"/>
      <c r="AB298" s="50"/>
      <c r="AC298" s="51"/>
      <c r="AD298" s="51"/>
      <c r="AE298" s="1"/>
      <c r="AF298" s="51"/>
    </row>
    <row r="299" spans="2:32" x14ac:dyDescent="0.3">
      <c r="B299" s="46"/>
      <c r="D299" s="37"/>
      <c r="E299" s="37"/>
      <c r="F299" s="78"/>
      <c r="G299" s="78"/>
      <c r="H299" s="46"/>
      <c r="J299" s="103"/>
      <c r="K299" s="103"/>
      <c r="L299" s="104"/>
      <c r="M299" s="104"/>
      <c r="N299" s="88"/>
      <c r="O299" s="105"/>
      <c r="AA299" s="49"/>
      <c r="AB299" s="50"/>
      <c r="AC299" s="51"/>
      <c r="AD299" s="51"/>
      <c r="AE299" s="1"/>
      <c r="AF299" s="51"/>
    </row>
    <row r="300" spans="2:32" x14ac:dyDescent="0.3">
      <c r="B300" s="46"/>
      <c r="D300" s="37"/>
      <c r="E300" s="37"/>
      <c r="F300" s="78"/>
      <c r="G300" s="78"/>
      <c r="H300" s="46"/>
      <c r="J300" s="103"/>
      <c r="K300" s="103"/>
      <c r="L300" s="104"/>
      <c r="M300" s="104"/>
      <c r="N300" s="88"/>
      <c r="O300" s="105"/>
      <c r="AA300" s="49"/>
      <c r="AB300" s="50"/>
      <c r="AC300" s="51"/>
      <c r="AD300" s="51"/>
      <c r="AE300" s="1"/>
      <c r="AF300" s="51"/>
    </row>
    <row r="301" spans="2:32" x14ac:dyDescent="0.3">
      <c r="B301" s="46"/>
      <c r="D301" s="37"/>
      <c r="E301" s="37"/>
      <c r="F301" s="78"/>
      <c r="G301" s="78"/>
      <c r="H301" s="46"/>
      <c r="J301" s="103"/>
      <c r="K301" s="103"/>
      <c r="L301" s="104"/>
      <c r="M301" s="104"/>
      <c r="N301" s="88"/>
      <c r="O301" s="105"/>
      <c r="AA301" s="49"/>
      <c r="AB301" s="50"/>
      <c r="AC301" s="51"/>
      <c r="AD301" s="51"/>
      <c r="AE301" s="1"/>
      <c r="AF301" s="51"/>
    </row>
    <row r="302" spans="2:32" x14ac:dyDescent="0.3">
      <c r="B302" s="46"/>
      <c r="D302" s="37"/>
      <c r="E302" s="37"/>
      <c r="F302" s="78"/>
      <c r="G302" s="78"/>
      <c r="H302" s="46"/>
      <c r="J302" s="103"/>
      <c r="K302" s="103"/>
      <c r="L302" s="104"/>
      <c r="M302" s="104"/>
      <c r="N302" s="88"/>
      <c r="O302" s="105"/>
      <c r="AA302" s="49"/>
      <c r="AB302" s="50"/>
      <c r="AC302" s="51"/>
      <c r="AD302" s="51"/>
      <c r="AE302" s="1"/>
      <c r="AF302" s="51"/>
    </row>
    <row r="303" spans="2:32" x14ac:dyDescent="0.3">
      <c r="B303" s="46"/>
      <c r="D303" s="37"/>
      <c r="E303" s="37"/>
      <c r="F303" s="78"/>
      <c r="G303" s="78"/>
      <c r="H303" s="46"/>
      <c r="J303" s="103"/>
      <c r="K303" s="103"/>
      <c r="L303" s="104"/>
      <c r="M303" s="104"/>
      <c r="N303" s="88"/>
      <c r="O303" s="105"/>
      <c r="AA303" s="49"/>
      <c r="AB303" s="50"/>
      <c r="AC303" s="51"/>
      <c r="AD303" s="51"/>
      <c r="AE303" s="1"/>
      <c r="AF303" s="51"/>
    </row>
    <row r="304" spans="2:32" x14ac:dyDescent="0.3">
      <c r="B304" s="46"/>
      <c r="D304" s="37"/>
      <c r="E304" s="37"/>
      <c r="F304" s="78"/>
      <c r="G304" s="78"/>
      <c r="H304" s="46"/>
      <c r="J304" s="103"/>
      <c r="K304" s="103"/>
      <c r="L304" s="104"/>
      <c r="M304" s="104"/>
      <c r="N304" s="88"/>
      <c r="O304" s="105"/>
      <c r="AA304" s="49"/>
      <c r="AB304" s="50"/>
      <c r="AC304" s="51"/>
      <c r="AD304" s="51"/>
      <c r="AE304" s="1"/>
      <c r="AF304" s="51"/>
    </row>
    <row r="305" spans="2:32" x14ac:dyDescent="0.3">
      <c r="B305" s="46"/>
      <c r="D305" s="37"/>
      <c r="E305" s="37"/>
      <c r="F305" s="78"/>
      <c r="G305" s="78"/>
      <c r="H305" s="46"/>
      <c r="J305" s="103"/>
      <c r="K305" s="103"/>
      <c r="L305" s="104"/>
      <c r="M305" s="104"/>
      <c r="N305" s="88"/>
      <c r="O305" s="105"/>
      <c r="AA305" s="49"/>
      <c r="AB305" s="50"/>
      <c r="AC305" s="51"/>
      <c r="AD305" s="51"/>
      <c r="AE305" s="1"/>
      <c r="AF305" s="51"/>
    </row>
    <row r="306" spans="2:32" x14ac:dyDescent="0.3">
      <c r="B306" s="46"/>
      <c r="D306" s="37"/>
      <c r="E306" s="37"/>
      <c r="F306" s="78"/>
      <c r="G306" s="78"/>
      <c r="H306" s="46"/>
      <c r="J306" s="103"/>
      <c r="K306" s="103"/>
      <c r="L306" s="104"/>
      <c r="M306" s="104"/>
      <c r="N306" s="88"/>
      <c r="O306" s="105"/>
      <c r="AA306" s="49"/>
      <c r="AB306" s="50"/>
      <c r="AC306" s="51"/>
      <c r="AD306" s="51"/>
      <c r="AE306" s="1"/>
      <c r="AF306" s="51"/>
    </row>
    <row r="307" spans="2:32" x14ac:dyDescent="0.3">
      <c r="B307" s="46"/>
      <c r="D307" s="37"/>
      <c r="E307" s="37"/>
      <c r="F307" s="78"/>
      <c r="G307" s="78"/>
      <c r="H307" s="46"/>
      <c r="J307" s="103"/>
      <c r="K307" s="103"/>
      <c r="L307" s="104"/>
      <c r="M307" s="104"/>
      <c r="N307" s="88"/>
      <c r="O307" s="105"/>
      <c r="AA307" s="49"/>
      <c r="AB307" s="50"/>
      <c r="AC307" s="51"/>
      <c r="AD307" s="51"/>
      <c r="AE307" s="1"/>
      <c r="AF307" s="51"/>
    </row>
    <row r="308" spans="2:32" x14ac:dyDescent="0.3">
      <c r="B308" s="46"/>
      <c r="D308" s="37"/>
      <c r="E308" s="37"/>
      <c r="F308" s="78"/>
      <c r="G308" s="78"/>
      <c r="H308" s="46"/>
      <c r="J308" s="103"/>
      <c r="K308" s="103"/>
      <c r="L308" s="104"/>
      <c r="M308" s="104"/>
      <c r="N308" s="88"/>
      <c r="O308" s="105"/>
      <c r="AA308" s="49"/>
      <c r="AB308" s="50"/>
      <c r="AC308" s="51"/>
      <c r="AD308" s="51"/>
      <c r="AE308" s="1"/>
      <c r="AF308" s="51"/>
    </row>
    <row r="309" spans="2:32" x14ac:dyDescent="0.3">
      <c r="B309" s="46"/>
      <c r="D309" s="37"/>
      <c r="E309" s="37"/>
      <c r="F309" s="78"/>
      <c r="G309" s="78"/>
      <c r="H309" s="46"/>
      <c r="J309" s="103"/>
      <c r="K309" s="103"/>
      <c r="L309" s="104"/>
      <c r="M309" s="104"/>
      <c r="N309" s="88"/>
      <c r="O309" s="105"/>
      <c r="AA309" s="49"/>
      <c r="AB309" s="50"/>
      <c r="AC309" s="51"/>
      <c r="AD309" s="51"/>
      <c r="AE309" s="1"/>
      <c r="AF309" s="51"/>
    </row>
    <row r="310" spans="2:32" x14ac:dyDescent="0.3">
      <c r="B310" s="46"/>
      <c r="D310" s="37"/>
      <c r="E310" s="37"/>
      <c r="F310" s="78"/>
      <c r="G310" s="78"/>
      <c r="H310" s="46"/>
      <c r="J310" s="103"/>
      <c r="K310" s="103"/>
      <c r="L310" s="104"/>
      <c r="M310" s="104"/>
      <c r="N310" s="88"/>
      <c r="O310" s="105"/>
      <c r="AA310" s="49"/>
      <c r="AB310" s="50"/>
      <c r="AC310" s="51"/>
      <c r="AD310" s="51"/>
      <c r="AE310" s="1"/>
      <c r="AF310" s="51"/>
    </row>
    <row r="311" spans="2:32" x14ac:dyDescent="0.3">
      <c r="B311" s="46"/>
      <c r="D311" s="37"/>
      <c r="E311" s="37"/>
      <c r="F311" s="78"/>
      <c r="G311" s="78"/>
      <c r="H311" s="46"/>
      <c r="J311" s="103"/>
      <c r="K311" s="103"/>
      <c r="L311" s="104"/>
      <c r="M311" s="104"/>
      <c r="N311" s="88"/>
      <c r="O311" s="105"/>
      <c r="AA311" s="49"/>
      <c r="AB311" s="50"/>
      <c r="AC311" s="51"/>
      <c r="AD311" s="51"/>
      <c r="AE311" s="1"/>
      <c r="AF311" s="51"/>
    </row>
    <row r="312" spans="2:32" x14ac:dyDescent="0.3">
      <c r="B312" s="46"/>
      <c r="D312" s="37"/>
      <c r="E312" s="37"/>
      <c r="F312" s="78"/>
      <c r="G312" s="78"/>
      <c r="H312" s="46"/>
      <c r="J312" s="103"/>
      <c r="K312" s="103"/>
      <c r="L312" s="104"/>
      <c r="M312" s="104"/>
      <c r="N312" s="88"/>
      <c r="O312" s="105"/>
      <c r="AA312" s="49"/>
      <c r="AB312" s="50"/>
      <c r="AC312" s="51"/>
      <c r="AD312" s="51"/>
      <c r="AE312" s="1"/>
      <c r="AF312" s="51"/>
    </row>
    <row r="313" spans="2:32" x14ac:dyDescent="0.3">
      <c r="B313" s="46"/>
      <c r="D313" s="37"/>
      <c r="E313" s="37"/>
      <c r="F313" s="78"/>
      <c r="G313" s="78"/>
      <c r="H313" s="46"/>
      <c r="J313" s="103"/>
      <c r="K313" s="103"/>
      <c r="L313" s="104"/>
      <c r="M313" s="104"/>
      <c r="N313" s="88"/>
      <c r="O313" s="105"/>
      <c r="AA313" s="49"/>
      <c r="AB313" s="50"/>
      <c r="AC313" s="51"/>
      <c r="AD313" s="51"/>
      <c r="AE313" s="1"/>
      <c r="AF313" s="51"/>
    </row>
    <row r="314" spans="2:32" x14ac:dyDescent="0.3">
      <c r="B314" s="46"/>
      <c r="D314" s="37"/>
      <c r="E314" s="37"/>
      <c r="F314" s="78"/>
      <c r="G314" s="78"/>
      <c r="H314" s="46"/>
      <c r="J314" s="103"/>
      <c r="K314" s="103"/>
      <c r="L314" s="104"/>
      <c r="M314" s="104"/>
      <c r="N314" s="88"/>
      <c r="O314" s="105"/>
      <c r="AA314" s="49"/>
      <c r="AB314" s="50"/>
      <c r="AC314" s="51"/>
      <c r="AD314" s="51"/>
      <c r="AE314" s="1"/>
      <c r="AF314" s="51"/>
    </row>
    <row r="315" spans="2:32" x14ac:dyDescent="0.3">
      <c r="B315" s="46"/>
      <c r="D315" s="37"/>
      <c r="E315" s="37"/>
      <c r="F315" s="78"/>
      <c r="G315" s="78"/>
      <c r="H315" s="46"/>
      <c r="J315" s="103"/>
      <c r="K315" s="103"/>
      <c r="L315" s="104"/>
      <c r="M315" s="104"/>
      <c r="N315" s="88"/>
      <c r="O315" s="105"/>
      <c r="AA315" s="49"/>
      <c r="AB315" s="50"/>
      <c r="AC315" s="51"/>
      <c r="AD315" s="51"/>
      <c r="AE315" s="1"/>
      <c r="AF315" s="51"/>
    </row>
    <row r="316" spans="2:32" x14ac:dyDescent="0.3">
      <c r="B316" s="46"/>
      <c r="D316" s="37"/>
      <c r="E316" s="37"/>
      <c r="F316" s="78"/>
      <c r="G316" s="78"/>
      <c r="H316" s="46"/>
      <c r="J316" s="103"/>
      <c r="K316" s="103"/>
      <c r="L316" s="104"/>
      <c r="M316" s="104"/>
      <c r="N316" s="88"/>
      <c r="O316" s="105"/>
      <c r="AA316" s="49"/>
      <c r="AB316" s="50"/>
      <c r="AC316" s="51"/>
      <c r="AD316" s="51"/>
      <c r="AE316" s="1"/>
      <c r="AF316" s="51"/>
    </row>
    <row r="317" spans="2:32" x14ac:dyDescent="0.3">
      <c r="B317" s="46"/>
      <c r="D317" s="37"/>
      <c r="E317" s="37"/>
      <c r="F317" s="78"/>
      <c r="G317" s="78"/>
      <c r="H317" s="46"/>
      <c r="J317" s="103"/>
      <c r="K317" s="103"/>
      <c r="L317" s="104"/>
      <c r="M317" s="104"/>
      <c r="N317" s="88"/>
      <c r="O317" s="105"/>
      <c r="AA317" s="49"/>
      <c r="AB317" s="50"/>
      <c r="AC317" s="51"/>
      <c r="AD317" s="51"/>
      <c r="AE317" s="1"/>
      <c r="AF317" s="51"/>
    </row>
    <row r="318" spans="2:32" x14ac:dyDescent="0.3">
      <c r="B318" s="46"/>
      <c r="D318" s="37"/>
      <c r="E318" s="37"/>
      <c r="F318" s="78"/>
      <c r="G318" s="78"/>
      <c r="H318" s="46"/>
      <c r="J318" s="103"/>
      <c r="K318" s="103"/>
      <c r="L318" s="104"/>
      <c r="M318" s="104"/>
      <c r="N318" s="88"/>
      <c r="O318" s="105"/>
      <c r="AA318" s="49"/>
      <c r="AB318" s="50"/>
      <c r="AC318" s="51"/>
      <c r="AD318" s="51"/>
      <c r="AE318" s="1"/>
      <c r="AF318" s="51"/>
    </row>
    <row r="319" spans="2:32" x14ac:dyDescent="0.3">
      <c r="B319" s="46"/>
      <c r="D319" s="37"/>
      <c r="E319" s="37"/>
      <c r="F319" s="78"/>
      <c r="G319" s="78"/>
      <c r="H319" s="46"/>
      <c r="J319" s="103"/>
      <c r="K319" s="103"/>
      <c r="L319" s="104"/>
      <c r="M319" s="104"/>
      <c r="N319" s="88"/>
      <c r="O319" s="105"/>
      <c r="AA319" s="49"/>
      <c r="AB319" s="50"/>
      <c r="AC319" s="51"/>
      <c r="AD319" s="51"/>
      <c r="AE319" s="1"/>
      <c r="AF319" s="51"/>
    </row>
    <row r="320" spans="2:32" x14ac:dyDescent="0.3">
      <c r="B320" s="46"/>
      <c r="D320" s="37"/>
      <c r="E320" s="37"/>
      <c r="F320" s="78"/>
      <c r="G320" s="78"/>
      <c r="H320" s="46"/>
      <c r="J320" s="103"/>
      <c r="K320" s="103"/>
      <c r="L320" s="104"/>
      <c r="M320" s="104"/>
      <c r="N320" s="88"/>
      <c r="O320" s="105"/>
      <c r="AA320" s="49"/>
      <c r="AB320" s="50"/>
      <c r="AC320" s="51"/>
      <c r="AD320" s="51"/>
      <c r="AE320" s="1"/>
      <c r="AF320" s="51"/>
    </row>
    <row r="321" spans="2:32" x14ac:dyDescent="0.3">
      <c r="B321" s="46"/>
      <c r="D321" s="37"/>
      <c r="E321" s="37"/>
      <c r="F321" s="78"/>
      <c r="G321" s="78"/>
      <c r="H321" s="46"/>
      <c r="J321" s="103"/>
      <c r="K321" s="103"/>
      <c r="L321" s="104"/>
      <c r="M321" s="104"/>
      <c r="N321" s="88"/>
      <c r="O321" s="105"/>
      <c r="AA321" s="49"/>
      <c r="AB321" s="50"/>
      <c r="AC321" s="51"/>
      <c r="AD321" s="51"/>
      <c r="AE321" s="1"/>
      <c r="AF321" s="51"/>
    </row>
    <row r="322" spans="2:32" x14ac:dyDescent="0.3">
      <c r="B322" s="46"/>
      <c r="D322" s="37"/>
      <c r="E322" s="37"/>
      <c r="F322" s="78"/>
      <c r="G322" s="78"/>
      <c r="H322" s="46"/>
      <c r="J322" s="103"/>
      <c r="K322" s="103"/>
      <c r="L322" s="104"/>
      <c r="M322" s="104"/>
      <c r="N322" s="88"/>
      <c r="O322" s="105"/>
      <c r="AA322" s="49"/>
      <c r="AB322" s="50"/>
      <c r="AC322" s="51"/>
      <c r="AD322" s="51"/>
      <c r="AE322" s="1"/>
      <c r="AF322" s="51"/>
    </row>
    <row r="323" spans="2:32" x14ac:dyDescent="0.3">
      <c r="B323" s="46"/>
      <c r="D323" s="37"/>
      <c r="E323" s="37"/>
      <c r="F323" s="78"/>
      <c r="G323" s="78"/>
      <c r="H323" s="46"/>
      <c r="J323" s="103"/>
      <c r="K323" s="103"/>
      <c r="L323" s="104"/>
      <c r="M323" s="104"/>
      <c r="N323" s="88"/>
      <c r="O323" s="105"/>
      <c r="AA323" s="49"/>
      <c r="AB323" s="50"/>
      <c r="AC323" s="51"/>
      <c r="AD323" s="51"/>
      <c r="AE323" s="1"/>
      <c r="AF323" s="51"/>
    </row>
    <row r="324" spans="2:32" x14ac:dyDescent="0.3">
      <c r="B324" s="46"/>
      <c r="D324" s="37"/>
      <c r="E324" s="37"/>
      <c r="F324" s="78"/>
      <c r="G324" s="78"/>
      <c r="H324" s="46"/>
      <c r="J324" s="103"/>
      <c r="K324" s="103"/>
      <c r="L324" s="104"/>
      <c r="M324" s="104"/>
      <c r="N324" s="88"/>
      <c r="O324" s="105"/>
      <c r="AA324" s="49"/>
      <c r="AB324" s="50"/>
      <c r="AC324" s="51"/>
      <c r="AD324" s="51"/>
      <c r="AE324" s="1"/>
      <c r="AF324" s="51"/>
    </row>
    <row r="325" spans="2:32" x14ac:dyDescent="0.3">
      <c r="B325" s="46"/>
      <c r="D325" s="37"/>
      <c r="E325" s="37"/>
      <c r="F325" s="78"/>
      <c r="G325" s="78"/>
      <c r="H325" s="46"/>
      <c r="J325" s="103"/>
      <c r="K325" s="103"/>
      <c r="L325" s="104"/>
      <c r="M325" s="104"/>
      <c r="N325" s="88"/>
      <c r="O325" s="105"/>
      <c r="AA325" s="49"/>
      <c r="AB325" s="50"/>
      <c r="AC325" s="51"/>
      <c r="AD325" s="51"/>
      <c r="AE325" s="1"/>
      <c r="AF325" s="51"/>
    </row>
    <row r="326" spans="2:32" x14ac:dyDescent="0.3">
      <c r="B326" s="46"/>
      <c r="D326" s="37"/>
      <c r="E326" s="37"/>
      <c r="F326" s="78"/>
      <c r="G326" s="78"/>
      <c r="H326" s="46"/>
      <c r="J326" s="103"/>
      <c r="K326" s="103"/>
      <c r="L326" s="104"/>
      <c r="M326" s="104"/>
      <c r="N326" s="88"/>
      <c r="O326" s="105"/>
      <c r="AA326" s="49"/>
      <c r="AB326" s="50"/>
      <c r="AC326" s="51"/>
      <c r="AD326" s="51"/>
      <c r="AE326" s="1"/>
      <c r="AF326" s="51"/>
    </row>
    <row r="327" spans="2:32" x14ac:dyDescent="0.3">
      <c r="B327" s="46"/>
      <c r="D327" s="37"/>
      <c r="E327" s="37"/>
      <c r="F327" s="78"/>
      <c r="G327" s="78"/>
      <c r="H327" s="46"/>
      <c r="J327" s="103"/>
      <c r="K327" s="103"/>
      <c r="L327" s="104"/>
      <c r="M327" s="104"/>
      <c r="N327" s="88"/>
      <c r="O327" s="105"/>
      <c r="AA327" s="49"/>
      <c r="AB327" s="50"/>
      <c r="AC327" s="51"/>
      <c r="AD327" s="51"/>
      <c r="AE327" s="1"/>
      <c r="AF327" s="51"/>
    </row>
    <row r="328" spans="2:32" x14ac:dyDescent="0.3">
      <c r="B328" s="46"/>
      <c r="D328" s="37"/>
      <c r="E328" s="37"/>
      <c r="F328" s="78"/>
      <c r="G328" s="78"/>
      <c r="H328" s="46"/>
      <c r="J328" s="103"/>
      <c r="K328" s="103"/>
      <c r="L328" s="104"/>
      <c r="M328" s="104"/>
      <c r="N328" s="88"/>
      <c r="O328" s="105"/>
      <c r="AA328" s="49"/>
      <c r="AB328" s="50"/>
      <c r="AC328" s="51"/>
      <c r="AD328" s="51"/>
      <c r="AE328" s="1"/>
      <c r="AF328" s="51"/>
    </row>
    <row r="329" spans="2:32" x14ac:dyDescent="0.3">
      <c r="B329" s="46"/>
      <c r="D329" s="37"/>
      <c r="E329" s="37"/>
      <c r="F329" s="78"/>
      <c r="G329" s="78"/>
      <c r="H329" s="46"/>
      <c r="J329" s="103"/>
      <c r="K329" s="103"/>
      <c r="L329" s="104"/>
      <c r="M329" s="104"/>
      <c r="N329" s="88"/>
      <c r="O329" s="105"/>
      <c r="AA329" s="49"/>
      <c r="AB329" s="50"/>
      <c r="AC329" s="51"/>
      <c r="AD329" s="51"/>
      <c r="AE329" s="1"/>
      <c r="AF329" s="51"/>
    </row>
    <row r="330" spans="2:32" x14ac:dyDescent="0.3">
      <c r="B330" s="46"/>
      <c r="D330" s="37"/>
      <c r="E330" s="37"/>
      <c r="F330" s="78"/>
      <c r="G330" s="78"/>
      <c r="H330" s="46"/>
      <c r="J330" s="103"/>
      <c r="K330" s="103"/>
      <c r="L330" s="104"/>
      <c r="M330" s="104"/>
      <c r="N330" s="88"/>
      <c r="O330" s="105"/>
      <c r="AA330" s="49"/>
      <c r="AB330" s="50"/>
      <c r="AC330" s="51"/>
      <c r="AD330" s="51"/>
      <c r="AE330" s="1"/>
      <c r="AF330" s="51"/>
    </row>
    <row r="331" spans="2:32" x14ac:dyDescent="0.3">
      <c r="B331" s="46"/>
      <c r="D331" s="37"/>
      <c r="E331" s="37"/>
      <c r="F331" s="78"/>
      <c r="G331" s="78"/>
      <c r="H331" s="46"/>
      <c r="J331" s="103"/>
      <c r="K331" s="103"/>
      <c r="L331" s="104"/>
      <c r="M331" s="104"/>
      <c r="N331" s="88"/>
      <c r="O331" s="105"/>
      <c r="AA331" s="49"/>
      <c r="AB331" s="50"/>
      <c r="AC331" s="51"/>
      <c r="AD331" s="51"/>
      <c r="AE331" s="1"/>
      <c r="AF331" s="51"/>
    </row>
    <row r="332" spans="2:32" x14ac:dyDescent="0.3">
      <c r="B332" s="46"/>
      <c r="D332" s="37"/>
      <c r="E332" s="37"/>
      <c r="F332" s="78"/>
      <c r="G332" s="78"/>
      <c r="H332" s="46"/>
      <c r="J332" s="103"/>
      <c r="K332" s="103"/>
      <c r="L332" s="104"/>
      <c r="M332" s="104"/>
      <c r="N332" s="88"/>
      <c r="O332" s="105"/>
      <c r="AA332" s="49"/>
      <c r="AB332" s="50"/>
      <c r="AC332" s="51"/>
      <c r="AD332" s="51"/>
      <c r="AE332" s="1"/>
      <c r="AF332" s="51"/>
    </row>
    <row r="333" spans="2:32" x14ac:dyDescent="0.3">
      <c r="B333" s="46"/>
      <c r="D333" s="37"/>
      <c r="E333" s="37"/>
      <c r="F333" s="78"/>
      <c r="G333" s="78"/>
      <c r="H333" s="46"/>
      <c r="J333" s="103"/>
      <c r="K333" s="103"/>
      <c r="L333" s="104"/>
      <c r="M333" s="104"/>
      <c r="N333" s="88"/>
      <c r="O333" s="105"/>
      <c r="AA333" s="49"/>
      <c r="AB333" s="50"/>
      <c r="AC333" s="51"/>
      <c r="AD333" s="51"/>
      <c r="AE333" s="1"/>
      <c r="AF333" s="51"/>
    </row>
    <row r="334" spans="2:32" x14ac:dyDescent="0.3">
      <c r="B334" s="46"/>
      <c r="D334" s="37"/>
      <c r="E334" s="37"/>
      <c r="F334" s="78"/>
      <c r="G334" s="78"/>
      <c r="H334" s="46"/>
      <c r="J334" s="103"/>
      <c r="K334" s="103"/>
      <c r="L334" s="104"/>
      <c r="M334" s="104"/>
      <c r="N334" s="88"/>
      <c r="O334" s="105"/>
      <c r="AA334" s="49"/>
      <c r="AB334" s="50"/>
      <c r="AC334" s="51"/>
      <c r="AD334" s="51"/>
      <c r="AE334" s="1"/>
      <c r="AF334" s="51"/>
    </row>
    <row r="335" spans="2:32" x14ac:dyDescent="0.3">
      <c r="B335" s="46"/>
      <c r="D335" s="37"/>
      <c r="E335" s="37"/>
      <c r="F335" s="78"/>
      <c r="G335" s="78"/>
      <c r="H335" s="46"/>
      <c r="J335" s="103"/>
      <c r="K335" s="103"/>
      <c r="L335" s="104"/>
      <c r="M335" s="104"/>
      <c r="N335" s="88"/>
      <c r="O335" s="105"/>
      <c r="AA335" s="49"/>
      <c r="AB335" s="50"/>
      <c r="AC335" s="51"/>
      <c r="AD335" s="51"/>
      <c r="AE335" s="1"/>
      <c r="AF335" s="51"/>
    </row>
    <row r="336" spans="2:32" x14ac:dyDescent="0.3">
      <c r="B336" s="46"/>
      <c r="D336" s="37"/>
      <c r="E336" s="37"/>
      <c r="F336" s="78"/>
      <c r="G336" s="78"/>
      <c r="H336" s="46"/>
      <c r="J336" s="103"/>
      <c r="K336" s="103"/>
      <c r="L336" s="104"/>
      <c r="M336" s="104"/>
      <c r="N336" s="88"/>
      <c r="O336" s="105"/>
      <c r="AA336" s="49"/>
      <c r="AB336" s="50"/>
      <c r="AC336" s="51"/>
      <c r="AD336" s="51"/>
      <c r="AE336" s="1"/>
      <c r="AF336" s="51"/>
    </row>
    <row r="337" spans="2:32" x14ac:dyDescent="0.3">
      <c r="B337" s="46"/>
      <c r="D337" s="37"/>
      <c r="E337" s="37"/>
      <c r="F337" s="78"/>
      <c r="G337" s="78"/>
      <c r="H337" s="46"/>
      <c r="J337" s="103"/>
      <c r="K337" s="103"/>
      <c r="L337" s="104"/>
      <c r="M337" s="104"/>
      <c r="N337" s="88"/>
      <c r="O337" s="105"/>
      <c r="AA337" s="49"/>
      <c r="AB337" s="50"/>
      <c r="AC337" s="51"/>
      <c r="AD337" s="51"/>
      <c r="AE337" s="1"/>
      <c r="AF337" s="51"/>
    </row>
    <row r="338" spans="2:32" x14ac:dyDescent="0.3">
      <c r="B338" s="46"/>
      <c r="D338" s="37"/>
      <c r="E338" s="37"/>
      <c r="F338" s="78"/>
      <c r="G338" s="78"/>
      <c r="H338" s="46"/>
      <c r="J338" s="103"/>
      <c r="K338" s="103"/>
      <c r="L338" s="104"/>
      <c r="M338" s="104"/>
      <c r="N338" s="88"/>
      <c r="O338" s="105"/>
      <c r="AA338" s="49"/>
      <c r="AB338" s="50"/>
      <c r="AC338" s="51"/>
      <c r="AD338" s="51"/>
      <c r="AE338" s="1"/>
      <c r="AF338" s="51"/>
    </row>
    <row r="339" spans="2:32" x14ac:dyDescent="0.3">
      <c r="B339" s="46"/>
      <c r="D339" s="37"/>
      <c r="E339" s="37"/>
      <c r="F339" s="78"/>
      <c r="G339" s="78"/>
      <c r="H339" s="46"/>
      <c r="J339" s="103"/>
      <c r="K339" s="103"/>
      <c r="L339" s="104"/>
      <c r="M339" s="104"/>
      <c r="N339" s="88"/>
      <c r="O339" s="105"/>
      <c r="AA339" s="49"/>
      <c r="AB339" s="50"/>
      <c r="AC339" s="51"/>
      <c r="AD339" s="51"/>
      <c r="AE339" s="1"/>
      <c r="AF339" s="51"/>
    </row>
    <row r="340" spans="2:32" x14ac:dyDescent="0.3">
      <c r="B340" s="46"/>
      <c r="D340" s="37"/>
      <c r="E340" s="37"/>
      <c r="F340" s="78"/>
      <c r="G340" s="78"/>
      <c r="H340" s="46"/>
      <c r="J340" s="103"/>
      <c r="K340" s="103"/>
      <c r="L340" s="104"/>
      <c r="M340" s="104"/>
      <c r="N340" s="88"/>
      <c r="O340" s="105"/>
      <c r="AA340" s="49"/>
      <c r="AB340" s="50"/>
      <c r="AC340" s="51"/>
      <c r="AD340" s="51"/>
      <c r="AE340" s="1"/>
      <c r="AF340" s="51"/>
    </row>
    <row r="341" spans="2:32" x14ac:dyDescent="0.3">
      <c r="B341" s="46"/>
      <c r="D341" s="37"/>
      <c r="E341" s="37"/>
      <c r="F341" s="78"/>
      <c r="G341" s="78"/>
      <c r="H341" s="46"/>
      <c r="J341" s="103"/>
      <c r="K341" s="103"/>
      <c r="L341" s="104"/>
      <c r="M341" s="104"/>
      <c r="N341" s="88"/>
      <c r="O341" s="105"/>
      <c r="AA341" s="49"/>
      <c r="AB341" s="50"/>
      <c r="AC341" s="51"/>
      <c r="AD341" s="51"/>
      <c r="AE341" s="1"/>
      <c r="AF341" s="51"/>
    </row>
    <row r="342" spans="2:32" x14ac:dyDescent="0.3">
      <c r="B342" s="46"/>
      <c r="D342" s="37"/>
      <c r="E342" s="37"/>
      <c r="F342" s="78"/>
      <c r="G342" s="78"/>
      <c r="H342" s="46"/>
      <c r="J342" s="103"/>
      <c r="K342" s="103"/>
      <c r="L342" s="104"/>
      <c r="M342" s="104"/>
      <c r="N342" s="88"/>
      <c r="O342" s="105"/>
      <c r="AA342" s="49"/>
      <c r="AB342" s="50"/>
      <c r="AC342" s="51"/>
      <c r="AD342" s="51"/>
      <c r="AE342" s="1"/>
      <c r="AF342" s="51"/>
    </row>
    <row r="343" spans="2:32" x14ac:dyDescent="0.3">
      <c r="B343" s="46"/>
      <c r="D343" s="37"/>
      <c r="E343" s="37"/>
      <c r="F343" s="78"/>
      <c r="G343" s="78"/>
      <c r="H343" s="46"/>
      <c r="J343" s="103"/>
      <c r="K343" s="103"/>
      <c r="L343" s="104"/>
      <c r="M343" s="104"/>
      <c r="N343" s="88"/>
      <c r="O343" s="105"/>
      <c r="AA343" s="49"/>
      <c r="AB343" s="50"/>
      <c r="AC343" s="51"/>
      <c r="AD343" s="51"/>
      <c r="AE343" s="1"/>
      <c r="AF343" s="51"/>
    </row>
    <row r="344" spans="2:32" x14ac:dyDescent="0.3">
      <c r="B344" s="46"/>
      <c r="D344" s="37"/>
      <c r="E344" s="37"/>
      <c r="F344" s="78"/>
      <c r="G344" s="78"/>
      <c r="H344" s="46"/>
      <c r="J344" s="103"/>
      <c r="K344" s="103"/>
      <c r="L344" s="104"/>
      <c r="M344" s="104"/>
      <c r="N344" s="88"/>
      <c r="O344" s="105"/>
      <c r="AA344" s="49"/>
      <c r="AB344" s="50"/>
      <c r="AC344" s="51"/>
      <c r="AD344" s="51"/>
      <c r="AE344" s="1"/>
      <c r="AF344" s="51"/>
    </row>
    <row r="345" spans="2:32" x14ac:dyDescent="0.3">
      <c r="B345" s="46"/>
      <c r="D345" s="37"/>
      <c r="E345" s="37"/>
      <c r="F345" s="78"/>
      <c r="G345" s="78"/>
      <c r="H345" s="46"/>
      <c r="J345" s="103"/>
      <c r="K345" s="103"/>
      <c r="L345" s="104"/>
      <c r="M345" s="104"/>
      <c r="N345" s="88"/>
      <c r="O345" s="105"/>
      <c r="AA345" s="49"/>
      <c r="AB345" s="50"/>
      <c r="AC345" s="51"/>
      <c r="AD345" s="51"/>
      <c r="AE345" s="1"/>
      <c r="AF345" s="51"/>
    </row>
    <row r="346" spans="2:32" x14ac:dyDescent="0.3">
      <c r="B346" s="46"/>
      <c r="D346" s="37"/>
      <c r="E346" s="37"/>
      <c r="F346" s="78"/>
      <c r="G346" s="78"/>
      <c r="H346" s="46"/>
      <c r="J346" s="103"/>
      <c r="K346" s="103"/>
      <c r="L346" s="104"/>
      <c r="M346" s="104"/>
      <c r="N346" s="88"/>
      <c r="O346" s="105"/>
      <c r="AA346" s="49"/>
      <c r="AB346" s="50"/>
      <c r="AC346" s="51"/>
      <c r="AD346" s="51"/>
      <c r="AE346" s="1"/>
      <c r="AF346" s="51"/>
    </row>
    <row r="347" spans="2:32" x14ac:dyDescent="0.3">
      <c r="B347" s="46"/>
      <c r="D347" s="37"/>
      <c r="E347" s="37"/>
      <c r="F347" s="78"/>
      <c r="G347" s="78"/>
      <c r="H347" s="46"/>
      <c r="J347" s="103"/>
      <c r="K347" s="103"/>
      <c r="L347" s="104"/>
      <c r="M347" s="104"/>
      <c r="N347" s="88"/>
      <c r="O347" s="105"/>
      <c r="AA347" s="49"/>
      <c r="AB347" s="50"/>
      <c r="AC347" s="51"/>
      <c r="AD347" s="51"/>
      <c r="AE347" s="1"/>
      <c r="AF347" s="51"/>
    </row>
    <row r="348" spans="2:32" x14ac:dyDescent="0.3">
      <c r="B348" s="46"/>
      <c r="D348" s="37"/>
      <c r="E348" s="37"/>
      <c r="F348" s="78"/>
      <c r="G348" s="78"/>
      <c r="H348" s="46"/>
      <c r="J348" s="103"/>
      <c r="K348" s="103"/>
      <c r="L348" s="104"/>
      <c r="M348" s="104"/>
      <c r="N348" s="88"/>
      <c r="O348" s="105"/>
      <c r="AA348" s="49"/>
      <c r="AB348" s="50"/>
      <c r="AC348" s="51"/>
      <c r="AD348" s="51"/>
      <c r="AE348" s="1"/>
      <c r="AF348" s="51"/>
    </row>
    <row r="349" spans="2:32" x14ac:dyDescent="0.3">
      <c r="B349" s="46"/>
      <c r="D349" s="37"/>
      <c r="E349" s="37"/>
      <c r="F349" s="78"/>
      <c r="G349" s="78"/>
      <c r="H349" s="46"/>
      <c r="J349" s="103"/>
      <c r="K349" s="103"/>
      <c r="L349" s="104"/>
      <c r="M349" s="104"/>
      <c r="N349" s="88"/>
      <c r="O349" s="105"/>
      <c r="AA349" s="49"/>
      <c r="AB349" s="50"/>
      <c r="AC349" s="51"/>
      <c r="AD349" s="51"/>
      <c r="AE349" s="1"/>
      <c r="AF349" s="51"/>
    </row>
    <row r="350" spans="2:32" x14ac:dyDescent="0.3">
      <c r="B350" s="46"/>
      <c r="D350" s="37"/>
      <c r="E350" s="37"/>
      <c r="F350" s="78"/>
      <c r="G350" s="78"/>
      <c r="H350" s="46"/>
      <c r="J350" s="103"/>
      <c r="K350" s="103"/>
      <c r="L350" s="104"/>
      <c r="M350" s="104"/>
      <c r="N350" s="88"/>
      <c r="O350" s="105"/>
      <c r="AA350" s="49"/>
      <c r="AB350" s="50"/>
      <c r="AC350" s="51"/>
      <c r="AD350" s="51"/>
      <c r="AE350" s="1"/>
      <c r="AF350" s="51"/>
    </row>
    <row r="351" spans="2:32" x14ac:dyDescent="0.3">
      <c r="B351" s="46"/>
      <c r="D351" s="37"/>
      <c r="E351" s="37"/>
      <c r="F351" s="78"/>
      <c r="G351" s="78"/>
      <c r="H351" s="46"/>
      <c r="J351" s="103"/>
      <c r="K351" s="103"/>
      <c r="L351" s="104"/>
      <c r="M351" s="104"/>
      <c r="N351" s="88"/>
      <c r="O351" s="105"/>
      <c r="AA351" s="49"/>
      <c r="AB351" s="50"/>
      <c r="AC351" s="51"/>
      <c r="AD351" s="51"/>
      <c r="AE351" s="1"/>
      <c r="AF351" s="51"/>
    </row>
    <row r="352" spans="2:32" x14ac:dyDescent="0.3">
      <c r="B352" s="46"/>
      <c r="D352" s="37"/>
      <c r="E352" s="37"/>
      <c r="F352" s="78"/>
      <c r="G352" s="78"/>
      <c r="H352" s="46"/>
      <c r="J352" s="103"/>
      <c r="K352" s="103"/>
      <c r="L352" s="104"/>
      <c r="M352" s="104"/>
      <c r="N352" s="88"/>
      <c r="O352" s="105"/>
      <c r="AA352" s="49"/>
      <c r="AB352" s="50"/>
      <c r="AC352" s="51"/>
      <c r="AD352" s="51"/>
      <c r="AE352" s="1"/>
      <c r="AF352" s="51"/>
    </row>
    <row r="353" spans="2:32" x14ac:dyDescent="0.3">
      <c r="B353" s="46"/>
      <c r="D353" s="37"/>
      <c r="E353" s="37"/>
      <c r="F353" s="78"/>
      <c r="G353" s="78"/>
      <c r="H353" s="46"/>
      <c r="J353" s="103"/>
      <c r="K353" s="103"/>
      <c r="L353" s="104"/>
      <c r="M353" s="104"/>
      <c r="N353" s="88"/>
      <c r="O353" s="105"/>
      <c r="AA353" s="49"/>
      <c r="AB353" s="50"/>
      <c r="AC353" s="51"/>
      <c r="AD353" s="51"/>
      <c r="AE353" s="1"/>
      <c r="AF353" s="51"/>
    </row>
    <row r="354" spans="2:32" x14ac:dyDescent="0.3">
      <c r="B354" s="46"/>
      <c r="D354" s="37"/>
      <c r="E354" s="37"/>
      <c r="F354" s="78"/>
      <c r="G354" s="78"/>
      <c r="H354" s="46"/>
      <c r="J354" s="103"/>
      <c r="K354" s="103"/>
      <c r="L354" s="104"/>
      <c r="M354" s="104"/>
      <c r="N354" s="88"/>
      <c r="O354" s="105"/>
      <c r="AA354" s="49"/>
      <c r="AB354" s="50"/>
      <c r="AC354" s="51"/>
      <c r="AD354" s="51"/>
      <c r="AE354" s="1"/>
      <c r="AF354" s="51"/>
    </row>
    <row r="355" spans="2:32" x14ac:dyDescent="0.3">
      <c r="B355" s="46"/>
      <c r="D355" s="37"/>
      <c r="E355" s="37"/>
      <c r="F355" s="78"/>
      <c r="G355" s="78"/>
      <c r="H355" s="46"/>
      <c r="J355" s="103"/>
      <c r="K355" s="103"/>
      <c r="L355" s="104"/>
      <c r="M355" s="104"/>
      <c r="N355" s="88"/>
      <c r="O355" s="105"/>
      <c r="AA355" s="49"/>
      <c r="AB355" s="50"/>
      <c r="AC355" s="51"/>
      <c r="AD355" s="51"/>
      <c r="AE355" s="1"/>
      <c r="AF355" s="51"/>
    </row>
    <row r="356" spans="2:32" x14ac:dyDescent="0.3">
      <c r="B356" s="46"/>
      <c r="D356" s="37"/>
      <c r="E356" s="37"/>
      <c r="F356" s="78"/>
      <c r="G356" s="78"/>
      <c r="H356" s="46"/>
      <c r="J356" s="103"/>
      <c r="K356" s="103"/>
      <c r="L356" s="104"/>
      <c r="M356" s="104"/>
      <c r="N356" s="88"/>
      <c r="O356" s="105"/>
      <c r="AA356" s="49"/>
      <c r="AB356" s="50"/>
      <c r="AC356" s="51"/>
      <c r="AD356" s="51"/>
      <c r="AE356" s="1"/>
      <c r="AF356" s="51"/>
    </row>
    <row r="357" spans="2:32" x14ac:dyDescent="0.3">
      <c r="B357" s="46"/>
      <c r="D357" s="37"/>
      <c r="E357" s="37"/>
      <c r="F357" s="78"/>
      <c r="G357" s="78"/>
      <c r="H357" s="46"/>
      <c r="J357" s="103"/>
      <c r="K357" s="103"/>
      <c r="L357" s="104"/>
      <c r="M357" s="104"/>
      <c r="N357" s="88"/>
      <c r="O357" s="105"/>
      <c r="AA357" s="49"/>
      <c r="AB357" s="50"/>
      <c r="AC357" s="51"/>
      <c r="AD357" s="51"/>
      <c r="AE357" s="1"/>
      <c r="AF357" s="51"/>
    </row>
    <row r="358" spans="2:32" x14ac:dyDescent="0.3">
      <c r="B358" s="46"/>
      <c r="D358" s="37"/>
      <c r="E358" s="37"/>
      <c r="F358" s="78"/>
      <c r="G358" s="78"/>
      <c r="H358" s="46"/>
      <c r="J358" s="103"/>
      <c r="K358" s="103"/>
      <c r="L358" s="104"/>
      <c r="M358" s="104"/>
      <c r="N358" s="88"/>
      <c r="O358" s="105"/>
      <c r="AA358" s="49"/>
      <c r="AB358" s="50"/>
      <c r="AC358" s="51"/>
      <c r="AD358" s="51"/>
      <c r="AE358" s="1"/>
      <c r="AF358" s="51"/>
    </row>
    <row r="359" spans="2:32" x14ac:dyDescent="0.3">
      <c r="B359" s="46"/>
      <c r="D359" s="37"/>
      <c r="E359" s="37"/>
      <c r="F359" s="78"/>
      <c r="G359" s="78"/>
      <c r="H359" s="46"/>
      <c r="J359" s="103"/>
      <c r="K359" s="103"/>
      <c r="L359" s="104"/>
      <c r="M359" s="104"/>
      <c r="N359" s="88"/>
      <c r="O359" s="105"/>
      <c r="AA359" s="49"/>
      <c r="AB359" s="50"/>
      <c r="AC359" s="51"/>
      <c r="AD359" s="51"/>
      <c r="AE359" s="1"/>
      <c r="AF359" s="51"/>
    </row>
    <row r="360" spans="2:32" x14ac:dyDescent="0.3">
      <c r="B360" s="46"/>
      <c r="D360" s="37"/>
      <c r="E360" s="37"/>
      <c r="F360" s="78"/>
      <c r="G360" s="78"/>
      <c r="H360" s="46"/>
      <c r="J360" s="103"/>
      <c r="K360" s="103"/>
      <c r="L360" s="104"/>
      <c r="M360" s="104"/>
      <c r="N360" s="88"/>
      <c r="O360" s="105"/>
      <c r="AA360" s="49"/>
      <c r="AB360" s="50"/>
      <c r="AC360" s="51"/>
      <c r="AD360" s="51"/>
      <c r="AE360" s="1"/>
      <c r="AF360" s="51"/>
    </row>
    <row r="361" spans="2:32" x14ac:dyDescent="0.3">
      <c r="B361" s="46"/>
      <c r="D361" s="37"/>
      <c r="E361" s="37"/>
      <c r="F361" s="78"/>
      <c r="G361" s="78"/>
      <c r="H361" s="46"/>
      <c r="J361" s="103"/>
      <c r="K361" s="103"/>
      <c r="L361" s="104"/>
      <c r="M361" s="104"/>
      <c r="N361" s="88"/>
      <c r="O361" s="105"/>
      <c r="AA361" s="49"/>
      <c r="AB361" s="50"/>
      <c r="AC361" s="51"/>
      <c r="AD361" s="51"/>
      <c r="AE361" s="1"/>
      <c r="AF361" s="51"/>
    </row>
    <row r="362" spans="2:32" x14ac:dyDescent="0.3">
      <c r="B362" s="46"/>
      <c r="D362" s="37"/>
      <c r="E362" s="37"/>
      <c r="F362" s="78"/>
      <c r="G362" s="78"/>
      <c r="H362" s="46"/>
      <c r="J362" s="103"/>
      <c r="K362" s="103"/>
      <c r="L362" s="104"/>
      <c r="M362" s="104"/>
      <c r="N362" s="88"/>
      <c r="O362" s="105"/>
      <c r="AA362" s="49"/>
      <c r="AB362" s="50"/>
      <c r="AC362" s="51"/>
      <c r="AD362" s="51"/>
      <c r="AE362" s="1"/>
      <c r="AF362" s="51"/>
    </row>
    <row r="363" spans="2:32" x14ac:dyDescent="0.3">
      <c r="B363" s="46"/>
      <c r="D363" s="37"/>
      <c r="E363" s="37"/>
      <c r="F363" s="78"/>
      <c r="G363" s="78"/>
      <c r="H363" s="46"/>
      <c r="J363" s="103"/>
      <c r="K363" s="103"/>
      <c r="L363" s="104"/>
      <c r="M363" s="104"/>
      <c r="N363" s="88"/>
      <c r="O363" s="105"/>
      <c r="AA363" s="49"/>
      <c r="AB363" s="50"/>
      <c r="AC363" s="51"/>
      <c r="AD363" s="51"/>
      <c r="AE363" s="1"/>
      <c r="AF363" s="51"/>
    </row>
    <row r="364" spans="2:32" x14ac:dyDescent="0.3">
      <c r="B364" s="46"/>
      <c r="D364" s="37"/>
      <c r="E364" s="37"/>
      <c r="F364" s="78"/>
      <c r="G364" s="78"/>
      <c r="H364" s="46"/>
      <c r="J364" s="103"/>
      <c r="K364" s="103"/>
      <c r="L364" s="104"/>
      <c r="M364" s="104"/>
      <c r="N364" s="88"/>
      <c r="O364" s="105"/>
      <c r="AA364" s="49"/>
      <c r="AB364" s="50"/>
      <c r="AC364" s="51"/>
      <c r="AD364" s="51"/>
      <c r="AE364" s="1"/>
      <c r="AF364" s="51"/>
    </row>
    <row r="365" spans="2:32" x14ac:dyDescent="0.3">
      <c r="B365" s="46"/>
      <c r="D365" s="37"/>
      <c r="E365" s="37"/>
      <c r="F365" s="78"/>
      <c r="G365" s="78"/>
      <c r="H365" s="46"/>
      <c r="J365" s="103"/>
      <c r="K365" s="103"/>
      <c r="L365" s="104"/>
      <c r="M365" s="104"/>
      <c r="N365" s="88"/>
      <c r="O365" s="105"/>
      <c r="AA365" s="49"/>
      <c r="AB365" s="50"/>
      <c r="AC365" s="51"/>
      <c r="AD365" s="51"/>
      <c r="AE365" s="1"/>
      <c r="AF365" s="51"/>
    </row>
    <row r="366" spans="2:32" x14ac:dyDescent="0.3">
      <c r="B366" s="46"/>
      <c r="D366" s="37"/>
      <c r="E366" s="37"/>
      <c r="F366" s="78"/>
      <c r="G366" s="78"/>
      <c r="H366" s="46"/>
      <c r="J366" s="103"/>
      <c r="K366" s="103"/>
      <c r="L366" s="104"/>
      <c r="M366" s="104"/>
      <c r="N366" s="88"/>
      <c r="O366" s="105"/>
      <c r="AA366" s="49"/>
      <c r="AB366" s="50"/>
      <c r="AC366" s="51"/>
      <c r="AD366" s="51"/>
      <c r="AE366" s="1"/>
      <c r="AF366" s="51"/>
    </row>
    <row r="367" spans="2:32" x14ac:dyDescent="0.3">
      <c r="B367" s="46"/>
      <c r="D367" s="37"/>
      <c r="E367" s="37"/>
      <c r="F367" s="78"/>
      <c r="G367" s="78"/>
      <c r="H367" s="46"/>
      <c r="J367" s="103"/>
      <c r="K367" s="103"/>
      <c r="L367" s="104"/>
      <c r="M367" s="104"/>
      <c r="N367" s="88"/>
      <c r="O367" s="105"/>
      <c r="AA367" s="49"/>
      <c r="AB367" s="50"/>
      <c r="AC367" s="51"/>
      <c r="AD367" s="51"/>
      <c r="AE367" s="1"/>
      <c r="AF367" s="51"/>
    </row>
    <row r="368" spans="2:32" x14ac:dyDescent="0.3">
      <c r="B368" s="46"/>
      <c r="D368" s="37"/>
      <c r="E368" s="37"/>
      <c r="F368" s="78"/>
      <c r="G368" s="78"/>
      <c r="H368" s="46"/>
      <c r="J368" s="103"/>
      <c r="K368" s="103"/>
      <c r="L368" s="104"/>
      <c r="M368" s="104"/>
      <c r="N368" s="88"/>
      <c r="O368" s="105"/>
      <c r="AA368" s="49"/>
      <c r="AB368" s="50"/>
      <c r="AC368" s="51"/>
      <c r="AD368" s="51"/>
      <c r="AE368" s="1"/>
      <c r="AF368" s="51"/>
    </row>
    <row r="369" spans="2:32" x14ac:dyDescent="0.3">
      <c r="B369" s="46"/>
      <c r="D369" s="37"/>
      <c r="E369" s="37"/>
      <c r="F369" s="78"/>
      <c r="G369" s="78"/>
      <c r="H369" s="46"/>
      <c r="J369" s="103"/>
      <c r="K369" s="103"/>
      <c r="L369" s="104"/>
      <c r="M369" s="104"/>
      <c r="N369" s="88"/>
      <c r="O369" s="105"/>
      <c r="AA369" s="49"/>
      <c r="AB369" s="50"/>
      <c r="AC369" s="51"/>
      <c r="AD369" s="51"/>
      <c r="AE369" s="1"/>
      <c r="AF369" s="51"/>
    </row>
    <row r="370" spans="2:32" x14ac:dyDescent="0.3">
      <c r="B370" s="46"/>
      <c r="D370" s="37"/>
      <c r="E370" s="37"/>
      <c r="F370" s="78"/>
      <c r="G370" s="78"/>
      <c r="H370" s="46"/>
      <c r="J370" s="103"/>
      <c r="K370" s="103"/>
      <c r="L370" s="104"/>
      <c r="M370" s="104"/>
      <c r="N370" s="88"/>
      <c r="O370" s="105"/>
      <c r="AA370" s="49"/>
      <c r="AB370" s="50"/>
      <c r="AC370" s="51"/>
      <c r="AD370" s="51"/>
      <c r="AE370" s="1"/>
      <c r="AF370" s="51"/>
    </row>
    <row r="371" spans="2:32" x14ac:dyDescent="0.3">
      <c r="B371" s="46"/>
      <c r="D371" s="37"/>
      <c r="E371" s="37"/>
      <c r="F371" s="78"/>
      <c r="G371" s="78"/>
      <c r="H371" s="46"/>
      <c r="J371" s="103"/>
      <c r="K371" s="103"/>
      <c r="L371" s="104"/>
      <c r="M371" s="104"/>
      <c r="N371" s="88"/>
      <c r="O371" s="105"/>
      <c r="AA371" s="49"/>
      <c r="AB371" s="50"/>
      <c r="AC371" s="51"/>
      <c r="AD371" s="51"/>
      <c r="AE371" s="1"/>
      <c r="AF371" s="51"/>
    </row>
    <row r="372" spans="2:32" x14ac:dyDescent="0.3">
      <c r="B372" s="46"/>
      <c r="D372" s="37"/>
      <c r="E372" s="37"/>
      <c r="F372" s="78"/>
      <c r="G372" s="78"/>
      <c r="H372" s="46"/>
      <c r="J372" s="103"/>
      <c r="K372" s="103"/>
      <c r="L372" s="104"/>
      <c r="M372" s="104"/>
      <c r="N372" s="88"/>
      <c r="O372" s="105"/>
      <c r="AA372" s="49"/>
      <c r="AB372" s="50"/>
      <c r="AC372" s="51"/>
      <c r="AD372" s="51"/>
      <c r="AE372" s="1"/>
      <c r="AF372" s="51"/>
    </row>
    <row r="373" spans="2:32" x14ac:dyDescent="0.3">
      <c r="B373" s="46"/>
      <c r="D373" s="37"/>
      <c r="E373" s="37"/>
      <c r="F373" s="78"/>
      <c r="G373" s="78"/>
      <c r="H373" s="46"/>
      <c r="J373" s="103"/>
      <c r="K373" s="103"/>
      <c r="L373" s="104"/>
      <c r="M373" s="104"/>
      <c r="N373" s="88"/>
      <c r="O373" s="105"/>
      <c r="AA373" s="49"/>
      <c r="AB373" s="50"/>
      <c r="AC373" s="51"/>
      <c r="AD373" s="51"/>
      <c r="AE373" s="1"/>
      <c r="AF373" s="51"/>
    </row>
    <row r="374" spans="2:32" x14ac:dyDescent="0.3">
      <c r="B374" s="46"/>
      <c r="D374" s="37"/>
      <c r="E374" s="37"/>
      <c r="F374" s="78"/>
      <c r="G374" s="78"/>
      <c r="H374" s="46"/>
      <c r="J374" s="103"/>
      <c r="K374" s="103"/>
      <c r="L374" s="104"/>
      <c r="M374" s="104"/>
      <c r="N374" s="88"/>
      <c r="O374" s="105"/>
      <c r="AA374" s="49"/>
      <c r="AB374" s="50"/>
      <c r="AC374" s="51"/>
      <c r="AD374" s="51"/>
      <c r="AE374" s="1"/>
      <c r="AF374" s="51"/>
    </row>
    <row r="375" spans="2:32" x14ac:dyDescent="0.3">
      <c r="B375" s="46"/>
      <c r="D375" s="37"/>
      <c r="E375" s="37"/>
      <c r="F375" s="78"/>
      <c r="G375" s="78"/>
      <c r="H375" s="46"/>
      <c r="J375" s="103"/>
      <c r="K375" s="103"/>
      <c r="L375" s="104"/>
      <c r="M375" s="104"/>
      <c r="N375" s="88"/>
      <c r="O375" s="105"/>
      <c r="AA375" s="49"/>
      <c r="AB375" s="50"/>
      <c r="AC375" s="51"/>
      <c r="AD375" s="51"/>
      <c r="AE375" s="1"/>
      <c r="AF375" s="51"/>
    </row>
    <row r="376" spans="2:32" x14ac:dyDescent="0.3">
      <c r="B376" s="46"/>
      <c r="D376" s="37"/>
      <c r="E376" s="37"/>
      <c r="F376" s="78"/>
      <c r="G376" s="78"/>
      <c r="H376" s="46"/>
      <c r="J376" s="103"/>
      <c r="K376" s="103"/>
      <c r="L376" s="104"/>
      <c r="M376" s="104"/>
      <c r="N376" s="88"/>
      <c r="O376" s="105"/>
      <c r="AA376" s="49"/>
      <c r="AB376" s="50"/>
      <c r="AC376" s="51"/>
      <c r="AD376" s="51"/>
      <c r="AE376" s="1"/>
      <c r="AF376" s="51"/>
    </row>
    <row r="377" spans="2:32" x14ac:dyDescent="0.3">
      <c r="B377" s="46"/>
      <c r="D377" s="37"/>
      <c r="E377" s="37"/>
      <c r="F377" s="78"/>
      <c r="G377" s="78"/>
      <c r="H377" s="46"/>
      <c r="J377" s="103"/>
      <c r="K377" s="103"/>
      <c r="L377" s="104"/>
      <c r="M377" s="104"/>
      <c r="N377" s="88"/>
      <c r="O377" s="105"/>
      <c r="AA377" s="49"/>
      <c r="AB377" s="50"/>
      <c r="AC377" s="51"/>
      <c r="AD377" s="51"/>
      <c r="AE377" s="1"/>
      <c r="AF377" s="51"/>
    </row>
    <row r="378" spans="2:32" x14ac:dyDescent="0.3">
      <c r="B378" s="46"/>
      <c r="D378" s="37"/>
      <c r="E378" s="37"/>
      <c r="F378" s="78"/>
      <c r="G378" s="78"/>
      <c r="H378" s="46"/>
      <c r="J378" s="103"/>
      <c r="K378" s="103"/>
      <c r="L378" s="104"/>
      <c r="M378" s="104"/>
      <c r="N378" s="88"/>
      <c r="O378" s="105"/>
      <c r="AA378" s="49"/>
      <c r="AB378" s="50"/>
      <c r="AC378" s="51"/>
      <c r="AD378" s="51"/>
      <c r="AE378" s="1"/>
      <c r="AF378" s="51"/>
    </row>
    <row r="379" spans="2:32" x14ac:dyDescent="0.3">
      <c r="B379" s="46"/>
      <c r="D379" s="37"/>
      <c r="E379" s="37"/>
      <c r="F379" s="78"/>
      <c r="G379" s="78"/>
      <c r="H379" s="46"/>
      <c r="J379" s="103"/>
      <c r="K379" s="103"/>
      <c r="L379" s="104"/>
      <c r="M379" s="104"/>
      <c r="N379" s="88"/>
      <c r="O379" s="105"/>
      <c r="AA379" s="49"/>
      <c r="AB379" s="50"/>
      <c r="AC379" s="51"/>
      <c r="AD379" s="51"/>
      <c r="AE379" s="1"/>
      <c r="AF379" s="51"/>
    </row>
    <row r="380" spans="2:32" x14ac:dyDescent="0.3">
      <c r="B380" s="46"/>
      <c r="D380" s="37"/>
      <c r="E380" s="37"/>
      <c r="F380" s="78"/>
      <c r="G380" s="78"/>
      <c r="H380" s="46"/>
      <c r="J380" s="103"/>
      <c r="K380" s="103"/>
      <c r="L380" s="104"/>
      <c r="M380" s="104"/>
      <c r="N380" s="88"/>
      <c r="O380" s="105"/>
      <c r="AA380" s="49"/>
      <c r="AB380" s="50"/>
      <c r="AC380" s="51"/>
      <c r="AD380" s="51"/>
      <c r="AE380" s="1"/>
      <c r="AF380" s="51"/>
    </row>
    <row r="381" spans="2:32" x14ac:dyDescent="0.3">
      <c r="B381" s="46"/>
      <c r="D381" s="37"/>
      <c r="E381" s="37"/>
      <c r="F381" s="78"/>
      <c r="G381" s="78"/>
      <c r="H381" s="46"/>
      <c r="J381" s="103"/>
      <c r="K381" s="103"/>
      <c r="L381" s="104"/>
      <c r="M381" s="104"/>
      <c r="N381" s="88"/>
      <c r="O381" s="105"/>
      <c r="AA381" s="49"/>
      <c r="AB381" s="50"/>
      <c r="AC381" s="51"/>
      <c r="AD381" s="51"/>
      <c r="AE381" s="1"/>
      <c r="AF381" s="51"/>
    </row>
    <row r="382" spans="2:32" x14ac:dyDescent="0.3">
      <c r="B382" s="46"/>
      <c r="D382" s="37"/>
      <c r="E382" s="37"/>
      <c r="F382" s="78"/>
      <c r="G382" s="78"/>
      <c r="H382" s="46"/>
      <c r="J382" s="103"/>
      <c r="K382" s="103"/>
      <c r="L382" s="104"/>
      <c r="M382" s="104"/>
      <c r="N382" s="88"/>
      <c r="O382" s="105"/>
      <c r="AA382" s="49"/>
      <c r="AB382" s="50"/>
      <c r="AC382" s="51"/>
      <c r="AD382" s="51"/>
      <c r="AE382" s="1"/>
      <c r="AF382" s="51"/>
    </row>
    <row r="383" spans="2:32" x14ac:dyDescent="0.3">
      <c r="B383" s="46"/>
      <c r="D383" s="37"/>
      <c r="E383" s="37"/>
      <c r="F383" s="78"/>
      <c r="G383" s="78"/>
      <c r="H383" s="46"/>
      <c r="J383" s="103"/>
      <c r="K383" s="103"/>
      <c r="L383" s="104"/>
      <c r="M383" s="104"/>
      <c r="N383" s="88"/>
      <c r="O383" s="105"/>
      <c r="AA383" s="49"/>
      <c r="AB383" s="50"/>
      <c r="AC383" s="51"/>
      <c r="AD383" s="51"/>
      <c r="AE383" s="1"/>
      <c r="AF383" s="51"/>
    </row>
    <row r="384" spans="2:32" x14ac:dyDescent="0.3">
      <c r="B384" s="46"/>
      <c r="D384" s="37"/>
      <c r="E384" s="37"/>
      <c r="F384" s="78"/>
      <c r="G384" s="78"/>
      <c r="H384" s="46"/>
      <c r="J384" s="103"/>
      <c r="K384" s="103"/>
      <c r="L384" s="104"/>
      <c r="M384" s="104"/>
      <c r="N384" s="88"/>
      <c r="O384" s="105"/>
      <c r="AA384" s="49"/>
      <c r="AB384" s="50"/>
      <c r="AC384" s="51"/>
      <c r="AD384" s="51"/>
      <c r="AE384" s="1"/>
      <c r="AF384" s="51"/>
    </row>
    <row r="385" spans="2:32" x14ac:dyDescent="0.3">
      <c r="B385" s="46"/>
      <c r="D385" s="37"/>
      <c r="E385" s="37"/>
      <c r="F385" s="78"/>
      <c r="G385" s="78"/>
      <c r="H385" s="46"/>
      <c r="J385" s="103"/>
      <c r="K385" s="103"/>
      <c r="L385" s="104"/>
      <c r="M385" s="104"/>
      <c r="N385" s="88"/>
      <c r="O385" s="105"/>
      <c r="AA385" s="49"/>
      <c r="AB385" s="50"/>
      <c r="AC385" s="51"/>
      <c r="AD385" s="51"/>
      <c r="AE385" s="1"/>
      <c r="AF385" s="51"/>
    </row>
    <row r="386" spans="2:32" x14ac:dyDescent="0.3">
      <c r="B386" s="46"/>
      <c r="D386" s="37"/>
      <c r="E386" s="37"/>
      <c r="F386" s="78"/>
      <c r="G386" s="78"/>
      <c r="H386" s="46"/>
      <c r="J386" s="103"/>
      <c r="K386" s="103"/>
      <c r="L386" s="104"/>
      <c r="M386" s="104"/>
      <c r="N386" s="88"/>
      <c r="O386" s="105"/>
      <c r="AA386" s="49"/>
      <c r="AB386" s="50"/>
      <c r="AC386" s="51"/>
      <c r="AD386" s="51"/>
      <c r="AE386" s="1"/>
      <c r="AF386" s="51"/>
    </row>
    <row r="387" spans="2:32" x14ac:dyDescent="0.3">
      <c r="B387" s="46"/>
      <c r="D387" s="37"/>
      <c r="E387" s="37"/>
      <c r="F387" s="78"/>
      <c r="G387" s="78"/>
      <c r="H387" s="46"/>
      <c r="J387" s="103"/>
      <c r="K387" s="103"/>
      <c r="L387" s="104"/>
      <c r="M387" s="104"/>
      <c r="N387" s="88"/>
      <c r="O387" s="105"/>
      <c r="AA387" s="49"/>
      <c r="AB387" s="50"/>
      <c r="AC387" s="51"/>
      <c r="AD387" s="51"/>
      <c r="AE387" s="1"/>
      <c r="AF387" s="51"/>
    </row>
    <row r="388" spans="2:32" x14ac:dyDescent="0.3">
      <c r="B388" s="46"/>
      <c r="D388" s="37"/>
      <c r="E388" s="37"/>
      <c r="F388" s="78"/>
      <c r="G388" s="78"/>
      <c r="H388" s="46"/>
      <c r="J388" s="103"/>
      <c r="K388" s="103"/>
      <c r="L388" s="104"/>
      <c r="M388" s="104"/>
      <c r="N388" s="88"/>
      <c r="O388" s="105"/>
      <c r="AA388" s="49"/>
      <c r="AB388" s="50"/>
      <c r="AC388" s="51"/>
      <c r="AD388" s="51"/>
      <c r="AE388" s="1"/>
      <c r="AF388" s="51"/>
    </row>
    <row r="389" spans="2:32" x14ac:dyDescent="0.3">
      <c r="B389" s="46"/>
      <c r="D389" s="37"/>
      <c r="E389" s="37"/>
      <c r="F389" s="78"/>
      <c r="G389" s="78"/>
      <c r="H389" s="46"/>
      <c r="J389" s="103"/>
      <c r="K389" s="103"/>
      <c r="L389" s="104"/>
      <c r="M389" s="104"/>
      <c r="N389" s="88"/>
      <c r="O389" s="105"/>
      <c r="AA389" s="49"/>
      <c r="AB389" s="50"/>
      <c r="AC389" s="51"/>
      <c r="AD389" s="51"/>
      <c r="AE389" s="1"/>
      <c r="AF389" s="51"/>
    </row>
    <row r="390" spans="2:32" x14ac:dyDescent="0.3">
      <c r="B390" s="46"/>
      <c r="D390" s="37"/>
      <c r="E390" s="37"/>
      <c r="F390" s="78"/>
      <c r="G390" s="78"/>
      <c r="H390" s="46"/>
      <c r="J390" s="103"/>
      <c r="K390" s="103"/>
      <c r="L390" s="104"/>
      <c r="M390" s="104"/>
      <c r="N390" s="88"/>
      <c r="O390" s="105"/>
      <c r="AA390" s="49"/>
      <c r="AB390" s="50"/>
      <c r="AC390" s="51"/>
      <c r="AD390" s="51"/>
      <c r="AE390" s="1"/>
      <c r="AF390" s="51"/>
    </row>
    <row r="391" spans="2:32" x14ac:dyDescent="0.3">
      <c r="B391" s="46"/>
      <c r="D391" s="37"/>
      <c r="E391" s="37"/>
      <c r="F391" s="78"/>
      <c r="G391" s="78"/>
      <c r="H391" s="46"/>
      <c r="J391" s="103"/>
      <c r="K391" s="103"/>
      <c r="L391" s="104"/>
      <c r="M391" s="104"/>
      <c r="N391" s="88"/>
      <c r="O391" s="105"/>
      <c r="AA391" s="49"/>
      <c r="AB391" s="50"/>
      <c r="AC391" s="51"/>
      <c r="AD391" s="51"/>
      <c r="AE391" s="1"/>
      <c r="AF391" s="51"/>
    </row>
    <row r="392" spans="2:32" x14ac:dyDescent="0.3">
      <c r="B392" s="46"/>
      <c r="D392" s="37"/>
      <c r="E392" s="37"/>
      <c r="F392" s="78"/>
      <c r="G392" s="78"/>
      <c r="H392" s="46"/>
      <c r="J392" s="103"/>
      <c r="K392" s="103"/>
      <c r="L392" s="104"/>
      <c r="M392" s="104"/>
      <c r="N392" s="88"/>
      <c r="O392" s="105"/>
      <c r="AA392" s="49"/>
      <c r="AB392" s="50"/>
      <c r="AC392" s="51"/>
      <c r="AD392" s="51"/>
      <c r="AE392" s="1"/>
      <c r="AF392" s="51"/>
    </row>
    <row r="393" spans="2:32" x14ac:dyDescent="0.3">
      <c r="B393" s="46"/>
      <c r="D393" s="37"/>
      <c r="E393" s="37"/>
      <c r="F393" s="78"/>
      <c r="G393" s="78"/>
      <c r="H393" s="46"/>
      <c r="J393" s="103"/>
      <c r="K393" s="103"/>
      <c r="L393" s="104"/>
      <c r="M393" s="104"/>
      <c r="N393" s="88"/>
      <c r="O393" s="105"/>
      <c r="AA393" s="49"/>
      <c r="AB393" s="50"/>
      <c r="AC393" s="51"/>
      <c r="AD393" s="51"/>
      <c r="AE393" s="1"/>
      <c r="AF393" s="51"/>
    </row>
    <row r="394" spans="2:32" x14ac:dyDescent="0.3">
      <c r="B394" s="46"/>
      <c r="D394" s="37"/>
      <c r="E394" s="37"/>
      <c r="F394" s="78"/>
      <c r="G394" s="78"/>
      <c r="H394" s="46"/>
      <c r="J394" s="103"/>
      <c r="K394" s="103"/>
      <c r="L394" s="104"/>
      <c r="M394" s="104"/>
      <c r="N394" s="88"/>
      <c r="O394" s="105"/>
      <c r="AA394" s="49"/>
      <c r="AB394" s="50"/>
      <c r="AC394" s="51"/>
      <c r="AD394" s="51"/>
      <c r="AE394" s="1"/>
      <c r="AF394" s="51"/>
    </row>
    <row r="395" spans="2:32" x14ac:dyDescent="0.3">
      <c r="B395" s="46"/>
      <c r="D395" s="37"/>
      <c r="E395" s="37"/>
      <c r="F395" s="78"/>
      <c r="G395" s="78"/>
      <c r="H395" s="46"/>
      <c r="J395" s="103"/>
      <c r="K395" s="103"/>
      <c r="L395" s="104"/>
      <c r="M395" s="104"/>
      <c r="N395" s="88"/>
      <c r="O395" s="105"/>
      <c r="AA395" s="49"/>
      <c r="AB395" s="50"/>
      <c r="AC395" s="51"/>
      <c r="AD395" s="51"/>
      <c r="AE395" s="1"/>
      <c r="AF395" s="51"/>
    </row>
    <row r="396" spans="2:32" x14ac:dyDescent="0.3">
      <c r="B396" s="46"/>
      <c r="D396" s="37"/>
      <c r="E396" s="37"/>
      <c r="F396" s="78"/>
      <c r="G396" s="78"/>
      <c r="H396" s="46"/>
      <c r="J396" s="103"/>
      <c r="K396" s="103"/>
      <c r="L396" s="104"/>
      <c r="M396" s="104"/>
      <c r="N396" s="88"/>
      <c r="O396" s="105"/>
      <c r="AA396" s="49"/>
      <c r="AB396" s="50"/>
      <c r="AC396" s="51"/>
      <c r="AD396" s="51"/>
      <c r="AE396" s="1"/>
      <c r="AF396" s="51"/>
    </row>
    <row r="397" spans="2:32" x14ac:dyDescent="0.3">
      <c r="B397" s="46"/>
      <c r="D397" s="37"/>
      <c r="E397" s="37"/>
      <c r="F397" s="78"/>
      <c r="G397" s="78"/>
      <c r="H397" s="46"/>
      <c r="J397" s="103"/>
      <c r="K397" s="103"/>
      <c r="L397" s="104"/>
      <c r="M397" s="104"/>
      <c r="N397" s="88"/>
      <c r="O397" s="105"/>
      <c r="AA397" s="49"/>
      <c r="AB397" s="50"/>
      <c r="AC397" s="51"/>
      <c r="AD397" s="51"/>
      <c r="AE397" s="1"/>
      <c r="AF397" s="51"/>
    </row>
    <row r="398" spans="2:32" x14ac:dyDescent="0.3">
      <c r="B398" s="46"/>
      <c r="D398" s="37"/>
      <c r="E398" s="37"/>
      <c r="F398" s="78"/>
      <c r="G398" s="78"/>
      <c r="H398" s="46"/>
      <c r="J398" s="103"/>
      <c r="K398" s="103"/>
      <c r="L398" s="104"/>
      <c r="M398" s="104"/>
      <c r="N398" s="88"/>
      <c r="O398" s="105"/>
      <c r="AA398" s="49"/>
      <c r="AB398" s="50"/>
      <c r="AC398" s="51"/>
      <c r="AD398" s="51"/>
      <c r="AE398" s="1"/>
      <c r="AF398" s="51"/>
    </row>
    <row r="399" spans="2:32" x14ac:dyDescent="0.3">
      <c r="B399" s="46"/>
      <c r="D399" s="37"/>
      <c r="E399" s="37"/>
      <c r="F399" s="78"/>
      <c r="G399" s="78"/>
      <c r="H399" s="46"/>
      <c r="J399" s="103"/>
      <c r="K399" s="103"/>
      <c r="L399" s="104"/>
      <c r="M399" s="104"/>
      <c r="N399" s="88"/>
      <c r="O399" s="105"/>
      <c r="AA399" s="49"/>
      <c r="AB399" s="50"/>
      <c r="AC399" s="51"/>
      <c r="AD399" s="51"/>
      <c r="AE399" s="1"/>
      <c r="AF399" s="51"/>
    </row>
    <row r="400" spans="2:32" x14ac:dyDescent="0.3">
      <c r="B400" s="46"/>
      <c r="D400" s="37"/>
      <c r="E400" s="37"/>
      <c r="F400" s="78"/>
      <c r="G400" s="78"/>
      <c r="H400" s="46"/>
      <c r="J400" s="103"/>
      <c r="K400" s="103"/>
      <c r="L400" s="104"/>
      <c r="M400" s="104"/>
      <c r="N400" s="88"/>
      <c r="O400" s="105"/>
      <c r="AA400" s="49"/>
      <c r="AB400" s="50"/>
      <c r="AC400" s="51"/>
      <c r="AD400" s="51"/>
      <c r="AE400" s="1"/>
      <c r="AF400" s="51"/>
    </row>
    <row r="401" spans="2:32" x14ac:dyDescent="0.3">
      <c r="B401" s="46"/>
      <c r="D401" s="37"/>
      <c r="E401" s="37"/>
      <c r="F401" s="78"/>
      <c r="G401" s="78"/>
      <c r="H401" s="46"/>
      <c r="J401" s="103"/>
      <c r="K401" s="103"/>
      <c r="L401" s="104"/>
      <c r="M401" s="104"/>
      <c r="N401" s="88"/>
      <c r="O401" s="105"/>
      <c r="AA401" s="49"/>
      <c r="AB401" s="50"/>
      <c r="AC401" s="51"/>
      <c r="AD401" s="51"/>
      <c r="AE401" s="1"/>
      <c r="AF401" s="51"/>
    </row>
    <row r="402" spans="2:32" x14ac:dyDescent="0.3">
      <c r="B402" s="46"/>
      <c r="D402" s="37"/>
      <c r="E402" s="37"/>
      <c r="F402" s="78"/>
      <c r="G402" s="78"/>
      <c r="H402" s="46"/>
      <c r="J402" s="103"/>
      <c r="K402" s="103"/>
      <c r="L402" s="104"/>
      <c r="M402" s="104"/>
      <c r="N402" s="88"/>
      <c r="O402" s="105"/>
      <c r="AA402" s="49"/>
      <c r="AB402" s="50"/>
      <c r="AC402" s="51"/>
      <c r="AD402" s="51"/>
      <c r="AE402" s="1"/>
      <c r="AF402" s="51"/>
    </row>
    <row r="403" spans="2:32" x14ac:dyDescent="0.3">
      <c r="B403" s="46"/>
      <c r="D403" s="37"/>
      <c r="E403" s="37"/>
      <c r="F403" s="78"/>
      <c r="G403" s="78"/>
      <c r="H403" s="46"/>
      <c r="J403" s="103"/>
      <c r="K403" s="103"/>
      <c r="L403" s="104"/>
      <c r="M403" s="104"/>
      <c r="N403" s="88"/>
      <c r="O403" s="105"/>
      <c r="AA403" s="49"/>
      <c r="AB403" s="50"/>
      <c r="AC403" s="51"/>
      <c r="AD403" s="51"/>
      <c r="AE403" s="1"/>
      <c r="AF403" s="51"/>
    </row>
    <row r="404" spans="2:32" x14ac:dyDescent="0.3">
      <c r="B404" s="46"/>
      <c r="D404" s="37"/>
      <c r="E404" s="37"/>
      <c r="F404" s="78"/>
      <c r="G404" s="78"/>
      <c r="H404" s="46"/>
      <c r="J404" s="103"/>
      <c r="K404" s="103"/>
      <c r="L404" s="104"/>
      <c r="M404" s="104"/>
      <c r="N404" s="88"/>
      <c r="O404" s="105"/>
      <c r="AA404" s="49"/>
      <c r="AB404" s="50"/>
      <c r="AC404" s="51"/>
      <c r="AD404" s="51"/>
      <c r="AE404" s="1"/>
      <c r="AF404" s="51"/>
    </row>
    <row r="405" spans="2:32" x14ac:dyDescent="0.3">
      <c r="B405" s="46"/>
      <c r="D405" s="37"/>
      <c r="E405" s="37"/>
      <c r="F405" s="78"/>
      <c r="G405" s="78"/>
      <c r="H405" s="46"/>
      <c r="J405" s="103"/>
      <c r="K405" s="103"/>
      <c r="L405" s="104"/>
      <c r="M405" s="104"/>
      <c r="N405" s="88"/>
      <c r="O405" s="105"/>
      <c r="AA405" s="49"/>
      <c r="AB405" s="50"/>
      <c r="AC405" s="51"/>
      <c r="AD405" s="51"/>
      <c r="AE405" s="1"/>
      <c r="AF405" s="51"/>
    </row>
    <row r="406" spans="2:32" x14ac:dyDescent="0.3">
      <c r="B406" s="46"/>
      <c r="D406" s="37"/>
      <c r="E406" s="37"/>
      <c r="F406" s="78"/>
      <c r="G406" s="78"/>
      <c r="H406" s="46"/>
      <c r="J406" s="103"/>
      <c r="K406" s="103"/>
      <c r="L406" s="104"/>
      <c r="M406" s="104"/>
      <c r="N406" s="88"/>
      <c r="O406" s="105"/>
      <c r="AA406" s="49"/>
      <c r="AB406" s="50"/>
      <c r="AC406" s="51"/>
      <c r="AD406" s="51"/>
      <c r="AE406" s="1"/>
      <c r="AF406" s="51"/>
    </row>
    <row r="407" spans="2:32" x14ac:dyDescent="0.3">
      <c r="B407" s="46"/>
      <c r="D407" s="37"/>
      <c r="E407" s="37"/>
      <c r="F407" s="78"/>
      <c r="G407" s="78"/>
      <c r="H407" s="46"/>
      <c r="J407" s="103"/>
      <c r="K407" s="103"/>
      <c r="L407" s="104"/>
      <c r="M407" s="104"/>
      <c r="N407" s="88"/>
      <c r="O407" s="105"/>
      <c r="AA407" s="49"/>
      <c r="AB407" s="50"/>
      <c r="AC407" s="51"/>
      <c r="AD407" s="51"/>
      <c r="AE407" s="1"/>
      <c r="AF407" s="51"/>
    </row>
    <row r="408" spans="2:32" x14ac:dyDescent="0.3">
      <c r="B408" s="46"/>
      <c r="D408" s="37"/>
      <c r="E408" s="37"/>
      <c r="F408" s="78"/>
      <c r="G408" s="78"/>
      <c r="H408" s="46"/>
      <c r="J408" s="103"/>
      <c r="K408" s="103"/>
      <c r="L408" s="104"/>
      <c r="M408" s="104"/>
      <c r="N408" s="88"/>
      <c r="O408" s="105"/>
      <c r="AA408" s="49"/>
      <c r="AB408" s="50"/>
      <c r="AC408" s="51"/>
      <c r="AD408" s="51"/>
      <c r="AE408" s="1"/>
      <c r="AF408" s="51"/>
    </row>
    <row r="409" spans="2:32" x14ac:dyDescent="0.3">
      <c r="B409" s="46"/>
      <c r="D409" s="37"/>
      <c r="E409" s="37"/>
      <c r="F409" s="78"/>
      <c r="G409" s="78"/>
      <c r="H409" s="46"/>
      <c r="J409" s="103"/>
      <c r="K409" s="103"/>
      <c r="L409" s="104"/>
      <c r="M409" s="104"/>
      <c r="N409" s="88"/>
      <c r="O409" s="105"/>
      <c r="AA409" s="49"/>
      <c r="AB409" s="50"/>
      <c r="AC409" s="51"/>
      <c r="AD409" s="51"/>
      <c r="AE409" s="1"/>
      <c r="AF409" s="51"/>
    </row>
    <row r="410" spans="2:32" x14ac:dyDescent="0.3">
      <c r="B410" s="46"/>
      <c r="D410" s="37"/>
      <c r="E410" s="37"/>
      <c r="F410" s="78"/>
      <c r="G410" s="78"/>
      <c r="H410" s="46"/>
      <c r="J410" s="103"/>
      <c r="K410" s="103"/>
      <c r="L410" s="104"/>
      <c r="M410" s="104"/>
      <c r="N410" s="88"/>
      <c r="O410" s="105"/>
      <c r="AA410" s="49"/>
      <c r="AB410" s="50"/>
      <c r="AC410" s="51"/>
      <c r="AD410" s="51"/>
      <c r="AE410" s="1"/>
      <c r="AF410" s="51"/>
    </row>
    <row r="411" spans="2:32" x14ac:dyDescent="0.3">
      <c r="B411" s="46"/>
      <c r="D411" s="37"/>
      <c r="E411" s="37"/>
      <c r="F411" s="78"/>
      <c r="G411" s="78"/>
      <c r="H411" s="46"/>
      <c r="J411" s="103"/>
      <c r="K411" s="103"/>
      <c r="L411" s="104"/>
      <c r="M411" s="104"/>
      <c r="N411" s="88"/>
      <c r="O411" s="105"/>
      <c r="AA411" s="49"/>
      <c r="AB411" s="50"/>
      <c r="AC411" s="51"/>
      <c r="AD411" s="51"/>
      <c r="AE411" s="1"/>
      <c r="AF411" s="51"/>
    </row>
    <row r="412" spans="2:32" x14ac:dyDescent="0.3">
      <c r="B412" s="46"/>
      <c r="D412" s="37"/>
      <c r="E412" s="37"/>
      <c r="F412" s="78"/>
      <c r="G412" s="78"/>
      <c r="H412" s="46"/>
      <c r="J412" s="103"/>
      <c r="K412" s="103"/>
      <c r="L412" s="104"/>
      <c r="M412" s="104"/>
      <c r="N412" s="88"/>
      <c r="O412" s="105"/>
      <c r="AA412" s="49"/>
      <c r="AB412" s="50"/>
      <c r="AC412" s="51"/>
      <c r="AD412" s="51"/>
      <c r="AE412" s="1"/>
      <c r="AF412" s="51"/>
    </row>
    <row r="413" spans="2:32" x14ac:dyDescent="0.3">
      <c r="B413" s="46"/>
      <c r="D413" s="37"/>
      <c r="E413" s="37"/>
      <c r="F413" s="78"/>
      <c r="G413" s="78"/>
      <c r="H413" s="46"/>
      <c r="J413" s="103"/>
      <c r="K413" s="103"/>
      <c r="L413" s="104"/>
      <c r="M413" s="104"/>
      <c r="N413" s="88"/>
      <c r="O413" s="105"/>
      <c r="AA413" s="49"/>
      <c r="AB413" s="50"/>
      <c r="AC413" s="51"/>
      <c r="AD413" s="51"/>
      <c r="AE413" s="1"/>
      <c r="AF413" s="51"/>
    </row>
    <row r="414" spans="2:32" x14ac:dyDescent="0.3">
      <c r="B414" s="46"/>
      <c r="D414" s="37"/>
      <c r="E414" s="37"/>
      <c r="F414" s="78"/>
      <c r="G414" s="78"/>
      <c r="H414" s="46"/>
      <c r="J414" s="103"/>
      <c r="K414" s="103"/>
      <c r="L414" s="104"/>
      <c r="M414" s="104"/>
      <c r="N414" s="88"/>
      <c r="O414" s="105"/>
      <c r="AA414" s="49"/>
      <c r="AB414" s="50"/>
      <c r="AC414" s="51"/>
      <c r="AD414" s="51"/>
      <c r="AE414" s="1"/>
      <c r="AF414" s="51"/>
    </row>
    <row r="415" spans="2:32" x14ac:dyDescent="0.3">
      <c r="B415" s="46"/>
      <c r="D415" s="37"/>
      <c r="E415" s="37"/>
      <c r="F415" s="78"/>
      <c r="G415" s="78"/>
      <c r="H415" s="46"/>
      <c r="J415" s="103"/>
      <c r="K415" s="103"/>
      <c r="L415" s="104"/>
      <c r="M415" s="104"/>
      <c r="N415" s="88"/>
      <c r="O415" s="105"/>
      <c r="AA415" s="49"/>
      <c r="AB415" s="50"/>
      <c r="AC415" s="51"/>
      <c r="AD415" s="51"/>
      <c r="AE415" s="1"/>
      <c r="AF415" s="51"/>
    </row>
    <row r="416" spans="2:32" x14ac:dyDescent="0.3">
      <c r="B416" s="46"/>
      <c r="D416" s="37"/>
      <c r="E416" s="37"/>
      <c r="F416" s="78"/>
      <c r="G416" s="78"/>
      <c r="H416" s="46"/>
      <c r="J416" s="103"/>
      <c r="K416" s="103"/>
      <c r="L416" s="104"/>
      <c r="M416" s="104"/>
      <c r="N416" s="88"/>
      <c r="O416" s="105"/>
      <c r="AA416" s="49"/>
      <c r="AB416" s="50"/>
      <c r="AC416" s="51"/>
      <c r="AD416" s="51"/>
      <c r="AE416" s="1"/>
      <c r="AF416" s="51"/>
    </row>
    <row r="417" spans="2:32" x14ac:dyDescent="0.3">
      <c r="B417" s="46"/>
      <c r="D417" s="37"/>
      <c r="E417" s="37"/>
      <c r="F417" s="78"/>
      <c r="G417" s="78"/>
      <c r="H417" s="46"/>
      <c r="J417" s="103"/>
      <c r="K417" s="103"/>
      <c r="L417" s="104"/>
      <c r="M417" s="104"/>
      <c r="N417" s="88"/>
      <c r="O417" s="105"/>
      <c r="AA417" s="49"/>
      <c r="AB417" s="50"/>
      <c r="AC417" s="51"/>
      <c r="AD417" s="51"/>
      <c r="AE417" s="1"/>
      <c r="AF417" s="51"/>
    </row>
    <row r="418" spans="2:32" x14ac:dyDescent="0.3">
      <c r="B418" s="46"/>
      <c r="D418" s="37"/>
      <c r="E418" s="37"/>
      <c r="F418" s="78"/>
      <c r="G418" s="78"/>
      <c r="H418" s="46"/>
      <c r="J418" s="103"/>
      <c r="K418" s="103"/>
      <c r="L418" s="104"/>
      <c r="M418" s="104"/>
      <c r="N418" s="88"/>
      <c r="O418" s="105"/>
      <c r="AA418" s="49"/>
      <c r="AB418" s="50"/>
      <c r="AC418" s="51"/>
      <c r="AD418" s="51"/>
      <c r="AE418" s="1"/>
      <c r="AF418" s="51"/>
    </row>
    <row r="419" spans="2:32" x14ac:dyDescent="0.3">
      <c r="B419" s="46"/>
      <c r="D419" s="37"/>
      <c r="E419" s="37"/>
      <c r="F419" s="78"/>
      <c r="G419" s="78"/>
      <c r="H419" s="46"/>
      <c r="J419" s="103"/>
      <c r="K419" s="103"/>
      <c r="L419" s="104"/>
      <c r="M419" s="104"/>
      <c r="N419" s="88"/>
      <c r="O419" s="105"/>
      <c r="AA419" s="49"/>
      <c r="AB419" s="50"/>
      <c r="AC419" s="51"/>
      <c r="AD419" s="51"/>
      <c r="AE419" s="1"/>
      <c r="AF419" s="51"/>
    </row>
    <row r="420" spans="2:32" x14ac:dyDescent="0.3">
      <c r="B420" s="46"/>
      <c r="D420" s="37"/>
      <c r="E420" s="37"/>
      <c r="F420" s="78"/>
      <c r="G420" s="78"/>
      <c r="H420" s="46"/>
      <c r="J420" s="103"/>
      <c r="K420" s="103"/>
      <c r="L420" s="104"/>
      <c r="M420" s="104"/>
      <c r="N420" s="88"/>
      <c r="O420" s="105"/>
      <c r="AA420" s="49"/>
      <c r="AB420" s="50"/>
      <c r="AC420" s="51"/>
      <c r="AD420" s="51"/>
      <c r="AE420" s="1"/>
      <c r="AF420" s="51"/>
    </row>
    <row r="421" spans="2:32" x14ac:dyDescent="0.3">
      <c r="B421" s="46"/>
      <c r="D421" s="37"/>
      <c r="E421" s="37"/>
      <c r="F421" s="78"/>
      <c r="G421" s="78"/>
      <c r="H421" s="46"/>
      <c r="J421" s="103"/>
      <c r="K421" s="103"/>
      <c r="L421" s="104"/>
      <c r="M421" s="104"/>
      <c r="N421" s="88"/>
      <c r="O421" s="105"/>
      <c r="AA421" s="49"/>
      <c r="AB421" s="50"/>
      <c r="AC421" s="51"/>
      <c r="AD421" s="51"/>
      <c r="AE421" s="1"/>
      <c r="AF421" s="51"/>
    </row>
    <row r="422" spans="2:32" x14ac:dyDescent="0.3">
      <c r="B422" s="46"/>
      <c r="D422" s="37"/>
      <c r="E422" s="37"/>
      <c r="F422" s="78"/>
      <c r="G422" s="78"/>
      <c r="H422" s="46"/>
      <c r="J422" s="103"/>
      <c r="K422" s="103"/>
      <c r="L422" s="104"/>
      <c r="M422" s="104"/>
      <c r="N422" s="88"/>
      <c r="O422" s="105"/>
      <c r="AA422" s="49"/>
      <c r="AB422" s="50"/>
      <c r="AC422" s="51"/>
      <c r="AD422" s="51"/>
      <c r="AE422" s="1"/>
      <c r="AF422" s="51"/>
    </row>
    <row r="423" spans="2:32" x14ac:dyDescent="0.3">
      <c r="B423" s="46"/>
      <c r="D423" s="37"/>
      <c r="E423" s="37"/>
      <c r="F423" s="78"/>
      <c r="G423" s="78"/>
      <c r="H423" s="46"/>
      <c r="J423" s="103"/>
      <c r="K423" s="103"/>
      <c r="L423" s="104"/>
      <c r="M423" s="104"/>
      <c r="N423" s="88"/>
      <c r="O423" s="105"/>
      <c r="AA423" s="49"/>
      <c r="AB423" s="50"/>
      <c r="AC423" s="51"/>
      <c r="AD423" s="51"/>
      <c r="AE423" s="1"/>
      <c r="AF423" s="51"/>
    </row>
    <row r="424" spans="2:32" x14ac:dyDescent="0.3">
      <c r="B424" s="46"/>
      <c r="D424" s="37"/>
      <c r="E424" s="37"/>
      <c r="F424" s="78"/>
      <c r="G424" s="78"/>
      <c r="H424" s="46"/>
      <c r="J424" s="103"/>
      <c r="K424" s="103"/>
      <c r="L424" s="104"/>
      <c r="M424" s="104"/>
      <c r="N424" s="88"/>
      <c r="O424" s="105"/>
      <c r="AA424" s="49"/>
      <c r="AB424" s="50"/>
      <c r="AC424" s="51"/>
      <c r="AD424" s="51"/>
      <c r="AE424" s="1"/>
      <c r="AF424" s="51"/>
    </row>
    <row r="425" spans="2:32" x14ac:dyDescent="0.3">
      <c r="B425" s="46"/>
      <c r="D425" s="37"/>
      <c r="E425" s="37"/>
      <c r="F425" s="78"/>
      <c r="G425" s="78"/>
      <c r="H425" s="46"/>
      <c r="J425" s="103"/>
      <c r="K425" s="103"/>
      <c r="L425" s="104"/>
      <c r="M425" s="104"/>
      <c r="N425" s="88"/>
      <c r="O425" s="105"/>
      <c r="AA425" s="49"/>
      <c r="AB425" s="50"/>
      <c r="AC425" s="51"/>
      <c r="AD425" s="51"/>
      <c r="AE425" s="1"/>
      <c r="AF425" s="51"/>
    </row>
    <row r="426" spans="2:32" x14ac:dyDescent="0.3">
      <c r="B426" s="46"/>
      <c r="D426" s="37"/>
      <c r="E426" s="37"/>
      <c r="F426" s="78"/>
      <c r="G426" s="78"/>
      <c r="H426" s="46"/>
      <c r="J426" s="103"/>
      <c r="K426" s="103"/>
      <c r="L426" s="104"/>
      <c r="M426" s="104"/>
      <c r="N426" s="88"/>
      <c r="O426" s="105"/>
      <c r="AA426" s="49"/>
      <c r="AB426" s="50"/>
      <c r="AC426" s="51"/>
      <c r="AD426" s="51"/>
      <c r="AE426" s="1"/>
      <c r="AF426" s="51"/>
    </row>
    <row r="427" spans="2:32" x14ac:dyDescent="0.3">
      <c r="B427" s="46"/>
      <c r="D427" s="37"/>
      <c r="E427" s="37"/>
      <c r="F427" s="78"/>
      <c r="G427" s="78"/>
      <c r="H427" s="46"/>
      <c r="J427" s="103"/>
      <c r="K427" s="103"/>
      <c r="L427" s="104"/>
      <c r="M427" s="104"/>
      <c r="N427" s="88"/>
      <c r="O427" s="105"/>
      <c r="AA427" s="49"/>
      <c r="AB427" s="50"/>
      <c r="AC427" s="51"/>
      <c r="AD427" s="51"/>
      <c r="AE427" s="1"/>
      <c r="AF427" s="51"/>
    </row>
    <row r="428" spans="2:32" x14ac:dyDescent="0.3">
      <c r="B428" s="46"/>
      <c r="D428" s="37"/>
      <c r="E428" s="37"/>
      <c r="F428" s="78"/>
      <c r="G428" s="78"/>
      <c r="H428" s="46"/>
      <c r="J428" s="103"/>
      <c r="K428" s="103"/>
      <c r="L428" s="104"/>
      <c r="M428" s="104"/>
      <c r="N428" s="88"/>
      <c r="O428" s="105"/>
      <c r="AA428" s="49"/>
      <c r="AB428" s="50"/>
      <c r="AC428" s="51"/>
      <c r="AD428" s="51"/>
      <c r="AE428" s="1"/>
      <c r="AF428" s="51"/>
    </row>
    <row r="429" spans="2:32" x14ac:dyDescent="0.3">
      <c r="B429" s="46"/>
      <c r="D429" s="37"/>
      <c r="E429" s="37"/>
      <c r="F429" s="78"/>
      <c r="G429" s="78"/>
      <c r="H429" s="46"/>
      <c r="J429" s="103"/>
      <c r="K429" s="103"/>
      <c r="L429" s="104"/>
      <c r="M429" s="104"/>
      <c r="N429" s="88"/>
      <c r="O429" s="105"/>
      <c r="AA429" s="49"/>
      <c r="AB429" s="50"/>
      <c r="AC429" s="51"/>
      <c r="AD429" s="51"/>
      <c r="AE429" s="1"/>
      <c r="AF429" s="51"/>
    </row>
    <row r="430" spans="2:32" x14ac:dyDescent="0.3">
      <c r="B430" s="46"/>
      <c r="D430" s="37"/>
      <c r="E430" s="37"/>
      <c r="F430" s="78"/>
      <c r="G430" s="78"/>
      <c r="H430" s="46"/>
      <c r="J430" s="103"/>
      <c r="K430" s="103"/>
      <c r="L430" s="104"/>
      <c r="M430" s="104"/>
      <c r="N430" s="88"/>
      <c r="O430" s="105"/>
      <c r="AA430" s="49"/>
      <c r="AB430" s="50"/>
      <c r="AC430" s="51"/>
      <c r="AD430" s="51"/>
      <c r="AE430" s="1"/>
      <c r="AF430" s="51"/>
    </row>
    <row r="431" spans="2:32" x14ac:dyDescent="0.3">
      <c r="B431" s="46"/>
      <c r="D431" s="37"/>
      <c r="E431" s="37"/>
      <c r="F431" s="78"/>
      <c r="G431" s="78"/>
      <c r="H431" s="46"/>
      <c r="J431" s="103"/>
      <c r="K431" s="103"/>
      <c r="L431" s="104"/>
      <c r="M431" s="104"/>
      <c r="N431" s="88"/>
      <c r="O431" s="105"/>
      <c r="AA431" s="49"/>
      <c r="AB431" s="50"/>
      <c r="AC431" s="51"/>
      <c r="AD431" s="51"/>
      <c r="AE431" s="1"/>
      <c r="AF431" s="51"/>
    </row>
    <row r="432" spans="2:32" x14ac:dyDescent="0.3">
      <c r="B432" s="46"/>
      <c r="D432" s="37"/>
      <c r="E432" s="37"/>
      <c r="F432" s="78"/>
      <c r="G432" s="78"/>
      <c r="H432" s="46"/>
      <c r="J432" s="103"/>
      <c r="K432" s="103"/>
      <c r="L432" s="104"/>
      <c r="M432" s="104"/>
      <c r="N432" s="88"/>
      <c r="O432" s="105"/>
      <c r="AA432" s="49"/>
      <c r="AB432" s="50"/>
      <c r="AC432" s="51"/>
      <c r="AD432" s="51"/>
      <c r="AE432" s="1"/>
      <c r="AF432" s="51"/>
    </row>
    <row r="433" spans="2:32" x14ac:dyDescent="0.3">
      <c r="B433" s="46"/>
      <c r="D433" s="37"/>
      <c r="E433" s="37"/>
      <c r="F433" s="78"/>
      <c r="G433" s="78"/>
      <c r="H433" s="46"/>
      <c r="J433" s="103"/>
      <c r="K433" s="103"/>
      <c r="L433" s="104"/>
      <c r="M433" s="104"/>
      <c r="N433" s="88"/>
      <c r="O433" s="105"/>
      <c r="AA433" s="49"/>
      <c r="AB433" s="50"/>
      <c r="AC433" s="51"/>
      <c r="AD433" s="51"/>
      <c r="AE433" s="1"/>
      <c r="AF433" s="51"/>
    </row>
    <row r="434" spans="2:32" x14ac:dyDescent="0.3">
      <c r="B434" s="46"/>
      <c r="D434" s="37"/>
      <c r="E434" s="37"/>
      <c r="F434" s="78"/>
      <c r="G434" s="78"/>
      <c r="H434" s="46"/>
      <c r="J434" s="103"/>
      <c r="K434" s="103"/>
      <c r="L434" s="104"/>
      <c r="M434" s="104"/>
      <c r="N434" s="88"/>
      <c r="O434" s="105"/>
      <c r="AA434" s="49"/>
      <c r="AB434" s="50"/>
      <c r="AC434" s="51"/>
      <c r="AD434" s="51"/>
      <c r="AE434" s="1"/>
      <c r="AF434" s="51"/>
    </row>
    <row r="435" spans="2:32" x14ac:dyDescent="0.3">
      <c r="B435" s="46"/>
      <c r="D435" s="37"/>
      <c r="E435" s="37"/>
      <c r="F435" s="78"/>
      <c r="G435" s="78"/>
      <c r="H435" s="46"/>
      <c r="J435" s="103"/>
      <c r="K435" s="103"/>
      <c r="L435" s="104"/>
      <c r="M435" s="104"/>
      <c r="N435" s="88"/>
      <c r="O435" s="105"/>
      <c r="AA435" s="49"/>
      <c r="AB435" s="50"/>
      <c r="AC435" s="51"/>
      <c r="AD435" s="51"/>
      <c r="AE435" s="1"/>
      <c r="AF435" s="51"/>
    </row>
    <row r="436" spans="2:32" x14ac:dyDescent="0.3">
      <c r="B436" s="46"/>
      <c r="D436" s="37"/>
      <c r="E436" s="37"/>
      <c r="F436" s="78"/>
      <c r="G436" s="78"/>
      <c r="H436" s="46"/>
      <c r="J436" s="103"/>
      <c r="K436" s="103"/>
      <c r="L436" s="104"/>
      <c r="M436" s="104"/>
      <c r="N436" s="88"/>
      <c r="O436" s="105"/>
      <c r="AA436" s="49"/>
      <c r="AB436" s="50"/>
      <c r="AC436" s="51"/>
      <c r="AD436" s="51"/>
      <c r="AE436" s="1"/>
      <c r="AF436" s="51"/>
    </row>
    <row r="437" spans="2:32" x14ac:dyDescent="0.3">
      <c r="B437" s="46"/>
      <c r="D437" s="37"/>
      <c r="E437" s="37"/>
      <c r="F437" s="78"/>
      <c r="G437" s="78"/>
      <c r="H437" s="46"/>
      <c r="J437" s="103"/>
      <c r="K437" s="103"/>
      <c r="L437" s="104"/>
      <c r="M437" s="104"/>
      <c r="N437" s="88"/>
      <c r="O437" s="105"/>
      <c r="AA437" s="49"/>
      <c r="AB437" s="50"/>
      <c r="AC437" s="51"/>
      <c r="AD437" s="51"/>
      <c r="AE437" s="1"/>
      <c r="AF437" s="51"/>
    </row>
    <row r="438" spans="2:32" x14ac:dyDescent="0.3">
      <c r="B438" s="46"/>
      <c r="D438" s="37"/>
      <c r="E438" s="37"/>
      <c r="F438" s="78"/>
      <c r="G438" s="78"/>
      <c r="H438" s="46"/>
      <c r="J438" s="103"/>
      <c r="K438" s="103"/>
      <c r="L438" s="104"/>
      <c r="M438" s="104"/>
      <c r="N438" s="88"/>
      <c r="O438" s="105"/>
      <c r="AA438" s="49"/>
      <c r="AB438" s="50"/>
      <c r="AC438" s="51"/>
      <c r="AD438" s="51"/>
      <c r="AE438" s="1"/>
      <c r="AF438" s="51"/>
    </row>
    <row r="439" spans="2:32" x14ac:dyDescent="0.3">
      <c r="B439" s="46"/>
      <c r="D439" s="37"/>
      <c r="E439" s="37"/>
      <c r="F439" s="78"/>
      <c r="G439" s="78"/>
      <c r="H439" s="46"/>
      <c r="J439" s="103"/>
      <c r="K439" s="103"/>
      <c r="L439" s="104"/>
      <c r="M439" s="104"/>
      <c r="N439" s="88"/>
      <c r="O439" s="105"/>
      <c r="AA439" s="49"/>
      <c r="AB439" s="50"/>
      <c r="AC439" s="51"/>
      <c r="AD439" s="51"/>
      <c r="AE439" s="1"/>
      <c r="AF439" s="51"/>
    </row>
    <row r="440" spans="2:32" x14ac:dyDescent="0.3">
      <c r="B440" s="46"/>
      <c r="D440" s="37"/>
      <c r="E440" s="37"/>
      <c r="F440" s="78"/>
      <c r="G440" s="78"/>
      <c r="H440" s="46"/>
      <c r="J440" s="103"/>
      <c r="K440" s="103"/>
      <c r="L440" s="104"/>
      <c r="M440" s="104"/>
      <c r="N440" s="88"/>
      <c r="O440" s="105"/>
      <c r="AA440" s="49"/>
      <c r="AB440" s="50"/>
      <c r="AC440" s="51"/>
      <c r="AD440" s="51"/>
      <c r="AE440" s="1"/>
      <c r="AF440" s="51"/>
    </row>
    <row r="441" spans="2:32" x14ac:dyDescent="0.3">
      <c r="B441" s="46"/>
      <c r="D441" s="37"/>
      <c r="E441" s="37"/>
      <c r="F441" s="78"/>
      <c r="G441" s="78"/>
      <c r="H441" s="46"/>
      <c r="J441" s="103"/>
      <c r="K441" s="103"/>
      <c r="L441" s="104"/>
      <c r="M441" s="104"/>
      <c r="N441" s="88"/>
      <c r="O441" s="105"/>
      <c r="AA441" s="49"/>
      <c r="AB441" s="50"/>
      <c r="AC441" s="51"/>
      <c r="AD441" s="51"/>
      <c r="AE441" s="1"/>
      <c r="AF441" s="51"/>
    </row>
    <row r="442" spans="2:32" x14ac:dyDescent="0.3">
      <c r="B442" s="46"/>
      <c r="D442" s="37"/>
      <c r="E442" s="37"/>
      <c r="F442" s="78"/>
      <c r="G442" s="78"/>
      <c r="H442" s="46"/>
      <c r="J442" s="103"/>
      <c r="K442" s="103"/>
      <c r="L442" s="104"/>
      <c r="M442" s="104"/>
      <c r="N442" s="88"/>
      <c r="O442" s="105"/>
      <c r="AA442" s="49"/>
      <c r="AB442" s="50"/>
      <c r="AC442" s="51"/>
      <c r="AD442" s="51"/>
      <c r="AE442" s="1"/>
      <c r="AF442" s="51"/>
    </row>
    <row r="443" spans="2:32" x14ac:dyDescent="0.3">
      <c r="B443" s="46"/>
      <c r="D443" s="37"/>
      <c r="E443" s="58"/>
      <c r="F443" s="78"/>
      <c r="G443" s="78"/>
      <c r="H443" s="46"/>
      <c r="J443" s="103"/>
      <c r="K443" s="103"/>
      <c r="L443" s="104"/>
      <c r="M443" s="104"/>
      <c r="N443" s="88"/>
      <c r="O443" s="105"/>
      <c r="AA443" s="49"/>
      <c r="AB443" s="50"/>
      <c r="AC443" s="51"/>
      <c r="AD443" s="51"/>
      <c r="AE443" s="1"/>
      <c r="AF443" s="51"/>
    </row>
    <row r="444" spans="2:32" x14ac:dyDescent="0.3">
      <c r="B444" s="46"/>
      <c r="D444" s="37"/>
      <c r="E444" s="58"/>
      <c r="F444" s="78"/>
      <c r="G444" s="78"/>
      <c r="H444" s="46"/>
      <c r="J444" s="103"/>
      <c r="K444" s="103"/>
      <c r="L444" s="104"/>
      <c r="M444" s="104"/>
      <c r="N444" s="88"/>
      <c r="O444" s="105"/>
      <c r="AA444" s="49"/>
      <c r="AB444" s="50"/>
      <c r="AC444" s="51"/>
      <c r="AD444" s="51"/>
      <c r="AE444" s="1"/>
      <c r="AF444" s="51"/>
    </row>
    <row r="445" spans="2:32" x14ac:dyDescent="0.3">
      <c r="B445" s="46"/>
      <c r="D445" s="37"/>
      <c r="E445" s="58"/>
      <c r="F445" s="78"/>
      <c r="G445" s="78"/>
      <c r="H445" s="46"/>
      <c r="J445" s="103"/>
      <c r="K445" s="103"/>
      <c r="L445" s="104"/>
      <c r="M445" s="104"/>
      <c r="N445" s="88"/>
      <c r="O445" s="105"/>
      <c r="AA445" s="49"/>
      <c r="AB445" s="50"/>
      <c r="AC445" s="51"/>
      <c r="AD445" s="51"/>
      <c r="AE445" s="1"/>
      <c r="AF445" s="51"/>
    </row>
    <row r="446" spans="2:32" x14ac:dyDescent="0.3">
      <c r="B446" s="46"/>
      <c r="D446" s="37"/>
      <c r="E446" s="58"/>
      <c r="F446" s="78"/>
      <c r="G446" s="78"/>
      <c r="H446" s="46"/>
      <c r="J446" s="103"/>
      <c r="K446" s="103"/>
      <c r="L446" s="104"/>
      <c r="M446" s="104"/>
      <c r="N446" s="88"/>
      <c r="O446" s="105"/>
      <c r="AA446" s="49"/>
      <c r="AB446" s="50"/>
      <c r="AC446" s="51"/>
      <c r="AD446" s="51"/>
      <c r="AE446" s="1"/>
      <c r="AF446" s="51"/>
    </row>
    <row r="447" spans="2:32" x14ac:dyDescent="0.3">
      <c r="B447" s="46"/>
      <c r="D447" s="37"/>
      <c r="E447" s="58"/>
      <c r="F447" s="78"/>
      <c r="G447" s="78"/>
      <c r="H447" s="46"/>
      <c r="J447" s="103"/>
      <c r="K447" s="103"/>
      <c r="L447" s="104"/>
      <c r="M447" s="104"/>
      <c r="N447" s="88"/>
      <c r="O447" s="105"/>
      <c r="AA447" s="49"/>
      <c r="AB447" s="50"/>
      <c r="AC447" s="51"/>
      <c r="AD447" s="51"/>
      <c r="AE447" s="1"/>
      <c r="AF447" s="51"/>
    </row>
    <row r="448" spans="2:32" x14ac:dyDescent="0.3">
      <c r="B448" s="46"/>
      <c r="D448" s="37"/>
      <c r="E448" s="58"/>
      <c r="F448" s="78"/>
      <c r="G448" s="78"/>
      <c r="H448" s="46"/>
      <c r="J448" s="103"/>
      <c r="K448" s="103"/>
      <c r="L448" s="104"/>
      <c r="M448" s="104"/>
      <c r="N448" s="88"/>
      <c r="O448" s="105"/>
      <c r="AA448" s="49"/>
      <c r="AB448" s="50"/>
      <c r="AC448" s="51"/>
      <c r="AD448" s="51"/>
      <c r="AE448" s="1"/>
      <c r="AF448" s="51"/>
    </row>
    <row r="449" spans="2:32" x14ac:dyDescent="0.3">
      <c r="B449" s="46"/>
      <c r="D449" s="37"/>
      <c r="E449" s="58"/>
      <c r="F449" s="78"/>
      <c r="G449" s="78"/>
      <c r="H449" s="46"/>
      <c r="J449" s="103"/>
      <c r="K449" s="103"/>
      <c r="L449" s="104"/>
      <c r="M449" s="104"/>
      <c r="N449" s="88"/>
      <c r="O449" s="105"/>
      <c r="AA449" s="49"/>
      <c r="AB449" s="50"/>
      <c r="AC449" s="51"/>
      <c r="AD449" s="51"/>
      <c r="AE449" s="1"/>
      <c r="AF449" s="51"/>
    </row>
    <row r="450" spans="2:32" x14ac:dyDescent="0.3">
      <c r="B450" s="46"/>
      <c r="D450" s="37"/>
      <c r="E450" s="58"/>
      <c r="F450" s="78"/>
      <c r="G450" s="78"/>
      <c r="H450" s="46"/>
      <c r="J450" s="103"/>
      <c r="K450" s="103"/>
      <c r="L450" s="104"/>
      <c r="M450" s="104"/>
      <c r="N450" s="88"/>
      <c r="O450" s="105"/>
      <c r="AA450" s="49"/>
      <c r="AB450" s="50"/>
      <c r="AC450" s="51"/>
      <c r="AD450" s="51"/>
      <c r="AE450" s="1"/>
      <c r="AF450" s="51"/>
    </row>
    <row r="451" spans="2:32" x14ac:dyDescent="0.3">
      <c r="B451" s="46"/>
      <c r="D451" s="37"/>
      <c r="E451" s="58"/>
      <c r="F451" s="78"/>
      <c r="G451" s="78"/>
      <c r="H451" s="46"/>
      <c r="J451" s="103"/>
      <c r="K451" s="103"/>
      <c r="L451" s="104"/>
      <c r="M451" s="104"/>
      <c r="N451" s="88"/>
      <c r="O451" s="105"/>
      <c r="AA451" s="49"/>
      <c r="AB451" s="50"/>
      <c r="AC451" s="51"/>
      <c r="AD451" s="51"/>
      <c r="AE451" s="1"/>
      <c r="AF451" s="51"/>
    </row>
    <row r="452" spans="2:32" x14ac:dyDescent="0.3">
      <c r="B452" s="46"/>
      <c r="D452" s="37"/>
      <c r="E452" s="58"/>
      <c r="F452" s="78"/>
      <c r="G452" s="78"/>
      <c r="H452" s="46"/>
      <c r="J452" s="103"/>
      <c r="K452" s="103"/>
      <c r="L452" s="104"/>
      <c r="M452" s="104"/>
      <c r="N452" s="88"/>
      <c r="O452" s="105"/>
      <c r="AA452" s="49"/>
      <c r="AB452" s="50"/>
      <c r="AC452" s="51"/>
      <c r="AD452" s="51"/>
      <c r="AE452" s="1"/>
      <c r="AF452" s="51"/>
    </row>
    <row r="453" spans="2:32" x14ac:dyDescent="0.3">
      <c r="B453" s="46"/>
      <c r="D453" s="37"/>
      <c r="E453" s="58"/>
      <c r="F453" s="78"/>
      <c r="G453" s="78"/>
      <c r="H453" s="46"/>
      <c r="J453" s="103"/>
      <c r="K453" s="103"/>
      <c r="L453" s="104"/>
      <c r="M453" s="104"/>
      <c r="N453" s="88"/>
      <c r="O453" s="105"/>
      <c r="AA453" s="49"/>
      <c r="AB453" s="50"/>
      <c r="AC453" s="51"/>
      <c r="AD453" s="51"/>
      <c r="AE453" s="1"/>
      <c r="AF453" s="51"/>
    </row>
    <row r="454" spans="2:32" x14ac:dyDescent="0.3">
      <c r="B454" s="46"/>
      <c r="D454" s="37"/>
      <c r="E454" s="58"/>
      <c r="F454" s="78"/>
      <c r="G454" s="78"/>
      <c r="H454" s="46"/>
      <c r="J454" s="103"/>
      <c r="K454" s="103"/>
      <c r="L454" s="104"/>
      <c r="M454" s="104"/>
      <c r="N454" s="88"/>
      <c r="O454" s="105"/>
      <c r="AA454" s="49"/>
      <c r="AB454" s="50"/>
      <c r="AC454" s="51"/>
      <c r="AD454" s="51"/>
      <c r="AE454" s="1"/>
      <c r="AF454" s="51"/>
    </row>
    <row r="455" spans="2:32" x14ac:dyDescent="0.3">
      <c r="B455" s="46"/>
      <c r="D455" s="37"/>
      <c r="E455" s="58"/>
      <c r="F455" s="78"/>
      <c r="G455" s="78"/>
      <c r="H455" s="46"/>
      <c r="J455" s="103"/>
      <c r="K455" s="103"/>
      <c r="L455" s="104"/>
      <c r="M455" s="104"/>
      <c r="N455" s="88"/>
      <c r="O455" s="105"/>
      <c r="AA455" s="49"/>
      <c r="AB455" s="50"/>
      <c r="AC455" s="51"/>
      <c r="AD455" s="51"/>
      <c r="AE455" s="1"/>
      <c r="AF455" s="51"/>
    </row>
    <row r="456" spans="2:32" x14ac:dyDescent="0.3">
      <c r="B456" s="46"/>
      <c r="D456" s="37"/>
      <c r="E456" s="58"/>
      <c r="F456" s="78"/>
      <c r="G456" s="78"/>
      <c r="H456" s="46"/>
      <c r="J456" s="103"/>
      <c r="K456" s="103"/>
      <c r="L456" s="104"/>
      <c r="M456" s="104"/>
      <c r="N456" s="88"/>
      <c r="O456" s="105"/>
      <c r="AA456" s="49"/>
      <c r="AB456" s="50"/>
      <c r="AC456" s="51"/>
      <c r="AD456" s="51"/>
      <c r="AE456" s="1"/>
      <c r="AF456" s="51"/>
    </row>
    <row r="457" spans="2:32" x14ac:dyDescent="0.3">
      <c r="B457" s="46"/>
      <c r="D457" s="37"/>
      <c r="E457" s="58"/>
      <c r="F457" s="78"/>
      <c r="G457" s="78"/>
      <c r="H457" s="46"/>
      <c r="J457" s="103"/>
      <c r="K457" s="103"/>
      <c r="L457" s="104"/>
      <c r="M457" s="104"/>
      <c r="N457" s="88"/>
      <c r="O457" s="105"/>
      <c r="AA457" s="49"/>
      <c r="AB457" s="50"/>
      <c r="AC457" s="51"/>
      <c r="AD457" s="51"/>
      <c r="AE457" s="1"/>
      <c r="AF457" s="51"/>
    </row>
    <row r="458" spans="2:32" x14ac:dyDescent="0.3">
      <c r="B458" s="46"/>
      <c r="D458" s="37"/>
      <c r="E458" s="58"/>
      <c r="F458" s="78"/>
      <c r="G458" s="78"/>
      <c r="H458" s="46"/>
      <c r="J458" s="103"/>
      <c r="K458" s="103"/>
      <c r="L458" s="104"/>
      <c r="M458" s="104"/>
      <c r="N458" s="88"/>
      <c r="O458" s="105"/>
      <c r="AA458" s="49"/>
      <c r="AB458" s="50"/>
      <c r="AC458" s="51"/>
      <c r="AD458" s="51"/>
      <c r="AE458" s="1"/>
      <c r="AF458" s="51"/>
    </row>
    <row r="459" spans="2:32" x14ac:dyDescent="0.3">
      <c r="B459" s="46"/>
      <c r="D459" s="37"/>
      <c r="E459" s="58"/>
      <c r="F459" s="78"/>
      <c r="G459" s="78"/>
      <c r="H459" s="46"/>
      <c r="J459" s="103"/>
      <c r="K459" s="103"/>
      <c r="L459" s="104"/>
      <c r="M459" s="104"/>
      <c r="N459" s="88"/>
      <c r="O459" s="105"/>
      <c r="AA459" s="49"/>
      <c r="AB459" s="50"/>
      <c r="AC459" s="51"/>
      <c r="AD459" s="51"/>
      <c r="AE459" s="1"/>
      <c r="AF459" s="51"/>
    </row>
    <row r="460" spans="2:32" x14ac:dyDescent="0.3">
      <c r="B460" s="46"/>
      <c r="D460" s="37"/>
      <c r="E460" s="58"/>
      <c r="F460" s="78"/>
      <c r="G460" s="78"/>
      <c r="H460" s="46"/>
      <c r="J460" s="103"/>
      <c r="K460" s="103"/>
      <c r="L460" s="104"/>
      <c r="M460" s="104"/>
      <c r="N460" s="88"/>
      <c r="O460" s="105"/>
      <c r="AA460" s="49"/>
      <c r="AB460" s="50"/>
      <c r="AC460" s="51"/>
      <c r="AD460" s="51"/>
      <c r="AE460" s="1"/>
      <c r="AF460" s="51"/>
    </row>
    <row r="461" spans="2:32" x14ac:dyDescent="0.3">
      <c r="B461" s="46"/>
      <c r="D461" s="37"/>
      <c r="E461" s="58"/>
      <c r="F461" s="78"/>
      <c r="G461" s="78"/>
      <c r="H461" s="46"/>
      <c r="J461" s="103"/>
      <c r="K461" s="103"/>
      <c r="L461" s="104"/>
      <c r="M461" s="104"/>
      <c r="N461" s="88"/>
      <c r="O461" s="105"/>
      <c r="AA461" s="49"/>
      <c r="AB461" s="50"/>
      <c r="AC461" s="51"/>
      <c r="AD461" s="51"/>
      <c r="AE461" s="1"/>
      <c r="AF461" s="51"/>
    </row>
    <row r="462" spans="2:32" x14ac:dyDescent="0.3">
      <c r="B462" s="46"/>
      <c r="D462" s="37"/>
      <c r="E462" s="58"/>
      <c r="F462" s="78"/>
      <c r="G462" s="78"/>
      <c r="H462" s="46"/>
      <c r="J462" s="103"/>
      <c r="K462" s="103"/>
      <c r="L462" s="104"/>
      <c r="M462" s="104"/>
      <c r="N462" s="88"/>
      <c r="O462" s="105"/>
      <c r="AA462" s="49"/>
      <c r="AB462" s="50"/>
      <c r="AC462" s="51"/>
      <c r="AD462" s="51"/>
      <c r="AE462" s="1"/>
      <c r="AF462" s="51"/>
    </row>
    <row r="463" spans="2:32" x14ac:dyDescent="0.3">
      <c r="B463" s="46"/>
      <c r="D463" s="37"/>
      <c r="E463" s="58"/>
      <c r="F463" s="78"/>
      <c r="G463" s="78"/>
      <c r="H463" s="46"/>
      <c r="J463" s="103"/>
      <c r="K463" s="103"/>
      <c r="L463" s="104"/>
      <c r="M463" s="104"/>
      <c r="N463" s="88"/>
      <c r="O463" s="105"/>
      <c r="AA463" s="49"/>
      <c r="AB463" s="50"/>
      <c r="AC463" s="51"/>
      <c r="AD463" s="51"/>
      <c r="AE463" s="1"/>
      <c r="AF463" s="51"/>
    </row>
    <row r="464" spans="2:32" x14ac:dyDescent="0.3">
      <c r="B464" s="46"/>
      <c r="D464" s="37"/>
      <c r="E464" s="58"/>
      <c r="F464" s="78"/>
      <c r="G464" s="78"/>
      <c r="H464" s="46"/>
      <c r="J464" s="103"/>
      <c r="K464" s="103"/>
      <c r="L464" s="104"/>
      <c r="M464" s="104"/>
      <c r="N464" s="88"/>
      <c r="O464" s="105"/>
      <c r="AA464" s="49"/>
      <c r="AB464" s="50"/>
      <c r="AC464" s="51"/>
      <c r="AD464" s="51"/>
      <c r="AE464" s="1"/>
      <c r="AF464" s="51"/>
    </row>
    <row r="465" spans="2:32" x14ac:dyDescent="0.3">
      <c r="B465" s="46"/>
      <c r="D465" s="37"/>
      <c r="E465" s="58"/>
      <c r="F465" s="78"/>
      <c r="G465" s="78"/>
      <c r="H465" s="46"/>
      <c r="J465" s="103"/>
      <c r="K465" s="103"/>
      <c r="L465" s="104"/>
      <c r="M465" s="104"/>
      <c r="N465" s="88"/>
      <c r="O465" s="105"/>
      <c r="AA465" s="49"/>
      <c r="AB465" s="50"/>
      <c r="AC465" s="51"/>
      <c r="AD465" s="51"/>
      <c r="AE465" s="1"/>
      <c r="AF465" s="51"/>
    </row>
    <row r="466" spans="2:32" x14ac:dyDescent="0.3">
      <c r="B466" s="46"/>
      <c r="D466" s="37"/>
      <c r="E466" s="58"/>
      <c r="F466" s="78"/>
      <c r="G466" s="78"/>
      <c r="H466" s="46"/>
      <c r="J466" s="103"/>
      <c r="K466" s="103"/>
      <c r="L466" s="104"/>
      <c r="M466" s="104"/>
      <c r="N466" s="88"/>
      <c r="O466" s="105"/>
      <c r="AA466" s="49"/>
      <c r="AB466" s="50"/>
      <c r="AC466" s="51"/>
      <c r="AD466" s="51"/>
      <c r="AE466" s="1"/>
      <c r="AF466" s="51"/>
    </row>
    <row r="467" spans="2:32" x14ac:dyDescent="0.3">
      <c r="B467" s="46"/>
      <c r="D467" s="37"/>
      <c r="E467" s="58"/>
      <c r="F467" s="78"/>
      <c r="G467" s="78"/>
      <c r="H467" s="46"/>
      <c r="J467" s="103"/>
      <c r="K467" s="103"/>
      <c r="L467" s="104"/>
      <c r="M467" s="104"/>
      <c r="N467" s="88"/>
      <c r="O467" s="105"/>
      <c r="AA467" s="49"/>
      <c r="AB467" s="50"/>
      <c r="AC467" s="51"/>
      <c r="AD467" s="51"/>
      <c r="AE467" s="1"/>
      <c r="AF467" s="51"/>
    </row>
    <row r="468" spans="2:32" x14ac:dyDescent="0.3">
      <c r="B468" s="46"/>
      <c r="D468" s="37"/>
      <c r="E468" s="58"/>
      <c r="F468" s="78"/>
      <c r="G468" s="78"/>
      <c r="H468" s="46"/>
      <c r="J468" s="103"/>
      <c r="K468" s="103"/>
      <c r="L468" s="104"/>
      <c r="M468" s="104"/>
      <c r="N468" s="88"/>
      <c r="O468" s="105"/>
      <c r="AA468" s="49"/>
      <c r="AB468" s="50"/>
      <c r="AC468" s="51"/>
      <c r="AD468" s="51"/>
      <c r="AE468" s="1"/>
      <c r="AF468" s="51"/>
    </row>
    <row r="469" spans="2:32" x14ac:dyDescent="0.3">
      <c r="B469" s="46"/>
      <c r="D469" s="37"/>
      <c r="E469" s="58"/>
      <c r="F469" s="78"/>
      <c r="G469" s="78"/>
      <c r="H469" s="46"/>
      <c r="J469" s="103"/>
      <c r="K469" s="103"/>
      <c r="L469" s="104"/>
      <c r="M469" s="104"/>
      <c r="N469" s="88"/>
      <c r="O469" s="105"/>
      <c r="AA469" s="49"/>
      <c r="AB469" s="50"/>
      <c r="AC469" s="51"/>
      <c r="AD469" s="51"/>
      <c r="AE469" s="1"/>
      <c r="AF469" s="51"/>
    </row>
    <row r="470" spans="2:32" x14ac:dyDescent="0.3">
      <c r="B470" s="46"/>
      <c r="D470" s="37"/>
      <c r="E470" s="58"/>
      <c r="F470" s="78"/>
      <c r="G470" s="78"/>
      <c r="H470" s="46"/>
      <c r="J470" s="103"/>
      <c r="K470" s="103"/>
      <c r="L470" s="104"/>
      <c r="M470" s="104"/>
      <c r="N470" s="88"/>
      <c r="O470" s="105"/>
      <c r="AA470" s="49"/>
      <c r="AB470" s="50"/>
      <c r="AC470" s="51"/>
      <c r="AD470" s="51"/>
      <c r="AE470" s="1"/>
      <c r="AF470" s="51"/>
    </row>
    <row r="471" spans="2:32" x14ac:dyDescent="0.3">
      <c r="B471" s="46"/>
      <c r="D471" s="37"/>
      <c r="E471" s="58"/>
      <c r="F471" s="78"/>
      <c r="G471" s="78"/>
      <c r="H471" s="46"/>
      <c r="J471" s="103"/>
      <c r="K471" s="103"/>
      <c r="L471" s="104"/>
      <c r="M471" s="104"/>
      <c r="N471" s="88"/>
      <c r="O471" s="105"/>
      <c r="AA471" s="49"/>
      <c r="AB471" s="50"/>
      <c r="AC471" s="51"/>
      <c r="AD471" s="51"/>
      <c r="AE471" s="1"/>
      <c r="AF471" s="51"/>
    </row>
    <row r="472" spans="2:32" x14ac:dyDescent="0.3">
      <c r="B472" s="46"/>
      <c r="D472" s="37"/>
      <c r="E472" s="58"/>
      <c r="F472" s="78"/>
      <c r="G472" s="78"/>
      <c r="H472" s="46"/>
      <c r="J472" s="103"/>
      <c r="K472" s="103"/>
      <c r="L472" s="104"/>
      <c r="M472" s="104"/>
      <c r="N472" s="88"/>
      <c r="O472" s="105"/>
      <c r="AA472" s="49"/>
      <c r="AB472" s="50"/>
      <c r="AC472" s="51"/>
      <c r="AD472" s="51"/>
      <c r="AE472" s="1"/>
      <c r="AF472" s="51"/>
    </row>
    <row r="473" spans="2:32" x14ac:dyDescent="0.3">
      <c r="B473" s="46"/>
      <c r="D473" s="37"/>
      <c r="E473" s="58"/>
      <c r="F473" s="78"/>
      <c r="G473" s="78"/>
      <c r="H473" s="46"/>
      <c r="J473" s="103"/>
      <c r="K473" s="103"/>
      <c r="L473" s="104"/>
      <c r="M473" s="104"/>
      <c r="N473" s="88"/>
      <c r="O473" s="105"/>
      <c r="AA473" s="49"/>
      <c r="AB473" s="50"/>
      <c r="AC473" s="51"/>
      <c r="AD473" s="51"/>
      <c r="AE473" s="1"/>
      <c r="AF473" s="51"/>
    </row>
    <row r="474" spans="2:32" x14ac:dyDescent="0.3">
      <c r="B474" s="46"/>
      <c r="D474" s="37"/>
      <c r="E474" s="58"/>
      <c r="F474" s="78"/>
      <c r="G474" s="78"/>
      <c r="H474" s="46"/>
      <c r="J474" s="103"/>
      <c r="K474" s="103"/>
      <c r="L474" s="104"/>
      <c r="M474" s="104"/>
      <c r="N474" s="88"/>
      <c r="O474" s="105"/>
      <c r="AA474" s="49"/>
      <c r="AB474" s="50"/>
      <c r="AC474" s="51"/>
      <c r="AD474" s="51"/>
      <c r="AE474" s="1"/>
      <c r="AF474" s="51"/>
    </row>
    <row r="475" spans="2:32" x14ac:dyDescent="0.3">
      <c r="B475" s="46"/>
      <c r="D475" s="37"/>
      <c r="E475" s="58"/>
      <c r="F475" s="78"/>
      <c r="G475" s="78"/>
      <c r="H475" s="46"/>
      <c r="J475" s="103"/>
      <c r="K475" s="103"/>
      <c r="L475" s="104"/>
      <c r="M475" s="104"/>
      <c r="N475" s="88"/>
      <c r="O475" s="105"/>
      <c r="AA475" s="49"/>
      <c r="AB475" s="50"/>
      <c r="AC475" s="51"/>
      <c r="AD475" s="51"/>
      <c r="AE475" s="1"/>
      <c r="AF475" s="51"/>
    </row>
    <row r="476" spans="2:32" x14ac:dyDescent="0.3">
      <c r="B476" s="46"/>
      <c r="D476" s="37"/>
      <c r="E476" s="58"/>
      <c r="F476" s="78"/>
      <c r="G476" s="78"/>
      <c r="H476" s="46"/>
      <c r="J476" s="103"/>
      <c r="K476" s="103"/>
      <c r="L476" s="104"/>
      <c r="M476" s="104"/>
      <c r="N476" s="88"/>
      <c r="O476" s="105"/>
      <c r="AA476" s="49"/>
      <c r="AB476" s="50"/>
      <c r="AC476" s="51"/>
      <c r="AD476" s="51"/>
      <c r="AE476" s="1"/>
      <c r="AF476" s="51"/>
    </row>
    <row r="477" spans="2:32" x14ac:dyDescent="0.3">
      <c r="B477" s="46"/>
      <c r="D477" s="37"/>
      <c r="E477" s="58"/>
      <c r="F477" s="78"/>
      <c r="G477" s="78"/>
      <c r="H477" s="46"/>
      <c r="J477" s="103"/>
      <c r="K477" s="103"/>
      <c r="L477" s="104"/>
      <c r="M477" s="104"/>
      <c r="N477" s="88"/>
      <c r="O477" s="105"/>
      <c r="AA477" s="49"/>
      <c r="AB477" s="50"/>
      <c r="AC477" s="51"/>
      <c r="AD477" s="51"/>
      <c r="AE477" s="1"/>
      <c r="AF477" s="51"/>
    </row>
    <row r="478" spans="2:32" x14ac:dyDescent="0.3">
      <c r="B478" s="46"/>
      <c r="D478" s="37"/>
      <c r="E478" s="58"/>
      <c r="F478" s="78"/>
      <c r="G478" s="78"/>
      <c r="H478" s="46"/>
      <c r="J478" s="103"/>
      <c r="K478" s="103"/>
      <c r="L478" s="104"/>
      <c r="M478" s="104"/>
      <c r="N478" s="88"/>
      <c r="O478" s="105"/>
      <c r="AA478" s="49"/>
      <c r="AB478" s="50"/>
      <c r="AC478" s="51"/>
      <c r="AD478" s="51"/>
      <c r="AE478" s="1"/>
      <c r="AF478" s="51"/>
    </row>
    <row r="479" spans="2:32" x14ac:dyDescent="0.3">
      <c r="B479" s="46"/>
      <c r="D479" s="37"/>
      <c r="E479" s="58"/>
      <c r="F479" s="78"/>
      <c r="G479" s="78"/>
      <c r="H479" s="46"/>
      <c r="J479" s="103"/>
      <c r="K479" s="103"/>
      <c r="L479" s="104"/>
      <c r="M479" s="104"/>
      <c r="N479" s="88"/>
      <c r="O479" s="105"/>
      <c r="AA479" s="49"/>
      <c r="AB479" s="50"/>
      <c r="AC479" s="51"/>
      <c r="AD479" s="51"/>
      <c r="AE479" s="1"/>
      <c r="AF479" s="51"/>
    </row>
    <row r="480" spans="2:32" x14ac:dyDescent="0.3">
      <c r="B480" s="46"/>
      <c r="D480" s="37"/>
      <c r="E480" s="58"/>
      <c r="F480" s="78"/>
      <c r="G480" s="78"/>
      <c r="H480" s="46"/>
      <c r="J480" s="103"/>
      <c r="K480" s="103"/>
      <c r="L480" s="104"/>
      <c r="M480" s="104"/>
      <c r="N480" s="88"/>
      <c r="O480" s="105"/>
      <c r="AA480" s="49"/>
      <c r="AB480" s="50"/>
      <c r="AC480" s="51"/>
      <c r="AD480" s="51"/>
      <c r="AE480" s="1"/>
      <c r="AF480" s="51"/>
    </row>
    <row r="481" spans="2:32" x14ac:dyDescent="0.3">
      <c r="B481" s="46"/>
      <c r="D481" s="37"/>
      <c r="E481" s="58"/>
      <c r="F481" s="78"/>
      <c r="G481" s="78"/>
      <c r="H481" s="46"/>
      <c r="J481" s="103"/>
      <c r="K481" s="103"/>
      <c r="L481" s="104"/>
      <c r="M481" s="104"/>
      <c r="N481" s="88"/>
      <c r="O481" s="105"/>
      <c r="AA481" s="49"/>
      <c r="AB481" s="50"/>
      <c r="AC481" s="51"/>
      <c r="AD481" s="51"/>
      <c r="AE481" s="1"/>
      <c r="AF481" s="51"/>
    </row>
    <row r="482" spans="2:32" x14ac:dyDescent="0.3">
      <c r="B482" s="46"/>
      <c r="D482" s="37"/>
      <c r="E482" s="58"/>
      <c r="F482" s="78"/>
      <c r="G482" s="78"/>
      <c r="H482" s="46"/>
      <c r="J482" s="103"/>
      <c r="K482" s="103"/>
      <c r="L482" s="104"/>
      <c r="M482" s="104"/>
      <c r="N482" s="88"/>
      <c r="O482" s="105"/>
      <c r="AA482" s="49"/>
      <c r="AB482" s="50"/>
      <c r="AC482" s="51"/>
      <c r="AD482" s="51"/>
      <c r="AE482" s="1"/>
      <c r="AF482" s="51"/>
    </row>
    <row r="483" spans="2:32" x14ac:dyDescent="0.3">
      <c r="B483" s="46"/>
      <c r="D483" s="37"/>
      <c r="E483" s="58"/>
      <c r="F483" s="78"/>
      <c r="G483" s="78"/>
      <c r="H483" s="46"/>
      <c r="J483" s="103"/>
      <c r="K483" s="103"/>
      <c r="L483" s="104"/>
      <c r="M483" s="104"/>
      <c r="N483" s="88"/>
      <c r="O483" s="105"/>
      <c r="AA483" s="49"/>
      <c r="AB483" s="50"/>
      <c r="AC483" s="51"/>
      <c r="AD483" s="51"/>
      <c r="AE483" s="1"/>
      <c r="AF483" s="51"/>
    </row>
    <row r="484" spans="2:32" x14ac:dyDescent="0.3">
      <c r="B484" s="46"/>
      <c r="D484" s="37"/>
      <c r="E484" s="58"/>
      <c r="F484" s="78"/>
      <c r="G484" s="78"/>
      <c r="H484" s="46"/>
      <c r="J484" s="103"/>
      <c r="K484" s="103"/>
      <c r="L484" s="104"/>
      <c r="M484" s="104"/>
      <c r="N484" s="88"/>
      <c r="O484" s="105"/>
      <c r="AA484" s="49"/>
      <c r="AB484" s="50"/>
      <c r="AC484" s="51"/>
      <c r="AD484" s="51"/>
      <c r="AE484" s="1"/>
      <c r="AF484" s="51"/>
    </row>
    <row r="485" spans="2:32" x14ac:dyDescent="0.3">
      <c r="B485" s="46"/>
      <c r="D485" s="37"/>
      <c r="E485" s="58"/>
      <c r="F485" s="78"/>
      <c r="G485" s="78"/>
      <c r="H485" s="46"/>
      <c r="J485" s="103"/>
      <c r="K485" s="103"/>
      <c r="L485" s="104"/>
      <c r="M485" s="104"/>
      <c r="N485" s="88"/>
      <c r="O485" s="105"/>
      <c r="AA485" s="49"/>
      <c r="AB485" s="50"/>
      <c r="AC485" s="51"/>
      <c r="AD485" s="51"/>
      <c r="AE485" s="1"/>
      <c r="AF485" s="51"/>
    </row>
    <row r="486" spans="2:32" x14ac:dyDescent="0.3">
      <c r="B486" s="46"/>
      <c r="D486" s="37"/>
      <c r="E486" s="58"/>
      <c r="F486" s="78"/>
      <c r="G486" s="78"/>
      <c r="H486" s="46"/>
      <c r="J486" s="103"/>
      <c r="K486" s="103"/>
      <c r="L486" s="104"/>
      <c r="M486" s="104"/>
      <c r="N486" s="88"/>
      <c r="O486" s="105"/>
      <c r="AA486" s="49"/>
      <c r="AB486" s="50"/>
      <c r="AC486" s="51"/>
      <c r="AD486" s="51"/>
      <c r="AE486" s="1"/>
      <c r="AF486" s="51"/>
    </row>
    <row r="487" spans="2:32" x14ac:dyDescent="0.3">
      <c r="B487" s="46"/>
      <c r="D487" s="37"/>
      <c r="E487" s="58"/>
      <c r="F487" s="78"/>
      <c r="G487" s="78"/>
      <c r="H487" s="46"/>
      <c r="J487" s="103"/>
      <c r="K487" s="103"/>
      <c r="L487" s="104"/>
      <c r="M487" s="104"/>
      <c r="N487" s="88"/>
      <c r="O487" s="105"/>
      <c r="AA487" s="49"/>
      <c r="AB487" s="50"/>
      <c r="AC487" s="51"/>
      <c r="AD487" s="51"/>
      <c r="AE487" s="1"/>
      <c r="AF487" s="51"/>
    </row>
    <row r="488" spans="2:32" x14ac:dyDescent="0.3">
      <c r="B488" s="46"/>
      <c r="D488" s="37"/>
      <c r="E488" s="58"/>
      <c r="F488" s="78"/>
      <c r="G488" s="78"/>
      <c r="H488" s="46"/>
      <c r="J488" s="103"/>
      <c r="K488" s="103"/>
      <c r="L488" s="104"/>
      <c r="M488" s="104"/>
      <c r="N488" s="88"/>
      <c r="O488" s="105"/>
      <c r="AA488" s="49"/>
      <c r="AB488" s="50"/>
      <c r="AC488" s="51"/>
      <c r="AD488" s="51"/>
      <c r="AE488" s="1"/>
      <c r="AF488" s="51"/>
    </row>
    <row r="489" spans="2:32" x14ac:dyDescent="0.3">
      <c r="B489" s="46"/>
      <c r="D489" s="37"/>
      <c r="E489" s="58"/>
      <c r="F489" s="78"/>
      <c r="G489" s="78"/>
      <c r="H489" s="46"/>
      <c r="J489" s="103"/>
      <c r="K489" s="103"/>
      <c r="L489" s="104"/>
      <c r="M489" s="104"/>
      <c r="N489" s="88"/>
      <c r="O489" s="105"/>
      <c r="AA489" s="49"/>
      <c r="AB489" s="50"/>
      <c r="AC489" s="51"/>
      <c r="AD489" s="51"/>
      <c r="AE489" s="1"/>
      <c r="AF489" s="51"/>
    </row>
    <row r="490" spans="2:32" x14ac:dyDescent="0.3">
      <c r="B490" s="46"/>
      <c r="D490" s="37"/>
      <c r="E490" s="58"/>
      <c r="F490" s="78"/>
      <c r="G490" s="78"/>
      <c r="H490" s="46"/>
      <c r="J490" s="103"/>
      <c r="K490" s="103"/>
      <c r="L490" s="104"/>
      <c r="M490" s="104"/>
      <c r="N490" s="88"/>
      <c r="O490" s="105"/>
      <c r="AA490" s="49"/>
      <c r="AB490" s="50"/>
      <c r="AC490" s="51"/>
      <c r="AD490" s="51"/>
      <c r="AE490" s="1"/>
      <c r="AF490" s="51"/>
    </row>
    <row r="491" spans="2:32" x14ac:dyDescent="0.3">
      <c r="B491" s="46"/>
      <c r="D491" s="37"/>
      <c r="E491" s="58"/>
      <c r="F491" s="78"/>
      <c r="G491" s="78"/>
      <c r="H491" s="46"/>
      <c r="J491" s="103"/>
      <c r="K491" s="103"/>
      <c r="L491" s="104"/>
      <c r="M491" s="104"/>
      <c r="N491" s="88"/>
      <c r="O491" s="105"/>
      <c r="AA491" s="49"/>
      <c r="AB491" s="50"/>
      <c r="AC491" s="51"/>
      <c r="AD491" s="51"/>
      <c r="AE491" s="1"/>
      <c r="AF491" s="51"/>
    </row>
    <row r="492" spans="2:32" x14ac:dyDescent="0.3">
      <c r="B492" s="46"/>
      <c r="D492" s="37"/>
      <c r="E492" s="58"/>
      <c r="F492" s="78"/>
      <c r="G492" s="78"/>
      <c r="H492" s="46"/>
      <c r="J492" s="103"/>
      <c r="K492" s="103"/>
      <c r="L492" s="104"/>
      <c r="M492" s="104"/>
      <c r="N492" s="88"/>
      <c r="O492" s="105"/>
      <c r="AA492" s="49"/>
      <c r="AB492" s="50"/>
      <c r="AC492" s="51"/>
      <c r="AD492" s="51"/>
      <c r="AE492" s="1"/>
      <c r="AF492" s="51"/>
    </row>
    <row r="493" spans="2:32" x14ac:dyDescent="0.3">
      <c r="B493" s="46"/>
      <c r="D493" s="37"/>
      <c r="E493" s="58"/>
      <c r="F493" s="78"/>
      <c r="G493" s="78"/>
      <c r="H493" s="46"/>
      <c r="J493" s="103"/>
      <c r="K493" s="103"/>
      <c r="L493" s="104"/>
      <c r="M493" s="104"/>
      <c r="N493" s="88"/>
      <c r="O493" s="105"/>
      <c r="AA493" s="49"/>
      <c r="AB493" s="50"/>
      <c r="AC493" s="51"/>
      <c r="AD493" s="51"/>
      <c r="AE493" s="1"/>
      <c r="AF493" s="51"/>
    </row>
    <row r="494" spans="2:32" x14ac:dyDescent="0.3">
      <c r="B494" s="46"/>
      <c r="D494" s="37"/>
      <c r="E494" s="58"/>
      <c r="F494" s="78"/>
      <c r="G494" s="78"/>
      <c r="H494" s="46"/>
      <c r="J494" s="103"/>
      <c r="K494" s="103"/>
      <c r="L494" s="104"/>
      <c r="M494" s="104"/>
      <c r="N494" s="88"/>
      <c r="O494" s="105"/>
      <c r="AA494" s="49"/>
      <c r="AB494" s="50"/>
      <c r="AC494" s="51"/>
      <c r="AD494" s="51"/>
      <c r="AE494" s="1"/>
      <c r="AF494" s="51"/>
    </row>
    <row r="495" spans="2:32" x14ac:dyDescent="0.3">
      <c r="B495" s="46"/>
      <c r="D495" s="37"/>
      <c r="E495" s="58"/>
      <c r="F495" s="78"/>
      <c r="G495" s="78"/>
      <c r="H495" s="46"/>
      <c r="J495" s="103"/>
      <c r="K495" s="103"/>
      <c r="L495" s="104"/>
      <c r="M495" s="104"/>
      <c r="N495" s="88"/>
      <c r="O495" s="105"/>
      <c r="AA495" s="49"/>
      <c r="AB495" s="50"/>
      <c r="AC495" s="51"/>
      <c r="AD495" s="51"/>
      <c r="AE495" s="1"/>
      <c r="AF495" s="51"/>
    </row>
    <row r="496" spans="2:32" x14ac:dyDescent="0.3">
      <c r="B496" s="46"/>
      <c r="D496" s="37"/>
      <c r="E496" s="58"/>
      <c r="F496" s="78"/>
      <c r="G496" s="78"/>
      <c r="H496" s="46"/>
      <c r="J496" s="103"/>
      <c r="K496" s="103"/>
      <c r="L496" s="104"/>
      <c r="M496" s="104"/>
      <c r="N496" s="88"/>
      <c r="O496" s="105"/>
      <c r="AA496" s="49"/>
      <c r="AB496" s="50"/>
      <c r="AC496" s="51"/>
      <c r="AD496" s="51"/>
      <c r="AE496" s="1"/>
      <c r="AF496" s="51"/>
    </row>
    <row r="497" spans="2:32" x14ac:dyDescent="0.3">
      <c r="B497" s="46"/>
      <c r="D497" s="37"/>
      <c r="E497" s="58"/>
      <c r="F497" s="78"/>
      <c r="G497" s="78"/>
      <c r="H497" s="46"/>
      <c r="J497" s="103"/>
      <c r="K497" s="103"/>
      <c r="L497" s="104"/>
      <c r="M497" s="104"/>
      <c r="N497" s="88"/>
      <c r="O497" s="105"/>
      <c r="AA497" s="49"/>
      <c r="AB497" s="50"/>
      <c r="AC497" s="51"/>
      <c r="AD497" s="51"/>
      <c r="AE497" s="1"/>
      <c r="AF497" s="51"/>
    </row>
    <row r="498" spans="2:32" x14ac:dyDescent="0.3">
      <c r="B498" s="46"/>
      <c r="D498" s="37"/>
      <c r="E498" s="58"/>
      <c r="F498" s="78"/>
      <c r="G498" s="78"/>
      <c r="H498" s="46"/>
      <c r="J498" s="103"/>
      <c r="K498" s="103"/>
      <c r="L498" s="104"/>
      <c r="M498" s="104"/>
      <c r="N498" s="88"/>
      <c r="O498" s="105"/>
      <c r="AA498" s="49"/>
      <c r="AB498" s="50"/>
      <c r="AC498" s="51"/>
      <c r="AD498" s="51"/>
      <c r="AE498" s="1"/>
      <c r="AF498" s="51"/>
    </row>
    <row r="499" spans="2:32" x14ac:dyDescent="0.3">
      <c r="B499" s="46"/>
      <c r="D499" s="37"/>
      <c r="E499" s="58"/>
      <c r="F499" s="78"/>
      <c r="G499" s="78"/>
      <c r="H499" s="46"/>
      <c r="J499" s="103"/>
      <c r="K499" s="103"/>
      <c r="L499" s="104"/>
      <c r="M499" s="104"/>
      <c r="N499" s="88"/>
      <c r="O499" s="105"/>
      <c r="AA499" s="49"/>
      <c r="AB499" s="50"/>
      <c r="AC499" s="51"/>
      <c r="AD499" s="51"/>
      <c r="AE499" s="1"/>
      <c r="AF499" s="51"/>
    </row>
    <row r="500" spans="2:32" x14ac:dyDescent="0.3">
      <c r="B500" s="46"/>
      <c r="D500" s="37"/>
      <c r="E500" s="58"/>
      <c r="F500" s="78"/>
      <c r="G500" s="78"/>
      <c r="H500" s="46"/>
      <c r="J500" s="103"/>
      <c r="K500" s="103"/>
      <c r="L500" s="104"/>
      <c r="M500" s="104"/>
      <c r="N500" s="88"/>
      <c r="O500" s="105"/>
      <c r="AA500" s="49"/>
      <c r="AB500" s="50"/>
      <c r="AC500" s="51"/>
      <c r="AD500" s="51"/>
      <c r="AE500" s="1"/>
      <c r="AF500" s="51"/>
    </row>
    <row r="501" spans="2:32" x14ac:dyDescent="0.3">
      <c r="B501" s="46"/>
      <c r="D501" s="37"/>
      <c r="E501" s="58"/>
      <c r="F501" s="78"/>
      <c r="G501" s="78"/>
      <c r="H501" s="46"/>
      <c r="J501" s="103"/>
      <c r="K501" s="103"/>
      <c r="L501" s="104"/>
      <c r="M501" s="104"/>
      <c r="N501" s="88"/>
      <c r="O501" s="105"/>
      <c r="AA501" s="49"/>
      <c r="AB501" s="50"/>
      <c r="AC501" s="51"/>
      <c r="AD501" s="51"/>
      <c r="AE501" s="1"/>
      <c r="AF501" s="51"/>
    </row>
    <row r="502" spans="2:32" x14ac:dyDescent="0.3">
      <c r="B502" s="46"/>
      <c r="D502" s="37"/>
      <c r="E502" s="58"/>
      <c r="F502" s="78"/>
      <c r="G502" s="78"/>
      <c r="H502" s="46"/>
      <c r="J502" s="103"/>
      <c r="K502" s="103"/>
      <c r="L502" s="104"/>
      <c r="M502" s="104"/>
      <c r="N502" s="88"/>
      <c r="O502" s="105"/>
      <c r="AA502" s="49"/>
      <c r="AB502" s="50"/>
      <c r="AC502" s="51"/>
      <c r="AD502" s="51"/>
      <c r="AE502" s="1"/>
      <c r="AF502" s="51"/>
    </row>
    <row r="503" spans="2:32" x14ac:dyDescent="0.3">
      <c r="B503" s="46"/>
      <c r="D503" s="37"/>
      <c r="E503" s="58"/>
      <c r="F503" s="78"/>
      <c r="G503" s="78"/>
      <c r="H503" s="46"/>
      <c r="J503" s="103"/>
      <c r="K503" s="103"/>
      <c r="L503" s="104"/>
      <c r="M503" s="104"/>
      <c r="N503" s="88"/>
      <c r="O503" s="105"/>
      <c r="AA503" s="49"/>
      <c r="AB503" s="50"/>
      <c r="AC503" s="51"/>
      <c r="AD503" s="51"/>
      <c r="AE503" s="1"/>
      <c r="AF503" s="51"/>
    </row>
    <row r="504" spans="2:32" x14ac:dyDescent="0.3">
      <c r="B504" s="46"/>
      <c r="D504" s="37"/>
      <c r="E504" s="58"/>
      <c r="F504" s="78"/>
      <c r="G504" s="78"/>
      <c r="H504" s="46"/>
      <c r="J504" s="103"/>
      <c r="K504" s="103"/>
      <c r="L504" s="104"/>
      <c r="M504" s="104"/>
      <c r="N504" s="88"/>
      <c r="O504" s="105"/>
      <c r="AA504" s="49"/>
      <c r="AB504" s="50"/>
      <c r="AC504" s="51"/>
      <c r="AD504" s="51"/>
      <c r="AE504" s="1"/>
      <c r="AF504" s="51"/>
    </row>
    <row r="505" spans="2:32" x14ac:dyDescent="0.3">
      <c r="B505" s="46"/>
      <c r="D505" s="37"/>
      <c r="E505" s="58"/>
      <c r="F505" s="78"/>
      <c r="G505" s="78"/>
      <c r="H505" s="46"/>
      <c r="J505" s="103"/>
      <c r="K505" s="103"/>
      <c r="L505" s="104"/>
      <c r="M505" s="104"/>
      <c r="N505" s="88"/>
      <c r="O505" s="105"/>
      <c r="AA505" s="49"/>
      <c r="AB505" s="50"/>
      <c r="AC505" s="51"/>
      <c r="AD505" s="51"/>
      <c r="AE505" s="1"/>
      <c r="AF505" s="51"/>
    </row>
    <row r="506" spans="2:32" x14ac:dyDescent="0.3">
      <c r="B506" s="46"/>
      <c r="D506" s="37"/>
      <c r="E506" s="58"/>
      <c r="F506" s="78"/>
      <c r="G506" s="78"/>
      <c r="H506" s="46"/>
      <c r="J506" s="103"/>
      <c r="K506" s="103"/>
      <c r="L506" s="104"/>
      <c r="M506" s="104"/>
      <c r="N506" s="88"/>
      <c r="O506" s="105"/>
      <c r="AA506" s="49"/>
      <c r="AB506" s="50"/>
      <c r="AC506" s="51"/>
      <c r="AD506" s="51"/>
      <c r="AE506" s="1"/>
      <c r="AF506" s="51"/>
    </row>
    <row r="507" spans="2:32" x14ac:dyDescent="0.3">
      <c r="B507" s="46"/>
      <c r="D507" s="37"/>
      <c r="E507" s="58"/>
      <c r="F507" s="78"/>
      <c r="G507" s="78"/>
      <c r="H507" s="46"/>
      <c r="J507" s="103"/>
      <c r="K507" s="103"/>
      <c r="L507" s="104"/>
      <c r="M507" s="104"/>
      <c r="N507" s="88"/>
      <c r="O507" s="105"/>
      <c r="AA507" s="49"/>
      <c r="AB507" s="50"/>
      <c r="AC507" s="51"/>
      <c r="AD507" s="51"/>
      <c r="AE507" s="1"/>
      <c r="AF507" s="51"/>
    </row>
    <row r="508" spans="2:32" x14ac:dyDescent="0.3">
      <c r="B508" s="46"/>
      <c r="D508" s="37"/>
      <c r="E508" s="58"/>
      <c r="F508" s="78"/>
      <c r="G508" s="78"/>
      <c r="H508" s="46"/>
      <c r="J508" s="103"/>
      <c r="K508" s="103"/>
      <c r="L508" s="104"/>
      <c r="M508" s="104"/>
      <c r="N508" s="88"/>
      <c r="O508" s="105"/>
      <c r="AA508" s="49"/>
      <c r="AB508" s="50"/>
      <c r="AC508" s="51"/>
      <c r="AD508" s="51"/>
      <c r="AE508" s="1"/>
      <c r="AF508" s="51"/>
    </row>
    <row r="509" spans="2:32" x14ac:dyDescent="0.3">
      <c r="B509" s="46"/>
      <c r="D509" s="37"/>
      <c r="E509" s="58"/>
      <c r="F509" s="78"/>
      <c r="G509" s="78"/>
      <c r="H509" s="46"/>
      <c r="J509" s="103"/>
      <c r="K509" s="103"/>
      <c r="L509" s="104"/>
      <c r="M509" s="104"/>
      <c r="N509" s="88"/>
      <c r="O509" s="105"/>
      <c r="AA509" s="49"/>
      <c r="AB509" s="50"/>
      <c r="AC509" s="51"/>
      <c r="AD509" s="51"/>
      <c r="AE509" s="1"/>
      <c r="AF509" s="51"/>
    </row>
    <row r="510" spans="2:32" x14ac:dyDescent="0.3">
      <c r="B510" s="46"/>
      <c r="D510" s="37"/>
      <c r="E510" s="58"/>
      <c r="F510" s="78"/>
      <c r="G510" s="78"/>
      <c r="H510" s="46"/>
      <c r="J510" s="103"/>
      <c r="K510" s="103"/>
      <c r="L510" s="104"/>
      <c r="M510" s="104"/>
      <c r="N510" s="88"/>
      <c r="O510" s="105"/>
      <c r="AA510" s="49"/>
      <c r="AB510" s="50"/>
      <c r="AC510" s="51"/>
      <c r="AD510" s="51"/>
      <c r="AE510" s="1"/>
      <c r="AF510" s="51"/>
    </row>
    <row r="511" spans="2:32" x14ac:dyDescent="0.3">
      <c r="B511" s="46"/>
      <c r="D511" s="37"/>
      <c r="E511" s="58"/>
      <c r="F511" s="78"/>
      <c r="G511" s="78"/>
      <c r="H511" s="46"/>
      <c r="J511" s="103"/>
      <c r="K511" s="103"/>
      <c r="L511" s="104"/>
      <c r="M511" s="104"/>
      <c r="N511" s="88"/>
      <c r="O511" s="105"/>
      <c r="AA511" s="49"/>
      <c r="AB511" s="50"/>
      <c r="AC511" s="51"/>
      <c r="AD511" s="51"/>
      <c r="AE511" s="1"/>
      <c r="AF511" s="51"/>
    </row>
    <row r="512" spans="2:32" x14ac:dyDescent="0.3">
      <c r="B512" s="46"/>
      <c r="D512" s="37"/>
      <c r="E512" s="58"/>
      <c r="F512" s="78"/>
      <c r="G512" s="78"/>
      <c r="H512" s="46"/>
      <c r="J512" s="103"/>
      <c r="K512" s="103"/>
      <c r="L512" s="104"/>
      <c r="M512" s="104"/>
      <c r="N512" s="88"/>
      <c r="O512" s="105"/>
      <c r="AA512" s="49"/>
      <c r="AB512" s="50"/>
      <c r="AC512" s="51"/>
      <c r="AD512" s="51"/>
      <c r="AE512" s="1"/>
      <c r="AF512" s="51"/>
    </row>
    <row r="513" spans="2:32" x14ac:dyDescent="0.3">
      <c r="B513" s="46"/>
      <c r="D513" s="37"/>
      <c r="E513" s="58"/>
      <c r="F513" s="78"/>
      <c r="G513" s="78"/>
      <c r="H513" s="46"/>
      <c r="J513" s="103"/>
      <c r="K513" s="103"/>
      <c r="L513" s="104"/>
      <c r="M513" s="104"/>
      <c r="N513" s="88"/>
      <c r="O513" s="105"/>
      <c r="AA513" s="49"/>
      <c r="AB513" s="50"/>
      <c r="AC513" s="51"/>
      <c r="AD513" s="51"/>
      <c r="AE513" s="1"/>
      <c r="AF513" s="51"/>
    </row>
    <row r="514" spans="2:32" x14ac:dyDescent="0.3">
      <c r="B514" s="46"/>
      <c r="D514" s="37"/>
      <c r="E514" s="58"/>
      <c r="F514" s="78"/>
      <c r="G514" s="78"/>
      <c r="H514" s="46"/>
      <c r="J514" s="103"/>
      <c r="K514" s="103"/>
      <c r="L514" s="104"/>
      <c r="M514" s="104"/>
      <c r="N514" s="88"/>
      <c r="O514" s="105"/>
      <c r="AA514" s="49"/>
      <c r="AB514" s="50"/>
      <c r="AC514" s="51"/>
      <c r="AD514" s="51"/>
      <c r="AE514" s="1"/>
      <c r="AF514" s="51"/>
    </row>
    <row r="515" spans="2:32" x14ac:dyDescent="0.3">
      <c r="B515" s="46"/>
      <c r="D515" s="37"/>
      <c r="E515" s="58"/>
      <c r="F515" s="78"/>
      <c r="G515" s="78"/>
      <c r="H515" s="46"/>
      <c r="J515" s="103"/>
      <c r="K515" s="103"/>
      <c r="L515" s="104"/>
      <c r="M515" s="104"/>
      <c r="N515" s="88"/>
      <c r="O515" s="105"/>
      <c r="AA515" s="49"/>
      <c r="AB515" s="50"/>
      <c r="AC515" s="51"/>
      <c r="AD515" s="51"/>
      <c r="AE515" s="1"/>
      <c r="AF515" s="51"/>
    </row>
    <row r="516" spans="2:32" x14ac:dyDescent="0.3">
      <c r="B516" s="46"/>
      <c r="D516" s="37"/>
      <c r="E516" s="58"/>
      <c r="F516" s="78"/>
      <c r="G516" s="78"/>
      <c r="H516" s="46"/>
      <c r="J516" s="103"/>
      <c r="K516" s="103"/>
      <c r="L516" s="104"/>
      <c r="M516" s="104"/>
      <c r="N516" s="88"/>
      <c r="O516" s="105"/>
      <c r="AA516" s="49"/>
      <c r="AB516" s="50"/>
      <c r="AC516" s="51"/>
      <c r="AD516" s="51"/>
      <c r="AE516" s="1"/>
      <c r="AF516" s="51"/>
    </row>
    <row r="517" spans="2:32" x14ac:dyDescent="0.3">
      <c r="B517" s="46"/>
      <c r="D517" s="37"/>
      <c r="E517" s="58"/>
      <c r="F517" s="78"/>
      <c r="G517" s="78"/>
      <c r="H517" s="46"/>
      <c r="J517" s="103"/>
      <c r="K517" s="103"/>
      <c r="L517" s="104"/>
      <c r="M517" s="104"/>
      <c r="N517" s="88"/>
      <c r="O517" s="105"/>
      <c r="AA517" s="49"/>
      <c r="AB517" s="50"/>
      <c r="AC517" s="51"/>
      <c r="AD517" s="51"/>
      <c r="AE517" s="1"/>
      <c r="AF517" s="51"/>
    </row>
    <row r="518" spans="2:32" x14ac:dyDescent="0.3">
      <c r="B518" s="46"/>
      <c r="D518" s="37"/>
      <c r="E518" s="58"/>
      <c r="F518" s="78"/>
      <c r="G518" s="78"/>
      <c r="H518" s="46"/>
      <c r="J518" s="103"/>
      <c r="K518" s="103"/>
      <c r="L518" s="104"/>
      <c r="M518" s="104"/>
      <c r="N518" s="88"/>
      <c r="O518" s="105"/>
      <c r="AA518" s="49"/>
      <c r="AB518" s="50"/>
      <c r="AC518" s="51"/>
      <c r="AD518" s="51"/>
      <c r="AE518" s="1"/>
      <c r="AF518" s="51"/>
    </row>
    <row r="519" spans="2:32" x14ac:dyDescent="0.3">
      <c r="B519" s="46"/>
      <c r="D519" s="37"/>
      <c r="E519" s="58"/>
      <c r="F519" s="78"/>
      <c r="G519" s="78"/>
      <c r="H519" s="46"/>
      <c r="J519" s="103"/>
      <c r="K519" s="103"/>
      <c r="L519" s="104"/>
      <c r="M519" s="104"/>
      <c r="N519" s="88"/>
      <c r="O519" s="105"/>
      <c r="AA519" s="49"/>
      <c r="AB519" s="50"/>
      <c r="AC519" s="51"/>
      <c r="AD519" s="51"/>
      <c r="AE519" s="1"/>
      <c r="AF519" s="51"/>
    </row>
    <row r="520" spans="2:32" x14ac:dyDescent="0.3">
      <c r="B520" s="46"/>
      <c r="D520" s="37"/>
      <c r="E520" s="58"/>
      <c r="F520" s="78"/>
      <c r="G520" s="78"/>
      <c r="H520" s="46"/>
      <c r="J520" s="103"/>
      <c r="K520" s="103"/>
      <c r="L520" s="104"/>
      <c r="M520" s="104"/>
      <c r="N520" s="88"/>
      <c r="O520" s="105"/>
      <c r="AA520" s="49"/>
      <c r="AB520" s="50"/>
      <c r="AC520" s="51"/>
      <c r="AD520" s="51"/>
      <c r="AE520" s="1"/>
      <c r="AF520" s="51"/>
    </row>
    <row r="521" spans="2:32" x14ac:dyDescent="0.3">
      <c r="B521" s="46"/>
      <c r="D521" s="37"/>
      <c r="E521" s="58"/>
      <c r="F521" s="78"/>
      <c r="G521" s="78"/>
      <c r="H521" s="46"/>
      <c r="J521" s="103"/>
      <c r="K521" s="103"/>
      <c r="L521" s="104"/>
      <c r="M521" s="104"/>
      <c r="N521" s="88"/>
      <c r="O521" s="105"/>
      <c r="AA521" s="49"/>
      <c r="AB521" s="50"/>
      <c r="AC521" s="51"/>
      <c r="AD521" s="51"/>
      <c r="AE521" s="1"/>
      <c r="AF521" s="51"/>
    </row>
    <row r="522" spans="2:32" x14ac:dyDescent="0.3">
      <c r="B522" s="46"/>
      <c r="D522" s="37"/>
      <c r="E522" s="58"/>
      <c r="F522" s="78"/>
      <c r="G522" s="78"/>
      <c r="H522" s="46"/>
      <c r="J522" s="103"/>
      <c r="K522" s="103"/>
      <c r="L522" s="104"/>
      <c r="M522" s="104"/>
      <c r="N522" s="88"/>
      <c r="O522" s="105"/>
      <c r="AA522" s="49"/>
      <c r="AB522" s="50"/>
      <c r="AC522" s="51"/>
      <c r="AD522" s="51"/>
      <c r="AE522" s="1"/>
      <c r="AF522" s="51"/>
    </row>
    <row r="523" spans="2:32" x14ac:dyDescent="0.3">
      <c r="B523" s="46"/>
      <c r="D523" s="37"/>
      <c r="E523" s="58"/>
      <c r="F523" s="78"/>
      <c r="G523" s="78"/>
      <c r="H523" s="46"/>
      <c r="J523" s="103"/>
      <c r="K523" s="103"/>
      <c r="L523" s="104"/>
      <c r="M523" s="104"/>
      <c r="N523" s="88"/>
      <c r="O523" s="105"/>
      <c r="AA523" s="49"/>
      <c r="AB523" s="50"/>
      <c r="AC523" s="51"/>
      <c r="AD523" s="51"/>
      <c r="AE523" s="1"/>
      <c r="AF523" s="51"/>
    </row>
    <row r="524" spans="2:32" x14ac:dyDescent="0.3">
      <c r="B524" s="46"/>
      <c r="D524" s="37"/>
      <c r="E524" s="58"/>
      <c r="F524" s="78"/>
      <c r="G524" s="78"/>
      <c r="H524" s="46"/>
      <c r="J524" s="103"/>
      <c r="K524" s="103"/>
      <c r="L524" s="104"/>
      <c r="M524" s="104"/>
      <c r="N524" s="88"/>
      <c r="O524" s="105"/>
      <c r="AA524" s="49"/>
      <c r="AB524" s="50"/>
      <c r="AC524" s="51"/>
      <c r="AD524" s="51"/>
      <c r="AE524" s="1"/>
      <c r="AF524" s="51"/>
    </row>
    <row r="525" spans="2:32" x14ac:dyDescent="0.3">
      <c r="B525" s="46"/>
      <c r="D525" s="37"/>
      <c r="E525" s="58"/>
      <c r="F525" s="78"/>
      <c r="G525" s="78"/>
      <c r="H525" s="46"/>
      <c r="J525" s="103"/>
      <c r="K525" s="103"/>
      <c r="L525" s="104"/>
      <c r="M525" s="104"/>
      <c r="N525" s="88"/>
      <c r="O525" s="105"/>
      <c r="AA525" s="49"/>
      <c r="AB525" s="50"/>
      <c r="AC525" s="51"/>
      <c r="AD525" s="51"/>
      <c r="AE525" s="1"/>
      <c r="AF525" s="51"/>
    </row>
    <row r="526" spans="2:32" x14ac:dyDescent="0.3">
      <c r="B526" s="46"/>
      <c r="D526" s="37"/>
      <c r="E526" s="58"/>
      <c r="F526" s="78"/>
      <c r="G526" s="78"/>
      <c r="H526" s="46"/>
      <c r="J526" s="103"/>
      <c r="K526" s="103"/>
      <c r="L526" s="104"/>
      <c r="M526" s="104"/>
      <c r="N526" s="88"/>
      <c r="O526" s="105"/>
      <c r="AA526" s="49"/>
      <c r="AB526" s="50"/>
      <c r="AC526" s="51"/>
      <c r="AD526" s="51"/>
      <c r="AE526" s="1"/>
      <c r="AF526" s="51"/>
    </row>
    <row r="527" spans="2:32" x14ac:dyDescent="0.3">
      <c r="B527" s="46"/>
      <c r="D527" s="37"/>
      <c r="E527" s="58"/>
      <c r="F527" s="78"/>
      <c r="G527" s="78"/>
      <c r="H527" s="46"/>
      <c r="J527" s="103"/>
      <c r="K527" s="103"/>
      <c r="L527" s="104"/>
      <c r="M527" s="104"/>
      <c r="N527" s="88"/>
      <c r="O527" s="105"/>
      <c r="AA527" s="49"/>
      <c r="AB527" s="50"/>
      <c r="AC527" s="51"/>
      <c r="AD527" s="51"/>
      <c r="AE527" s="1"/>
      <c r="AF527" s="51"/>
    </row>
    <row r="528" spans="2:32" x14ac:dyDescent="0.3">
      <c r="B528" s="46"/>
      <c r="D528" s="37"/>
      <c r="E528" s="58"/>
      <c r="F528" s="78"/>
      <c r="G528" s="78"/>
      <c r="H528" s="46"/>
      <c r="J528" s="103"/>
      <c r="K528" s="103"/>
      <c r="L528" s="104"/>
      <c r="M528" s="104"/>
      <c r="N528" s="88"/>
      <c r="O528" s="105"/>
      <c r="AA528" s="49"/>
      <c r="AB528" s="50"/>
      <c r="AC528" s="51"/>
      <c r="AD528" s="51"/>
      <c r="AE528" s="1"/>
      <c r="AF528" s="51"/>
    </row>
    <row r="529" spans="2:32" x14ac:dyDescent="0.3">
      <c r="B529" s="46"/>
      <c r="D529" s="37"/>
      <c r="E529" s="58"/>
      <c r="F529" s="78"/>
      <c r="G529" s="78"/>
      <c r="H529" s="46"/>
      <c r="J529" s="103"/>
      <c r="K529" s="103"/>
      <c r="L529" s="104"/>
      <c r="M529" s="104"/>
      <c r="N529" s="88"/>
      <c r="O529" s="105"/>
      <c r="AA529" s="49"/>
      <c r="AB529" s="50"/>
      <c r="AC529" s="51"/>
      <c r="AD529" s="51"/>
      <c r="AE529" s="1"/>
      <c r="AF529" s="51"/>
    </row>
    <row r="530" spans="2:32" x14ac:dyDescent="0.3">
      <c r="B530" s="46"/>
      <c r="D530" s="37"/>
      <c r="E530" s="58"/>
      <c r="F530" s="78"/>
      <c r="G530" s="78"/>
      <c r="H530" s="46"/>
      <c r="J530" s="103"/>
      <c r="K530" s="103"/>
      <c r="L530" s="104"/>
      <c r="M530" s="104"/>
      <c r="N530" s="88"/>
      <c r="O530" s="105"/>
      <c r="AA530" s="49"/>
      <c r="AB530" s="50"/>
      <c r="AC530" s="51"/>
      <c r="AD530" s="51"/>
      <c r="AE530" s="1"/>
      <c r="AF530" s="51"/>
    </row>
    <row r="531" spans="2:32" x14ac:dyDescent="0.3">
      <c r="B531" s="46"/>
      <c r="D531" s="37"/>
      <c r="E531" s="58"/>
      <c r="F531" s="78"/>
      <c r="G531" s="78"/>
      <c r="H531" s="46"/>
      <c r="J531" s="103"/>
      <c r="K531" s="103"/>
      <c r="L531" s="104"/>
      <c r="M531" s="104"/>
      <c r="N531" s="88"/>
      <c r="O531" s="105"/>
      <c r="AA531" s="49"/>
      <c r="AB531" s="50"/>
      <c r="AC531" s="51"/>
      <c r="AD531" s="51"/>
      <c r="AE531" s="1"/>
      <c r="AF531" s="51"/>
    </row>
    <row r="532" spans="2:32" x14ac:dyDescent="0.3">
      <c r="B532" s="46"/>
      <c r="D532" s="37"/>
      <c r="E532" s="58"/>
      <c r="F532" s="78"/>
      <c r="G532" s="78"/>
      <c r="H532" s="46"/>
      <c r="J532" s="103"/>
      <c r="K532" s="103"/>
      <c r="L532" s="104"/>
      <c r="M532" s="104"/>
      <c r="N532" s="88"/>
      <c r="O532" s="105"/>
      <c r="AA532" s="49"/>
      <c r="AB532" s="50"/>
      <c r="AC532" s="51"/>
      <c r="AD532" s="51"/>
      <c r="AE532" s="1"/>
      <c r="AF532" s="51"/>
    </row>
    <row r="533" spans="2:32" x14ac:dyDescent="0.3">
      <c r="B533" s="46"/>
      <c r="D533" s="37"/>
      <c r="E533" s="58"/>
      <c r="F533" s="78"/>
      <c r="G533" s="78"/>
      <c r="H533" s="46"/>
      <c r="J533" s="103"/>
      <c r="K533" s="103"/>
      <c r="L533" s="104"/>
      <c r="M533" s="104"/>
      <c r="N533" s="88"/>
      <c r="O533" s="105"/>
      <c r="AA533" s="49"/>
      <c r="AB533" s="50"/>
      <c r="AC533" s="51"/>
      <c r="AD533" s="51"/>
      <c r="AE533" s="1"/>
      <c r="AF533" s="51"/>
    </row>
    <row r="534" spans="2:32" x14ac:dyDescent="0.3">
      <c r="B534" s="46"/>
      <c r="D534" s="37"/>
      <c r="E534" s="58"/>
      <c r="F534" s="78"/>
      <c r="G534" s="78"/>
      <c r="H534" s="46"/>
      <c r="J534" s="103"/>
      <c r="K534" s="103"/>
      <c r="L534" s="104"/>
      <c r="M534" s="104"/>
      <c r="N534" s="88"/>
      <c r="O534" s="105"/>
      <c r="AA534" s="49"/>
      <c r="AB534" s="50"/>
      <c r="AC534" s="51"/>
      <c r="AD534" s="51"/>
      <c r="AE534" s="1"/>
      <c r="AF534" s="51"/>
    </row>
    <row r="535" spans="2:32" x14ac:dyDescent="0.3">
      <c r="B535" s="46"/>
      <c r="D535" s="37"/>
      <c r="E535" s="58"/>
      <c r="F535" s="78"/>
      <c r="G535" s="78"/>
      <c r="H535" s="46"/>
      <c r="J535" s="103"/>
      <c r="K535" s="103"/>
      <c r="L535" s="104"/>
      <c r="M535" s="104"/>
      <c r="N535" s="88"/>
      <c r="O535" s="105"/>
      <c r="AA535" s="49"/>
      <c r="AB535" s="50"/>
      <c r="AC535" s="51"/>
      <c r="AD535" s="51"/>
      <c r="AE535" s="1"/>
      <c r="AF535" s="51"/>
    </row>
    <row r="536" spans="2:32" x14ac:dyDescent="0.3">
      <c r="B536" s="46"/>
      <c r="D536" s="37"/>
      <c r="E536" s="58"/>
      <c r="F536" s="78"/>
      <c r="G536" s="78"/>
      <c r="H536" s="46"/>
      <c r="J536" s="103"/>
      <c r="K536" s="103"/>
      <c r="L536" s="104"/>
      <c r="M536" s="104"/>
      <c r="N536" s="88"/>
      <c r="O536" s="105"/>
      <c r="AA536" s="49"/>
      <c r="AB536" s="50"/>
      <c r="AC536" s="51"/>
      <c r="AD536" s="51"/>
      <c r="AE536" s="1"/>
      <c r="AF536" s="51"/>
    </row>
    <row r="537" spans="2:32" x14ac:dyDescent="0.3">
      <c r="B537" s="46"/>
      <c r="D537" s="37"/>
      <c r="E537" s="58"/>
      <c r="F537" s="78"/>
      <c r="G537" s="78"/>
      <c r="H537" s="46"/>
      <c r="J537" s="103"/>
      <c r="K537" s="103"/>
      <c r="L537" s="104"/>
      <c r="M537" s="104"/>
      <c r="N537" s="88"/>
      <c r="O537" s="105"/>
      <c r="AA537" s="49"/>
      <c r="AB537" s="50"/>
      <c r="AC537" s="51"/>
      <c r="AD537" s="51"/>
      <c r="AE537" s="1"/>
      <c r="AF537" s="51"/>
    </row>
    <row r="538" spans="2:32" x14ac:dyDescent="0.3">
      <c r="B538" s="46"/>
      <c r="D538" s="37"/>
      <c r="E538" s="58"/>
      <c r="F538" s="78"/>
      <c r="G538" s="78"/>
      <c r="H538" s="46"/>
      <c r="J538" s="103"/>
      <c r="K538" s="103"/>
      <c r="L538" s="104"/>
      <c r="M538" s="104"/>
      <c r="N538" s="88"/>
      <c r="O538" s="105"/>
      <c r="AA538" s="49"/>
      <c r="AB538" s="50"/>
      <c r="AC538" s="51"/>
      <c r="AD538" s="51"/>
      <c r="AE538" s="1"/>
      <c r="AF538" s="51"/>
    </row>
    <row r="539" spans="2:32" x14ac:dyDescent="0.3">
      <c r="B539" s="46"/>
      <c r="D539" s="37"/>
      <c r="E539" s="58"/>
      <c r="F539" s="78"/>
      <c r="G539" s="78"/>
      <c r="H539" s="46"/>
      <c r="J539" s="103"/>
      <c r="K539" s="103"/>
      <c r="L539" s="104"/>
      <c r="M539" s="104"/>
      <c r="N539" s="88"/>
      <c r="O539" s="105"/>
      <c r="AA539" s="49"/>
      <c r="AB539" s="50"/>
      <c r="AC539" s="51"/>
      <c r="AD539" s="51"/>
      <c r="AE539" s="1"/>
      <c r="AF539" s="51"/>
    </row>
    <row r="540" spans="2:32" x14ac:dyDescent="0.3">
      <c r="B540" s="46"/>
      <c r="D540" s="37"/>
      <c r="E540" s="58"/>
      <c r="F540" s="78"/>
      <c r="G540" s="78"/>
      <c r="H540" s="46"/>
      <c r="J540" s="103"/>
      <c r="K540" s="103"/>
      <c r="L540" s="104"/>
      <c r="M540" s="104"/>
      <c r="N540" s="88"/>
      <c r="O540" s="105"/>
      <c r="AA540" s="49"/>
      <c r="AB540" s="50"/>
      <c r="AC540" s="51"/>
      <c r="AD540" s="51"/>
      <c r="AE540" s="1"/>
      <c r="AF540" s="51"/>
    </row>
    <row r="541" spans="2:32" x14ac:dyDescent="0.3">
      <c r="B541" s="46"/>
      <c r="D541" s="37"/>
      <c r="E541" s="58"/>
      <c r="F541" s="78"/>
      <c r="G541" s="78"/>
      <c r="H541" s="46"/>
      <c r="J541" s="103"/>
      <c r="K541" s="103"/>
      <c r="L541" s="104"/>
      <c r="M541" s="104"/>
      <c r="N541" s="88"/>
      <c r="O541" s="105"/>
      <c r="AA541" s="49"/>
      <c r="AB541" s="50"/>
      <c r="AC541" s="51"/>
      <c r="AD541" s="51"/>
      <c r="AE541" s="1"/>
      <c r="AF541" s="51"/>
    </row>
    <row r="542" spans="2:32" x14ac:dyDescent="0.3">
      <c r="B542" s="46"/>
      <c r="D542" s="37"/>
      <c r="E542" s="58"/>
      <c r="F542" s="78"/>
      <c r="G542" s="78"/>
      <c r="H542" s="46"/>
      <c r="J542" s="103"/>
      <c r="K542" s="103"/>
      <c r="L542" s="104"/>
      <c r="M542" s="104"/>
      <c r="N542" s="88"/>
      <c r="O542" s="105"/>
      <c r="AA542" s="49"/>
      <c r="AB542" s="50"/>
      <c r="AC542" s="51"/>
      <c r="AD542" s="51"/>
      <c r="AE542" s="1"/>
      <c r="AF542" s="51"/>
    </row>
    <row r="543" spans="2:32" x14ac:dyDescent="0.3">
      <c r="B543" s="46"/>
      <c r="D543" s="37"/>
      <c r="E543" s="58"/>
      <c r="F543" s="78"/>
      <c r="G543" s="78"/>
      <c r="H543" s="46"/>
      <c r="J543" s="103"/>
      <c r="K543" s="103"/>
      <c r="L543" s="104"/>
      <c r="M543" s="104"/>
      <c r="N543" s="88"/>
      <c r="O543" s="105"/>
      <c r="AA543" s="49"/>
      <c r="AB543" s="50"/>
      <c r="AC543" s="51"/>
      <c r="AD543" s="51"/>
      <c r="AE543" s="1"/>
      <c r="AF543" s="51"/>
    </row>
    <row r="544" spans="2:32" x14ac:dyDescent="0.3">
      <c r="B544" s="46"/>
      <c r="D544" s="37"/>
      <c r="E544" s="58"/>
      <c r="F544" s="78"/>
      <c r="G544" s="78"/>
      <c r="H544" s="46"/>
      <c r="J544" s="103"/>
      <c r="K544" s="103"/>
      <c r="L544" s="104"/>
      <c r="M544" s="104"/>
      <c r="N544" s="88"/>
      <c r="O544" s="105"/>
      <c r="AA544" s="49"/>
      <c r="AB544" s="50"/>
      <c r="AC544" s="51"/>
      <c r="AD544" s="51"/>
      <c r="AE544" s="1"/>
      <c r="AF544" s="51"/>
    </row>
    <row r="545" spans="2:32" x14ac:dyDescent="0.3">
      <c r="B545" s="46"/>
      <c r="D545" s="37"/>
      <c r="E545" s="58"/>
      <c r="F545" s="78"/>
      <c r="G545" s="78"/>
      <c r="H545" s="46"/>
      <c r="J545" s="103"/>
      <c r="K545" s="103"/>
      <c r="L545" s="104"/>
      <c r="M545" s="104"/>
      <c r="N545" s="88"/>
      <c r="O545" s="105"/>
      <c r="AA545" s="49"/>
      <c r="AB545" s="50"/>
      <c r="AC545" s="51"/>
      <c r="AD545" s="51"/>
      <c r="AE545" s="1"/>
      <c r="AF545" s="51"/>
    </row>
    <row r="546" spans="2:32" x14ac:dyDescent="0.3">
      <c r="B546" s="46"/>
      <c r="D546" s="37"/>
      <c r="E546" s="58"/>
      <c r="F546" s="78"/>
      <c r="G546" s="78"/>
      <c r="H546" s="46"/>
      <c r="J546" s="103"/>
      <c r="K546" s="103"/>
      <c r="L546" s="104"/>
      <c r="M546" s="104"/>
      <c r="N546" s="88"/>
      <c r="O546" s="105"/>
      <c r="AA546" s="49"/>
      <c r="AB546" s="50"/>
      <c r="AC546" s="51"/>
      <c r="AD546" s="51"/>
      <c r="AE546" s="1"/>
      <c r="AF546" s="51"/>
    </row>
    <row r="547" spans="2:32" x14ac:dyDescent="0.3">
      <c r="B547" s="46"/>
      <c r="D547" s="37"/>
      <c r="E547" s="58"/>
      <c r="F547" s="78"/>
      <c r="G547" s="78"/>
      <c r="H547" s="46"/>
      <c r="J547" s="103"/>
      <c r="K547" s="103"/>
      <c r="L547" s="104"/>
      <c r="M547" s="104"/>
      <c r="N547" s="88"/>
      <c r="O547" s="105"/>
      <c r="AA547" s="49"/>
      <c r="AB547" s="50"/>
      <c r="AC547" s="51"/>
      <c r="AD547" s="51"/>
      <c r="AE547" s="1"/>
      <c r="AF547" s="51"/>
    </row>
    <row r="548" spans="2:32" x14ac:dyDescent="0.3">
      <c r="B548" s="46"/>
      <c r="D548" s="37"/>
      <c r="E548" s="58"/>
      <c r="F548" s="78"/>
      <c r="G548" s="78"/>
      <c r="H548" s="46"/>
      <c r="J548" s="103"/>
      <c r="K548" s="103"/>
      <c r="L548" s="104"/>
      <c r="M548" s="104"/>
      <c r="N548" s="88"/>
      <c r="O548" s="105"/>
      <c r="AA548" s="49"/>
      <c r="AB548" s="50"/>
      <c r="AC548" s="51"/>
      <c r="AD548" s="51"/>
      <c r="AE548" s="1"/>
      <c r="AF548" s="51"/>
    </row>
    <row r="549" spans="2:32" x14ac:dyDescent="0.3">
      <c r="B549" s="46"/>
      <c r="D549" s="37"/>
      <c r="E549" s="58"/>
      <c r="F549" s="78"/>
      <c r="G549" s="78"/>
      <c r="H549" s="46"/>
      <c r="J549" s="103"/>
      <c r="K549" s="103"/>
      <c r="L549" s="104"/>
      <c r="M549" s="104"/>
      <c r="N549" s="88"/>
      <c r="O549" s="105"/>
      <c r="AA549" s="49"/>
      <c r="AB549" s="50"/>
      <c r="AC549" s="51"/>
      <c r="AD549" s="51"/>
      <c r="AE549" s="1"/>
      <c r="AF549" s="51"/>
    </row>
    <row r="550" spans="2:32" x14ac:dyDescent="0.3">
      <c r="B550" s="46"/>
      <c r="D550" s="37"/>
      <c r="E550" s="58"/>
      <c r="F550" s="78"/>
      <c r="G550" s="78"/>
      <c r="H550" s="46"/>
      <c r="J550" s="103"/>
      <c r="K550" s="103"/>
      <c r="L550" s="104"/>
      <c r="M550" s="104"/>
      <c r="N550" s="88"/>
      <c r="O550" s="105"/>
      <c r="AA550" s="49"/>
      <c r="AB550" s="50"/>
      <c r="AC550" s="51"/>
      <c r="AD550" s="51"/>
      <c r="AE550" s="1"/>
      <c r="AF550" s="51"/>
    </row>
    <row r="551" spans="2:32" x14ac:dyDescent="0.3">
      <c r="B551" s="46"/>
      <c r="D551" s="37"/>
      <c r="E551" s="58"/>
      <c r="F551" s="78"/>
      <c r="G551" s="78"/>
      <c r="H551" s="46"/>
      <c r="J551" s="103"/>
      <c r="K551" s="103"/>
      <c r="L551" s="104"/>
      <c r="M551" s="104"/>
      <c r="N551" s="88"/>
      <c r="O551" s="105"/>
      <c r="AA551" s="49"/>
      <c r="AB551" s="50"/>
      <c r="AC551" s="51"/>
      <c r="AD551" s="51"/>
      <c r="AE551" s="1"/>
      <c r="AF551" s="51"/>
    </row>
    <row r="552" spans="2:32" x14ac:dyDescent="0.3">
      <c r="B552" s="46"/>
      <c r="D552" s="37"/>
      <c r="E552" s="58"/>
      <c r="F552" s="78"/>
      <c r="G552" s="78"/>
      <c r="H552" s="46"/>
      <c r="J552" s="103"/>
      <c r="K552" s="103"/>
      <c r="L552" s="104"/>
      <c r="M552" s="104"/>
      <c r="N552" s="88"/>
      <c r="O552" s="105"/>
      <c r="AA552" s="49"/>
      <c r="AB552" s="50"/>
      <c r="AC552" s="51"/>
      <c r="AD552" s="51"/>
      <c r="AE552" s="1"/>
      <c r="AF552" s="51"/>
    </row>
    <row r="553" spans="2:32" x14ac:dyDescent="0.3">
      <c r="B553" s="46"/>
      <c r="D553" s="37"/>
      <c r="E553" s="58"/>
      <c r="F553" s="78"/>
      <c r="G553" s="78"/>
      <c r="H553" s="46"/>
      <c r="J553" s="103"/>
      <c r="K553" s="103"/>
      <c r="L553" s="104"/>
      <c r="M553" s="104"/>
      <c r="N553" s="88"/>
      <c r="O553" s="105"/>
      <c r="AA553" s="49"/>
      <c r="AB553" s="50"/>
      <c r="AC553" s="51"/>
      <c r="AD553" s="51"/>
      <c r="AE553" s="1"/>
      <c r="AF553" s="51"/>
    </row>
    <row r="554" spans="2:32" x14ac:dyDescent="0.3">
      <c r="B554" s="46"/>
      <c r="D554" s="37"/>
      <c r="E554" s="58"/>
      <c r="F554" s="78"/>
      <c r="G554" s="78"/>
      <c r="H554" s="46"/>
      <c r="J554" s="103"/>
      <c r="K554" s="103"/>
      <c r="L554" s="104"/>
      <c r="M554" s="104"/>
      <c r="N554" s="88"/>
      <c r="O554" s="105"/>
      <c r="AA554" s="49"/>
      <c r="AB554" s="50"/>
      <c r="AC554" s="51"/>
      <c r="AD554" s="51"/>
      <c r="AE554" s="1"/>
      <c r="AF554" s="51"/>
    </row>
    <row r="555" spans="2:32" x14ac:dyDescent="0.3">
      <c r="B555" s="46"/>
      <c r="D555" s="37"/>
      <c r="E555" s="58"/>
      <c r="F555" s="78"/>
      <c r="G555" s="78"/>
      <c r="H555" s="46"/>
      <c r="J555" s="103"/>
      <c r="K555" s="103"/>
      <c r="L555" s="104"/>
      <c r="M555" s="104"/>
      <c r="N555" s="88"/>
      <c r="O555" s="105"/>
      <c r="AA555" s="49"/>
      <c r="AB555" s="50"/>
      <c r="AC555" s="51"/>
      <c r="AD555" s="51"/>
      <c r="AE555" s="1"/>
      <c r="AF555" s="51"/>
    </row>
    <row r="556" spans="2:32" x14ac:dyDescent="0.3">
      <c r="B556" s="46"/>
      <c r="D556" s="37"/>
      <c r="E556" s="58"/>
      <c r="F556" s="78"/>
      <c r="G556" s="78"/>
      <c r="H556" s="46"/>
      <c r="J556" s="103"/>
      <c r="K556" s="103"/>
      <c r="L556" s="104"/>
      <c r="M556" s="104"/>
      <c r="N556" s="88"/>
      <c r="O556" s="105"/>
      <c r="AA556" s="49"/>
      <c r="AB556" s="50"/>
      <c r="AC556" s="51"/>
      <c r="AD556" s="51"/>
      <c r="AE556" s="1"/>
      <c r="AF556" s="51"/>
    </row>
    <row r="557" spans="2:32" x14ac:dyDescent="0.3">
      <c r="B557" s="46"/>
      <c r="D557" s="37"/>
      <c r="E557" s="58"/>
      <c r="F557" s="78"/>
      <c r="G557" s="78"/>
      <c r="H557" s="46"/>
      <c r="J557" s="103"/>
      <c r="K557" s="103"/>
      <c r="L557" s="104"/>
      <c r="M557" s="104"/>
      <c r="N557" s="88"/>
      <c r="O557" s="105"/>
      <c r="AA557" s="49"/>
      <c r="AB557" s="50"/>
      <c r="AC557" s="51"/>
      <c r="AD557" s="51"/>
      <c r="AE557" s="1"/>
      <c r="AF557" s="51"/>
    </row>
    <row r="558" spans="2:32" x14ac:dyDescent="0.3">
      <c r="B558" s="46"/>
      <c r="D558" s="37"/>
      <c r="E558" s="58"/>
      <c r="F558" s="78"/>
      <c r="G558" s="78"/>
      <c r="H558" s="46"/>
      <c r="J558" s="103"/>
      <c r="K558" s="103"/>
      <c r="L558" s="104"/>
      <c r="M558" s="104"/>
      <c r="N558" s="88"/>
      <c r="O558" s="105"/>
      <c r="AA558" s="49"/>
      <c r="AB558" s="50"/>
      <c r="AC558" s="51"/>
      <c r="AD558" s="51"/>
      <c r="AE558" s="1"/>
      <c r="AF558" s="51"/>
    </row>
    <row r="559" spans="2:32" x14ac:dyDescent="0.3">
      <c r="B559" s="46"/>
      <c r="D559" s="37"/>
      <c r="E559" s="58"/>
      <c r="F559" s="78"/>
      <c r="G559" s="78"/>
      <c r="H559" s="46"/>
      <c r="J559" s="103"/>
      <c r="K559" s="103"/>
      <c r="L559" s="104"/>
      <c r="M559" s="104"/>
      <c r="N559" s="88"/>
      <c r="O559" s="105"/>
      <c r="AA559" s="49"/>
      <c r="AB559" s="50"/>
      <c r="AC559" s="51"/>
      <c r="AD559" s="51"/>
      <c r="AE559" s="1"/>
      <c r="AF559" s="51"/>
    </row>
    <row r="560" spans="2:32" x14ac:dyDescent="0.3">
      <c r="B560" s="46"/>
      <c r="D560" s="37"/>
      <c r="E560" s="58"/>
      <c r="F560" s="78"/>
      <c r="G560" s="78"/>
      <c r="H560" s="46"/>
      <c r="J560" s="103"/>
      <c r="K560" s="103"/>
      <c r="L560" s="104"/>
      <c r="M560" s="104"/>
      <c r="N560" s="88"/>
      <c r="O560" s="105"/>
      <c r="AA560" s="49"/>
      <c r="AB560" s="50"/>
      <c r="AC560" s="51"/>
      <c r="AD560" s="51"/>
      <c r="AE560" s="1"/>
      <c r="AF560" s="51"/>
    </row>
    <row r="561" spans="2:32" x14ac:dyDescent="0.3">
      <c r="B561" s="46"/>
      <c r="D561" s="37"/>
      <c r="E561" s="58"/>
      <c r="F561" s="78"/>
      <c r="G561" s="78"/>
      <c r="H561" s="46"/>
      <c r="J561" s="103"/>
      <c r="K561" s="103"/>
      <c r="L561" s="104"/>
      <c r="M561" s="104"/>
      <c r="N561" s="88"/>
      <c r="O561" s="105"/>
      <c r="AA561" s="49"/>
      <c r="AB561" s="50"/>
      <c r="AC561" s="51"/>
      <c r="AD561" s="51"/>
      <c r="AE561" s="1"/>
      <c r="AF561" s="51"/>
    </row>
    <row r="562" spans="2:32" x14ac:dyDescent="0.3">
      <c r="B562" s="46"/>
      <c r="D562" s="37"/>
      <c r="E562" s="58"/>
      <c r="F562" s="78"/>
      <c r="G562" s="78"/>
      <c r="H562" s="46"/>
      <c r="J562" s="103"/>
      <c r="K562" s="103"/>
      <c r="L562" s="104"/>
      <c r="M562" s="104"/>
      <c r="N562" s="88"/>
      <c r="O562" s="105"/>
      <c r="AA562" s="49"/>
      <c r="AB562" s="50"/>
      <c r="AC562" s="51"/>
      <c r="AD562" s="51"/>
      <c r="AE562" s="1"/>
      <c r="AF562" s="51"/>
    </row>
    <row r="563" spans="2:32" x14ac:dyDescent="0.3">
      <c r="B563" s="46"/>
      <c r="D563" s="37"/>
      <c r="E563" s="58"/>
      <c r="F563" s="78"/>
      <c r="G563" s="78"/>
      <c r="H563" s="46"/>
      <c r="J563" s="103"/>
      <c r="K563" s="103"/>
      <c r="L563" s="104"/>
      <c r="M563" s="104"/>
      <c r="N563" s="88"/>
      <c r="O563" s="105"/>
      <c r="AA563" s="49"/>
      <c r="AB563" s="50"/>
      <c r="AC563" s="51"/>
      <c r="AD563" s="51"/>
      <c r="AE563" s="1"/>
      <c r="AF563" s="51"/>
    </row>
    <row r="564" spans="2:32" x14ac:dyDescent="0.3">
      <c r="B564" s="46"/>
      <c r="D564" s="37"/>
      <c r="E564" s="58"/>
      <c r="F564" s="78"/>
      <c r="G564" s="78"/>
      <c r="H564" s="46"/>
      <c r="J564" s="103"/>
      <c r="K564" s="103"/>
      <c r="L564" s="104"/>
      <c r="M564" s="104"/>
      <c r="N564" s="88"/>
      <c r="O564" s="105"/>
      <c r="AA564" s="49"/>
      <c r="AB564" s="50"/>
      <c r="AC564" s="51"/>
      <c r="AD564" s="51"/>
      <c r="AE564" s="1"/>
      <c r="AF564" s="51"/>
    </row>
    <row r="565" spans="2:32" x14ac:dyDescent="0.3">
      <c r="B565" s="46"/>
      <c r="D565" s="37"/>
      <c r="E565" s="58"/>
      <c r="F565" s="78"/>
      <c r="G565" s="78"/>
      <c r="H565" s="46"/>
      <c r="J565" s="103"/>
      <c r="K565" s="103"/>
      <c r="L565" s="104"/>
      <c r="M565" s="104"/>
      <c r="N565" s="88"/>
      <c r="O565" s="105"/>
      <c r="AA565" s="49"/>
      <c r="AB565" s="50"/>
      <c r="AC565" s="51"/>
      <c r="AD565" s="51"/>
      <c r="AE565" s="1"/>
      <c r="AF565" s="51"/>
    </row>
    <row r="566" spans="2:32" x14ac:dyDescent="0.3">
      <c r="B566" s="46"/>
      <c r="D566" s="37"/>
      <c r="E566" s="58"/>
      <c r="F566" s="78"/>
      <c r="G566" s="78"/>
      <c r="H566" s="46"/>
      <c r="J566" s="103"/>
      <c r="K566" s="103"/>
      <c r="L566" s="104"/>
      <c r="M566" s="104"/>
      <c r="N566" s="88"/>
      <c r="O566" s="105"/>
      <c r="AA566" s="49"/>
      <c r="AB566" s="50"/>
      <c r="AC566" s="51"/>
      <c r="AD566" s="51"/>
      <c r="AE566" s="1"/>
      <c r="AF566" s="51"/>
    </row>
    <row r="567" spans="2:32" x14ac:dyDescent="0.3">
      <c r="B567" s="46"/>
      <c r="D567" s="37"/>
      <c r="E567" s="58"/>
      <c r="F567" s="78"/>
      <c r="G567" s="78"/>
      <c r="H567" s="46"/>
      <c r="J567" s="103"/>
      <c r="K567" s="103"/>
      <c r="L567" s="104"/>
      <c r="M567" s="104"/>
      <c r="N567" s="88"/>
      <c r="O567" s="105"/>
      <c r="AA567" s="49"/>
      <c r="AB567" s="50"/>
      <c r="AC567" s="51"/>
      <c r="AD567" s="51"/>
      <c r="AE567" s="1"/>
      <c r="AF567" s="51"/>
    </row>
    <row r="568" spans="2:32" x14ac:dyDescent="0.3">
      <c r="B568" s="46"/>
      <c r="D568" s="37"/>
      <c r="E568" s="58"/>
      <c r="F568" s="78"/>
      <c r="G568" s="78"/>
      <c r="H568" s="46"/>
      <c r="J568" s="103"/>
      <c r="K568" s="103"/>
      <c r="L568" s="104"/>
      <c r="M568" s="104"/>
      <c r="N568" s="88"/>
      <c r="O568" s="105"/>
      <c r="AA568" s="49"/>
      <c r="AB568" s="50"/>
      <c r="AC568" s="51"/>
      <c r="AD568" s="51"/>
      <c r="AE568" s="1"/>
      <c r="AF568" s="51"/>
    </row>
    <row r="569" spans="2:32" x14ac:dyDescent="0.3">
      <c r="B569" s="46"/>
      <c r="D569" s="37"/>
      <c r="E569" s="58"/>
      <c r="F569" s="78"/>
      <c r="G569" s="78"/>
      <c r="H569" s="46"/>
      <c r="J569" s="103"/>
      <c r="K569" s="103"/>
      <c r="L569" s="104"/>
      <c r="M569" s="104"/>
      <c r="N569" s="88"/>
      <c r="O569" s="105"/>
      <c r="AA569" s="49"/>
      <c r="AB569" s="50"/>
      <c r="AC569" s="51"/>
      <c r="AD569" s="51"/>
      <c r="AE569" s="1"/>
      <c r="AF569" s="51"/>
    </row>
    <row r="570" spans="2:32" x14ac:dyDescent="0.3">
      <c r="B570" s="46"/>
      <c r="D570" s="37"/>
      <c r="E570" s="58"/>
      <c r="F570" s="78"/>
      <c r="G570" s="78"/>
      <c r="H570" s="46"/>
      <c r="J570" s="103"/>
      <c r="K570" s="103"/>
      <c r="L570" s="104"/>
      <c r="M570" s="104"/>
      <c r="N570" s="88"/>
      <c r="O570" s="105"/>
      <c r="AA570" s="49"/>
      <c r="AB570" s="50"/>
      <c r="AC570" s="51"/>
      <c r="AD570" s="51"/>
      <c r="AE570" s="1"/>
      <c r="AF570" s="51"/>
    </row>
    <row r="571" spans="2:32" x14ac:dyDescent="0.3">
      <c r="B571" s="46"/>
      <c r="D571" s="37"/>
      <c r="E571" s="58"/>
      <c r="F571" s="78"/>
      <c r="G571" s="78"/>
      <c r="H571" s="46"/>
      <c r="J571" s="103"/>
      <c r="K571" s="103"/>
      <c r="L571" s="104"/>
      <c r="M571" s="104"/>
      <c r="N571" s="88"/>
      <c r="O571" s="105"/>
      <c r="AA571" s="49"/>
      <c r="AB571" s="50"/>
      <c r="AC571" s="51"/>
      <c r="AD571" s="51"/>
      <c r="AE571" s="1"/>
      <c r="AF571" s="51"/>
    </row>
    <row r="572" spans="2:32" x14ac:dyDescent="0.3">
      <c r="B572" s="46"/>
      <c r="D572" s="37"/>
      <c r="E572" s="58"/>
      <c r="F572" s="78"/>
      <c r="G572" s="78"/>
      <c r="H572" s="46"/>
      <c r="J572" s="103"/>
      <c r="K572" s="103"/>
      <c r="L572" s="104"/>
      <c r="M572" s="104"/>
      <c r="N572" s="88"/>
      <c r="O572" s="105"/>
      <c r="AA572" s="49"/>
      <c r="AB572" s="50"/>
      <c r="AC572" s="51"/>
      <c r="AD572" s="51"/>
      <c r="AE572" s="1"/>
      <c r="AF572" s="51"/>
    </row>
    <row r="573" spans="2:32" x14ac:dyDescent="0.3">
      <c r="B573" s="46"/>
      <c r="D573" s="37"/>
      <c r="E573" s="58"/>
      <c r="F573" s="78"/>
      <c r="G573" s="78"/>
      <c r="H573" s="46"/>
      <c r="J573" s="103"/>
      <c r="K573" s="103"/>
      <c r="L573" s="104"/>
      <c r="M573" s="104"/>
      <c r="N573" s="88"/>
      <c r="O573" s="105"/>
      <c r="AA573" s="49"/>
      <c r="AB573" s="50"/>
      <c r="AC573" s="51"/>
      <c r="AD573" s="51"/>
      <c r="AE573" s="1"/>
      <c r="AF573" s="51"/>
    </row>
    <row r="574" spans="2:32" x14ac:dyDescent="0.3">
      <c r="B574" s="46"/>
      <c r="D574" s="37"/>
      <c r="E574" s="58"/>
      <c r="F574" s="78"/>
      <c r="G574" s="78"/>
      <c r="H574" s="46"/>
      <c r="J574" s="103"/>
      <c r="K574" s="103"/>
      <c r="L574" s="104"/>
      <c r="M574" s="104"/>
      <c r="N574" s="88"/>
      <c r="O574" s="105"/>
      <c r="AA574" s="49"/>
      <c r="AB574" s="50"/>
      <c r="AC574" s="51"/>
      <c r="AD574" s="51"/>
      <c r="AE574" s="1"/>
      <c r="AF574" s="51"/>
    </row>
    <row r="575" spans="2:32" x14ac:dyDescent="0.3">
      <c r="B575" s="46"/>
      <c r="D575" s="37"/>
      <c r="E575" s="58"/>
      <c r="F575" s="78"/>
      <c r="G575" s="78"/>
      <c r="H575" s="46"/>
      <c r="J575" s="103"/>
      <c r="K575" s="103"/>
      <c r="L575" s="104"/>
      <c r="M575" s="104"/>
      <c r="N575" s="88"/>
      <c r="O575" s="105"/>
      <c r="AA575" s="49"/>
      <c r="AB575" s="50"/>
      <c r="AC575" s="51"/>
      <c r="AD575" s="51"/>
      <c r="AE575" s="1"/>
      <c r="AF575" s="51"/>
    </row>
    <row r="576" spans="2:32" x14ac:dyDescent="0.3">
      <c r="B576" s="46"/>
      <c r="D576" s="37"/>
      <c r="E576" s="58"/>
      <c r="F576" s="78"/>
      <c r="G576" s="78"/>
      <c r="H576" s="46"/>
      <c r="J576" s="103"/>
      <c r="K576" s="103"/>
      <c r="L576" s="104"/>
      <c r="M576" s="104"/>
      <c r="N576" s="88"/>
      <c r="O576" s="105"/>
      <c r="AA576" s="49"/>
      <c r="AB576" s="50"/>
      <c r="AC576" s="51"/>
      <c r="AD576" s="51"/>
      <c r="AE576" s="1"/>
      <c r="AF576" s="51"/>
    </row>
    <row r="577" spans="2:32" x14ac:dyDescent="0.3">
      <c r="B577" s="46"/>
      <c r="D577" s="37"/>
      <c r="E577" s="58"/>
      <c r="F577" s="78"/>
      <c r="G577" s="78"/>
      <c r="H577" s="46"/>
      <c r="J577" s="103"/>
      <c r="K577" s="103"/>
      <c r="L577" s="104"/>
      <c r="M577" s="104"/>
      <c r="N577" s="88"/>
      <c r="O577" s="105"/>
      <c r="AA577" s="49"/>
      <c r="AB577" s="50"/>
      <c r="AC577" s="51"/>
      <c r="AD577" s="51"/>
      <c r="AE577" s="1"/>
      <c r="AF577" s="51"/>
    </row>
    <row r="578" spans="2:32" x14ac:dyDescent="0.3">
      <c r="B578" s="46"/>
      <c r="D578" s="37"/>
      <c r="E578" s="58"/>
      <c r="F578" s="78"/>
      <c r="G578" s="78"/>
      <c r="H578" s="46"/>
      <c r="J578" s="103"/>
      <c r="K578" s="103"/>
      <c r="L578" s="104"/>
      <c r="M578" s="104"/>
      <c r="N578" s="88"/>
      <c r="O578" s="105"/>
      <c r="AA578" s="49"/>
      <c r="AB578" s="50"/>
      <c r="AC578" s="51"/>
      <c r="AD578" s="51"/>
      <c r="AE578" s="1"/>
      <c r="AF578" s="51"/>
    </row>
    <row r="579" spans="2:32" x14ac:dyDescent="0.3">
      <c r="B579" s="46"/>
      <c r="D579" s="37"/>
      <c r="E579" s="58"/>
      <c r="F579" s="78"/>
      <c r="G579" s="78"/>
      <c r="H579" s="46"/>
      <c r="J579" s="103"/>
      <c r="K579" s="103"/>
      <c r="L579" s="104"/>
      <c r="M579" s="104"/>
      <c r="N579" s="88"/>
      <c r="O579" s="105"/>
      <c r="AA579" s="49"/>
      <c r="AB579" s="50"/>
      <c r="AC579" s="51"/>
      <c r="AD579" s="51"/>
      <c r="AE579" s="1"/>
      <c r="AF579" s="51"/>
    </row>
    <row r="580" spans="2:32" x14ac:dyDescent="0.3">
      <c r="B580" s="46"/>
      <c r="D580" s="37"/>
      <c r="E580" s="58"/>
      <c r="F580" s="78"/>
      <c r="G580" s="78"/>
      <c r="H580" s="46"/>
      <c r="J580" s="103"/>
      <c r="K580" s="103"/>
      <c r="L580" s="104"/>
      <c r="M580" s="104"/>
      <c r="N580" s="88"/>
      <c r="O580" s="105"/>
      <c r="AA580" s="49"/>
      <c r="AB580" s="50"/>
      <c r="AC580" s="51"/>
      <c r="AD580" s="51"/>
      <c r="AE580" s="1"/>
      <c r="AF580" s="51"/>
    </row>
    <row r="581" spans="2:32" x14ac:dyDescent="0.3">
      <c r="B581" s="46"/>
      <c r="D581" s="37"/>
      <c r="E581" s="58"/>
      <c r="F581" s="78"/>
      <c r="G581" s="78"/>
      <c r="H581" s="46"/>
      <c r="J581" s="103"/>
      <c r="K581" s="103"/>
      <c r="L581" s="104"/>
      <c r="M581" s="104"/>
      <c r="N581" s="88"/>
      <c r="O581" s="105"/>
      <c r="AA581" s="49"/>
      <c r="AB581" s="50"/>
      <c r="AC581" s="51"/>
      <c r="AD581" s="51"/>
      <c r="AE581" s="1"/>
      <c r="AF581" s="51"/>
    </row>
    <row r="582" spans="2:32" x14ac:dyDescent="0.3">
      <c r="B582" s="46"/>
      <c r="D582" s="37"/>
      <c r="E582" s="58"/>
      <c r="F582" s="78"/>
      <c r="G582" s="78"/>
      <c r="H582" s="46"/>
      <c r="J582" s="103"/>
      <c r="K582" s="103"/>
      <c r="L582" s="104"/>
      <c r="M582" s="104"/>
      <c r="N582" s="88"/>
      <c r="O582" s="105"/>
      <c r="AA582" s="49"/>
      <c r="AB582" s="50"/>
      <c r="AC582" s="51"/>
      <c r="AD582" s="51"/>
      <c r="AE582" s="1"/>
      <c r="AF582" s="51"/>
    </row>
    <row r="583" spans="2:32" x14ac:dyDescent="0.3">
      <c r="B583" s="46"/>
      <c r="D583" s="37"/>
      <c r="E583" s="58"/>
      <c r="F583" s="78"/>
      <c r="G583" s="78"/>
      <c r="H583" s="46"/>
      <c r="J583" s="103"/>
      <c r="K583" s="103"/>
      <c r="L583" s="104"/>
      <c r="M583" s="104"/>
      <c r="N583" s="88"/>
      <c r="O583" s="105"/>
      <c r="AA583" s="49"/>
      <c r="AB583" s="50"/>
      <c r="AC583" s="51"/>
      <c r="AD583" s="51"/>
      <c r="AE583" s="1"/>
      <c r="AF583" s="51"/>
    </row>
    <row r="584" spans="2:32" x14ac:dyDescent="0.3">
      <c r="B584" s="46"/>
      <c r="D584" s="37"/>
      <c r="E584" s="37"/>
      <c r="F584" s="78"/>
      <c r="G584" s="78"/>
      <c r="H584" s="46"/>
      <c r="J584" s="103"/>
      <c r="K584" s="103"/>
      <c r="L584" s="104"/>
      <c r="M584" s="104"/>
      <c r="N584" s="88"/>
      <c r="O584" s="105"/>
      <c r="AA584" s="49"/>
      <c r="AB584" s="50"/>
      <c r="AC584" s="51"/>
      <c r="AD584" s="51"/>
      <c r="AE584" s="1"/>
      <c r="AF584" s="51"/>
    </row>
    <row r="585" spans="2:32" x14ac:dyDescent="0.3">
      <c r="B585" s="46"/>
      <c r="D585" s="37"/>
      <c r="E585" s="37"/>
      <c r="F585" s="78"/>
      <c r="G585" s="78"/>
      <c r="H585" s="46"/>
      <c r="J585" s="103"/>
      <c r="K585" s="103"/>
      <c r="L585" s="104"/>
      <c r="M585" s="104"/>
      <c r="N585" s="88"/>
      <c r="O585" s="105"/>
      <c r="AA585" s="49"/>
      <c r="AB585" s="50"/>
      <c r="AC585" s="51"/>
      <c r="AD585" s="51"/>
      <c r="AE585" s="1"/>
      <c r="AF585" s="51"/>
    </row>
    <row r="586" spans="2:32" x14ac:dyDescent="0.3">
      <c r="B586" s="46"/>
      <c r="D586" s="37"/>
      <c r="E586" s="37"/>
      <c r="F586" s="78"/>
      <c r="G586" s="78"/>
      <c r="H586" s="46"/>
      <c r="J586" s="103"/>
      <c r="K586" s="103"/>
      <c r="L586" s="104"/>
      <c r="M586" s="104"/>
      <c r="N586" s="88"/>
      <c r="O586" s="105"/>
      <c r="AA586" s="49"/>
      <c r="AB586" s="50"/>
      <c r="AC586" s="51"/>
      <c r="AD586" s="51"/>
      <c r="AE586" s="1"/>
      <c r="AF586" s="51"/>
    </row>
    <row r="587" spans="2:32" x14ac:dyDescent="0.3">
      <c r="B587" s="46"/>
      <c r="D587" s="37"/>
      <c r="E587" s="37"/>
      <c r="F587" s="78"/>
      <c r="G587" s="78"/>
      <c r="H587" s="46"/>
      <c r="J587" s="103"/>
      <c r="K587" s="103"/>
      <c r="L587" s="104"/>
      <c r="M587" s="104"/>
      <c r="N587" s="88"/>
      <c r="O587" s="105"/>
      <c r="AA587" s="49"/>
      <c r="AB587" s="50"/>
      <c r="AC587" s="51"/>
      <c r="AD587" s="51"/>
      <c r="AE587" s="1"/>
      <c r="AF587" s="51"/>
    </row>
    <row r="588" spans="2:32" x14ac:dyDescent="0.3">
      <c r="B588" s="46"/>
      <c r="D588" s="37"/>
      <c r="E588" s="37"/>
      <c r="F588" s="78"/>
      <c r="G588" s="78"/>
      <c r="H588" s="46"/>
      <c r="J588" s="103"/>
      <c r="K588" s="103"/>
      <c r="L588" s="104"/>
      <c r="M588" s="104"/>
      <c r="N588" s="88"/>
      <c r="O588" s="105"/>
      <c r="AA588" s="49"/>
      <c r="AB588" s="50"/>
      <c r="AC588" s="51"/>
      <c r="AD588" s="51"/>
      <c r="AE588" s="1"/>
      <c r="AF588" s="51"/>
    </row>
    <row r="589" spans="2:32" x14ac:dyDescent="0.3">
      <c r="B589" s="46"/>
      <c r="D589" s="37"/>
      <c r="E589" s="37"/>
      <c r="F589" s="78"/>
      <c r="G589" s="78"/>
      <c r="H589" s="46"/>
      <c r="J589" s="103"/>
      <c r="K589" s="103"/>
      <c r="L589" s="104"/>
      <c r="M589" s="104"/>
      <c r="N589" s="88"/>
      <c r="O589" s="105"/>
      <c r="AA589" s="49"/>
      <c r="AB589" s="50"/>
      <c r="AC589" s="51"/>
      <c r="AD589" s="51"/>
      <c r="AE589" s="1"/>
      <c r="AF589" s="51"/>
    </row>
    <row r="590" spans="2:32" x14ac:dyDescent="0.3">
      <c r="B590" s="46"/>
      <c r="D590" s="37"/>
      <c r="E590" s="37"/>
      <c r="F590" s="78"/>
      <c r="G590" s="78"/>
      <c r="H590" s="46"/>
      <c r="J590" s="103"/>
      <c r="K590" s="103"/>
      <c r="L590" s="104"/>
      <c r="M590" s="104"/>
      <c r="N590" s="88"/>
      <c r="O590" s="105"/>
      <c r="AA590" s="49"/>
      <c r="AB590" s="50"/>
      <c r="AC590" s="51"/>
      <c r="AD590" s="51"/>
      <c r="AE590" s="1"/>
      <c r="AF590" s="51"/>
    </row>
    <row r="591" spans="2:32" x14ac:dyDescent="0.3">
      <c r="B591" s="46"/>
      <c r="D591" s="37"/>
      <c r="E591" s="37"/>
      <c r="F591" s="78"/>
      <c r="G591" s="78"/>
      <c r="H591" s="46"/>
      <c r="J591" s="103"/>
      <c r="K591" s="103"/>
      <c r="L591" s="104"/>
      <c r="M591" s="104"/>
      <c r="N591" s="88"/>
      <c r="O591" s="105"/>
      <c r="AA591" s="49"/>
      <c r="AB591" s="50"/>
      <c r="AC591" s="51"/>
      <c r="AD591" s="51"/>
      <c r="AE591" s="1"/>
      <c r="AF591" s="51"/>
    </row>
    <row r="592" spans="2:32" x14ac:dyDescent="0.3">
      <c r="B592" s="46"/>
      <c r="D592" s="37"/>
      <c r="E592" s="37"/>
      <c r="F592" s="78"/>
      <c r="G592" s="78"/>
      <c r="H592" s="46"/>
      <c r="J592" s="103"/>
      <c r="K592" s="103"/>
      <c r="L592" s="104"/>
      <c r="M592" s="104"/>
      <c r="N592" s="88"/>
      <c r="O592" s="105"/>
      <c r="AA592" s="49"/>
      <c r="AB592" s="50"/>
      <c r="AC592" s="51"/>
      <c r="AD592" s="51"/>
      <c r="AE592" s="1"/>
      <c r="AF592" s="51"/>
    </row>
    <row r="593" spans="2:32" x14ac:dyDescent="0.3">
      <c r="B593" s="46"/>
      <c r="D593" s="37"/>
      <c r="E593" s="37"/>
      <c r="F593" s="78"/>
      <c r="G593" s="78"/>
      <c r="H593" s="46"/>
      <c r="J593" s="103"/>
      <c r="K593" s="103"/>
      <c r="L593" s="104"/>
      <c r="M593" s="104"/>
      <c r="N593" s="88"/>
      <c r="O593" s="105"/>
      <c r="AA593" s="49"/>
      <c r="AB593" s="50"/>
      <c r="AC593" s="51"/>
      <c r="AD593" s="51"/>
      <c r="AE593" s="1"/>
      <c r="AF593" s="51"/>
    </row>
    <row r="594" spans="2:32" x14ac:dyDescent="0.3">
      <c r="B594" s="46"/>
      <c r="D594" s="37"/>
      <c r="E594" s="37"/>
      <c r="F594" s="78"/>
      <c r="G594" s="78"/>
      <c r="H594" s="46"/>
      <c r="J594" s="103"/>
      <c r="K594" s="103"/>
      <c r="L594" s="104"/>
      <c r="M594" s="104"/>
      <c r="N594" s="88"/>
      <c r="O594" s="105"/>
      <c r="AA594" s="49"/>
      <c r="AB594" s="50"/>
      <c r="AC594" s="51"/>
      <c r="AD594" s="51"/>
      <c r="AE594" s="1"/>
      <c r="AF594" s="51"/>
    </row>
    <row r="595" spans="2:32" x14ac:dyDescent="0.3">
      <c r="B595" s="46"/>
      <c r="D595" s="37"/>
      <c r="E595" s="37"/>
      <c r="F595" s="78"/>
      <c r="G595" s="78"/>
      <c r="H595" s="46"/>
      <c r="J595" s="103"/>
      <c r="K595" s="103"/>
      <c r="L595" s="104"/>
      <c r="M595" s="104"/>
      <c r="N595" s="88"/>
      <c r="O595" s="105"/>
      <c r="AA595" s="51"/>
      <c r="AB595" s="50"/>
      <c r="AC595" s="51"/>
      <c r="AD595" s="51"/>
      <c r="AE595" s="1"/>
      <c r="AF595" s="51"/>
    </row>
    <row r="596" spans="2:32" x14ac:dyDescent="0.3">
      <c r="B596" s="46"/>
      <c r="D596" s="37"/>
      <c r="E596" s="37"/>
      <c r="F596" s="78"/>
      <c r="G596" s="78"/>
      <c r="H596" s="46"/>
      <c r="J596" s="103"/>
      <c r="K596" s="103"/>
      <c r="L596" s="104"/>
      <c r="M596" s="104"/>
      <c r="N596" s="88"/>
      <c r="O596" s="105"/>
      <c r="AA596" s="51"/>
      <c r="AB596" s="50"/>
      <c r="AC596" s="51"/>
      <c r="AD596" s="51"/>
      <c r="AE596" s="1"/>
      <c r="AF596" s="51"/>
    </row>
    <row r="597" spans="2:32" x14ac:dyDescent="0.3">
      <c r="B597" s="46"/>
      <c r="D597" s="37"/>
      <c r="E597" s="37"/>
      <c r="F597" s="78"/>
      <c r="G597" s="78"/>
      <c r="H597" s="46"/>
      <c r="J597" s="103"/>
      <c r="K597" s="103"/>
      <c r="L597" s="104"/>
      <c r="M597" s="104"/>
      <c r="N597" s="88"/>
      <c r="O597" s="105"/>
      <c r="AA597" s="51"/>
      <c r="AB597" s="50"/>
      <c r="AC597" s="51"/>
      <c r="AD597" s="51"/>
      <c r="AE597" s="1"/>
      <c r="AF597" s="51"/>
    </row>
    <row r="598" spans="2:32" x14ac:dyDescent="0.3">
      <c r="B598" s="46"/>
      <c r="D598" s="37"/>
      <c r="E598" s="37"/>
      <c r="F598" s="78"/>
      <c r="G598" s="78"/>
      <c r="H598" s="46"/>
      <c r="J598" s="103"/>
      <c r="K598" s="103"/>
      <c r="L598" s="104"/>
      <c r="M598" s="104"/>
      <c r="N598" s="88"/>
      <c r="O598" s="105"/>
      <c r="AA598" s="51"/>
      <c r="AB598" s="50"/>
      <c r="AC598" s="51"/>
      <c r="AD598" s="51"/>
      <c r="AE598" s="1"/>
      <c r="AF598" s="51"/>
    </row>
    <row r="599" spans="2:32" x14ac:dyDescent="0.3">
      <c r="B599" s="46"/>
      <c r="D599" s="37"/>
      <c r="E599" s="37"/>
      <c r="F599" s="78"/>
      <c r="G599" s="78"/>
      <c r="H599" s="46"/>
      <c r="J599" s="103"/>
      <c r="K599" s="103"/>
      <c r="L599" s="104"/>
      <c r="M599" s="104"/>
      <c r="N599" s="88"/>
      <c r="O599" s="105"/>
      <c r="AA599" s="51"/>
      <c r="AB599" s="50"/>
      <c r="AC599" s="51"/>
      <c r="AD599" s="51"/>
      <c r="AE599" s="1"/>
      <c r="AF599" s="51"/>
    </row>
    <row r="600" spans="2:32" x14ac:dyDescent="0.3">
      <c r="B600" s="46"/>
      <c r="D600" s="37"/>
      <c r="E600" s="37"/>
      <c r="F600" s="78"/>
      <c r="G600" s="78"/>
      <c r="H600" s="46"/>
      <c r="J600" s="103"/>
      <c r="K600" s="103"/>
      <c r="L600" s="104"/>
      <c r="M600" s="104"/>
      <c r="N600" s="88"/>
      <c r="O600" s="105"/>
      <c r="AA600" s="51"/>
      <c r="AB600" s="50"/>
      <c r="AC600" s="51"/>
      <c r="AD600" s="51"/>
      <c r="AE600" s="1"/>
      <c r="AF600" s="51"/>
    </row>
    <row r="601" spans="2:32" x14ac:dyDescent="0.3">
      <c r="B601" s="46"/>
      <c r="D601" s="37"/>
      <c r="E601" s="37"/>
      <c r="F601" s="78"/>
      <c r="G601" s="78"/>
      <c r="H601" s="46"/>
      <c r="J601" s="103"/>
      <c r="K601" s="103"/>
      <c r="L601" s="104"/>
      <c r="M601" s="104"/>
      <c r="N601" s="88"/>
      <c r="O601" s="105"/>
      <c r="AA601" s="51"/>
      <c r="AB601" s="50"/>
      <c r="AC601" s="51"/>
      <c r="AD601" s="51"/>
      <c r="AE601" s="1"/>
      <c r="AF601" s="51"/>
    </row>
    <row r="602" spans="2:32" x14ac:dyDescent="0.3">
      <c r="B602" s="46"/>
      <c r="D602" s="37"/>
      <c r="E602" s="37"/>
      <c r="F602" s="78"/>
      <c r="G602" s="78"/>
      <c r="H602" s="46"/>
      <c r="J602" s="103"/>
      <c r="K602" s="103"/>
      <c r="L602" s="104"/>
      <c r="M602" s="104"/>
      <c r="N602" s="88"/>
      <c r="O602" s="105"/>
      <c r="AA602" s="51"/>
      <c r="AB602" s="50"/>
      <c r="AC602" s="51"/>
      <c r="AD602" s="51"/>
      <c r="AE602" s="1"/>
      <c r="AF602" s="51"/>
    </row>
    <row r="603" spans="2:32" x14ac:dyDescent="0.3">
      <c r="B603" s="46"/>
      <c r="D603" s="37"/>
      <c r="E603" s="37"/>
      <c r="F603" s="78"/>
      <c r="G603" s="78"/>
      <c r="H603" s="46"/>
      <c r="J603" s="103"/>
      <c r="K603" s="103"/>
      <c r="L603" s="104"/>
      <c r="M603" s="104"/>
      <c r="N603" s="88"/>
      <c r="O603" s="105"/>
      <c r="AA603" s="51"/>
      <c r="AB603" s="50"/>
      <c r="AC603" s="51"/>
      <c r="AD603" s="51"/>
      <c r="AE603" s="1"/>
      <c r="AF603" s="51"/>
    </row>
    <row r="604" spans="2:32" x14ac:dyDescent="0.3">
      <c r="B604" s="46"/>
      <c r="D604" s="37"/>
      <c r="E604" s="37"/>
      <c r="F604" s="78"/>
      <c r="G604" s="78"/>
      <c r="H604" s="46"/>
      <c r="J604" s="103"/>
      <c r="K604" s="103"/>
      <c r="L604" s="104"/>
      <c r="M604" s="104"/>
      <c r="N604" s="88"/>
      <c r="O604" s="105"/>
      <c r="AA604" s="51"/>
      <c r="AB604" s="50"/>
      <c r="AC604" s="51"/>
      <c r="AD604" s="51"/>
      <c r="AE604" s="1"/>
      <c r="AF604" s="51"/>
    </row>
    <row r="605" spans="2:32" x14ac:dyDescent="0.3">
      <c r="B605" s="46"/>
      <c r="D605" s="37"/>
      <c r="E605" s="37"/>
      <c r="F605" s="78"/>
      <c r="G605" s="78"/>
      <c r="H605" s="46"/>
      <c r="J605" s="103"/>
      <c r="K605" s="103"/>
      <c r="L605" s="104"/>
      <c r="M605" s="104"/>
      <c r="N605" s="88"/>
      <c r="O605" s="105"/>
      <c r="AA605" s="51"/>
      <c r="AB605" s="50"/>
      <c r="AC605" s="51"/>
      <c r="AD605" s="51"/>
      <c r="AE605" s="1"/>
      <c r="AF605" s="51"/>
    </row>
    <row r="606" spans="2:32" x14ac:dyDescent="0.3">
      <c r="B606" s="46"/>
      <c r="D606" s="37"/>
      <c r="E606" s="37"/>
      <c r="F606" s="78"/>
      <c r="G606" s="78"/>
      <c r="H606" s="46"/>
      <c r="J606" s="103"/>
      <c r="K606" s="103"/>
      <c r="L606" s="104"/>
      <c r="M606" s="104"/>
      <c r="N606" s="88"/>
      <c r="O606" s="105"/>
      <c r="AA606" s="51"/>
      <c r="AB606" s="50"/>
      <c r="AC606" s="51"/>
      <c r="AD606" s="51"/>
      <c r="AE606" s="1"/>
      <c r="AF606" s="51"/>
    </row>
    <row r="607" spans="2:32" x14ac:dyDescent="0.3">
      <c r="B607" s="46"/>
      <c r="D607" s="37"/>
      <c r="E607" s="37"/>
      <c r="F607" s="78"/>
      <c r="G607" s="78"/>
      <c r="H607" s="46"/>
      <c r="J607" s="103"/>
      <c r="K607" s="103"/>
      <c r="L607" s="104"/>
      <c r="M607" s="104"/>
      <c r="N607" s="88"/>
      <c r="O607" s="105"/>
      <c r="AA607" s="51"/>
      <c r="AB607" s="50"/>
      <c r="AC607" s="51"/>
      <c r="AD607" s="51"/>
      <c r="AE607" s="1"/>
      <c r="AF607" s="51"/>
    </row>
    <row r="608" spans="2:32" x14ac:dyDescent="0.3">
      <c r="B608" s="46"/>
      <c r="D608" s="37"/>
      <c r="E608" s="37"/>
      <c r="F608" s="78"/>
      <c r="G608" s="78"/>
      <c r="H608" s="46"/>
      <c r="J608" s="103"/>
      <c r="K608" s="103"/>
      <c r="L608" s="104"/>
      <c r="M608" s="104"/>
      <c r="N608" s="88"/>
      <c r="O608" s="105"/>
      <c r="AA608" s="51"/>
      <c r="AB608" s="50"/>
      <c r="AC608" s="51"/>
      <c r="AD608" s="51"/>
      <c r="AE608" s="1"/>
      <c r="AF608" s="51"/>
    </row>
    <row r="609" spans="2:32" x14ac:dyDescent="0.3">
      <c r="B609" s="46"/>
      <c r="D609" s="37"/>
      <c r="E609" s="37"/>
      <c r="F609" s="78"/>
      <c r="G609" s="78"/>
      <c r="H609" s="46"/>
      <c r="J609" s="103"/>
      <c r="K609" s="103"/>
      <c r="L609" s="104"/>
      <c r="M609" s="104"/>
      <c r="N609" s="88"/>
      <c r="O609" s="105"/>
      <c r="AA609" s="51"/>
      <c r="AB609" s="50"/>
      <c r="AC609" s="51"/>
      <c r="AD609" s="51"/>
      <c r="AE609" s="1"/>
      <c r="AF609" s="51"/>
    </row>
    <row r="610" spans="2:32" x14ac:dyDescent="0.3">
      <c r="B610" s="46"/>
      <c r="D610" s="37"/>
      <c r="E610" s="37"/>
      <c r="F610" s="78"/>
      <c r="G610" s="78"/>
      <c r="H610" s="46"/>
      <c r="J610" s="103"/>
      <c r="K610" s="103"/>
      <c r="L610" s="104"/>
      <c r="M610" s="104"/>
      <c r="N610" s="88"/>
      <c r="O610" s="105"/>
      <c r="AA610" s="51"/>
      <c r="AB610" s="50"/>
      <c r="AC610" s="51"/>
      <c r="AD610" s="51"/>
      <c r="AE610" s="1"/>
      <c r="AF610" s="51"/>
    </row>
    <row r="611" spans="2:32" x14ac:dyDescent="0.3">
      <c r="B611" s="46"/>
      <c r="D611" s="37"/>
      <c r="E611" s="37"/>
      <c r="F611" s="78"/>
      <c r="G611" s="78"/>
      <c r="H611" s="46"/>
      <c r="J611" s="103"/>
      <c r="K611" s="103"/>
      <c r="L611" s="104"/>
      <c r="M611" s="104"/>
      <c r="N611" s="88"/>
      <c r="O611" s="105"/>
      <c r="AA611" s="51"/>
      <c r="AB611" s="50"/>
      <c r="AC611" s="51"/>
      <c r="AD611" s="51"/>
      <c r="AE611" s="1"/>
      <c r="AF611" s="51"/>
    </row>
    <row r="612" spans="2:32" x14ac:dyDescent="0.3">
      <c r="B612" s="46"/>
      <c r="D612" s="37"/>
      <c r="E612" s="37"/>
      <c r="F612" s="78"/>
      <c r="G612" s="78"/>
      <c r="H612" s="46"/>
      <c r="J612" s="103"/>
      <c r="K612" s="103"/>
      <c r="L612" s="104"/>
      <c r="M612" s="104"/>
      <c r="N612" s="88"/>
      <c r="O612" s="105"/>
      <c r="AA612" s="51"/>
      <c r="AB612" s="50"/>
      <c r="AC612" s="51"/>
      <c r="AD612" s="51"/>
      <c r="AE612" s="1"/>
      <c r="AF612" s="51"/>
    </row>
    <row r="613" spans="2:32" x14ac:dyDescent="0.3">
      <c r="B613" s="46"/>
      <c r="D613" s="37"/>
      <c r="E613" s="37"/>
      <c r="F613" s="78"/>
      <c r="G613" s="78"/>
      <c r="H613" s="46"/>
      <c r="J613" s="103"/>
      <c r="K613" s="103"/>
      <c r="L613" s="104"/>
      <c r="M613" s="104"/>
      <c r="N613" s="88"/>
      <c r="O613" s="105"/>
      <c r="AA613" s="51"/>
      <c r="AB613" s="50"/>
      <c r="AC613" s="51"/>
      <c r="AD613" s="51"/>
      <c r="AE613" s="1"/>
      <c r="AF613" s="51"/>
    </row>
    <row r="614" spans="2:32" x14ac:dyDescent="0.3">
      <c r="B614" s="46"/>
      <c r="D614" s="37"/>
      <c r="E614" s="37"/>
      <c r="F614" s="78"/>
      <c r="G614" s="78"/>
      <c r="H614" s="46"/>
      <c r="J614" s="103"/>
      <c r="K614" s="103"/>
      <c r="L614" s="104"/>
      <c r="M614" s="104"/>
      <c r="N614" s="88"/>
      <c r="O614" s="105"/>
      <c r="AA614" s="51"/>
      <c r="AB614" s="50"/>
      <c r="AC614" s="51"/>
      <c r="AD614" s="51"/>
      <c r="AE614" s="1"/>
      <c r="AF614" s="51"/>
    </row>
    <row r="615" spans="2:32" x14ac:dyDescent="0.3">
      <c r="B615" s="46"/>
      <c r="D615" s="37"/>
      <c r="E615" s="37"/>
      <c r="F615" s="78"/>
      <c r="G615" s="78"/>
      <c r="H615" s="46"/>
      <c r="J615" s="103"/>
      <c r="K615" s="103"/>
      <c r="L615" s="104"/>
      <c r="M615" s="104"/>
      <c r="N615" s="88"/>
      <c r="O615" s="105"/>
      <c r="AA615" s="51"/>
      <c r="AB615" s="50"/>
      <c r="AC615" s="51"/>
      <c r="AD615" s="51"/>
      <c r="AE615" s="1"/>
      <c r="AF615" s="51"/>
    </row>
    <row r="616" spans="2:32" x14ac:dyDescent="0.3">
      <c r="B616" s="46"/>
      <c r="D616" s="37"/>
      <c r="E616" s="37"/>
      <c r="F616" s="78"/>
      <c r="G616" s="78"/>
      <c r="H616" s="46"/>
      <c r="J616" s="103"/>
      <c r="K616" s="103"/>
      <c r="L616" s="104"/>
      <c r="M616" s="104"/>
      <c r="N616" s="88"/>
      <c r="O616" s="105"/>
      <c r="AA616" s="51"/>
      <c r="AB616" s="50"/>
      <c r="AC616" s="51"/>
      <c r="AD616" s="51"/>
      <c r="AE616" s="1"/>
      <c r="AF616" s="51"/>
    </row>
    <row r="617" spans="2:32" x14ac:dyDescent="0.3">
      <c r="B617" s="46"/>
      <c r="D617" s="37"/>
      <c r="E617" s="37"/>
      <c r="F617" s="78"/>
      <c r="G617" s="78"/>
      <c r="H617" s="46"/>
      <c r="J617" s="103"/>
      <c r="K617" s="103"/>
      <c r="L617" s="104"/>
      <c r="M617" s="104"/>
      <c r="N617" s="88"/>
      <c r="O617" s="105"/>
      <c r="AA617" s="51"/>
      <c r="AB617" s="50"/>
      <c r="AC617" s="51"/>
      <c r="AD617" s="51"/>
      <c r="AE617" s="1"/>
      <c r="AF617" s="51"/>
    </row>
    <row r="618" spans="2:32" x14ac:dyDescent="0.3">
      <c r="B618" s="46"/>
      <c r="D618" s="37"/>
      <c r="E618" s="37"/>
      <c r="F618" s="78"/>
      <c r="G618" s="78"/>
      <c r="H618" s="46"/>
      <c r="J618" s="103"/>
      <c r="K618" s="103"/>
      <c r="L618" s="104"/>
      <c r="M618" s="104"/>
      <c r="N618" s="88"/>
      <c r="O618" s="105"/>
      <c r="AA618" s="51"/>
      <c r="AB618" s="50"/>
      <c r="AC618" s="51"/>
      <c r="AD618" s="51"/>
      <c r="AE618" s="1"/>
      <c r="AF618" s="51"/>
    </row>
    <row r="619" spans="2:32" x14ac:dyDescent="0.3">
      <c r="B619" s="46"/>
      <c r="D619" s="37"/>
      <c r="E619" s="37"/>
      <c r="F619" s="78"/>
      <c r="G619" s="78"/>
      <c r="H619" s="46"/>
      <c r="J619" s="103"/>
      <c r="K619" s="103"/>
      <c r="L619" s="104"/>
      <c r="M619" s="104"/>
      <c r="N619" s="88"/>
      <c r="O619" s="105"/>
      <c r="AA619" s="51"/>
      <c r="AB619" s="50"/>
      <c r="AC619" s="51"/>
      <c r="AD619" s="51"/>
      <c r="AE619" s="1"/>
      <c r="AF619" s="51"/>
    </row>
    <row r="620" spans="2:32" x14ac:dyDescent="0.3">
      <c r="B620" s="46"/>
      <c r="D620" s="37"/>
      <c r="E620" s="37"/>
      <c r="F620" s="78"/>
      <c r="G620" s="78"/>
      <c r="H620" s="46"/>
      <c r="J620" s="103"/>
      <c r="K620" s="103"/>
      <c r="L620" s="104"/>
      <c r="M620" s="104"/>
      <c r="N620" s="88"/>
      <c r="O620" s="105"/>
      <c r="AA620" s="51"/>
      <c r="AB620" s="50"/>
      <c r="AC620" s="51"/>
      <c r="AD620" s="51"/>
      <c r="AE620" s="1"/>
      <c r="AF620" s="51"/>
    </row>
    <row r="621" spans="2:32" x14ac:dyDescent="0.3">
      <c r="B621" s="46"/>
      <c r="D621" s="37"/>
      <c r="E621" s="37"/>
      <c r="F621" s="78"/>
      <c r="G621" s="78"/>
      <c r="H621" s="46"/>
      <c r="J621" s="103"/>
      <c r="K621" s="103"/>
      <c r="L621" s="104"/>
      <c r="M621" s="104"/>
      <c r="N621" s="88"/>
      <c r="O621" s="105"/>
      <c r="AA621" s="51"/>
      <c r="AB621" s="50"/>
      <c r="AC621" s="51"/>
      <c r="AD621" s="51"/>
      <c r="AE621" s="1"/>
      <c r="AF621" s="51"/>
    </row>
    <row r="622" spans="2:32" x14ac:dyDescent="0.3">
      <c r="B622" s="46"/>
      <c r="D622" s="37"/>
      <c r="E622" s="37"/>
      <c r="F622" s="78"/>
      <c r="G622" s="78"/>
      <c r="H622" s="46"/>
      <c r="J622" s="103"/>
      <c r="K622" s="103"/>
      <c r="L622" s="104"/>
      <c r="M622" s="104"/>
      <c r="N622" s="88"/>
      <c r="O622" s="105"/>
      <c r="AA622" s="51"/>
      <c r="AB622" s="50"/>
      <c r="AC622" s="51"/>
      <c r="AD622" s="51"/>
      <c r="AE622" s="1"/>
      <c r="AF622" s="51"/>
    </row>
    <row r="623" spans="2:32" x14ac:dyDescent="0.3">
      <c r="B623" s="46"/>
      <c r="D623" s="37"/>
      <c r="E623" s="37"/>
      <c r="F623" s="78"/>
      <c r="G623" s="78"/>
      <c r="H623" s="46"/>
      <c r="J623" s="103"/>
      <c r="K623" s="103"/>
      <c r="L623" s="104"/>
      <c r="M623" s="104"/>
      <c r="N623" s="88"/>
      <c r="O623" s="105"/>
      <c r="AA623" s="51"/>
      <c r="AB623" s="50"/>
      <c r="AC623" s="51"/>
      <c r="AD623" s="51"/>
      <c r="AE623" s="1"/>
      <c r="AF623" s="51"/>
    </row>
    <row r="624" spans="2:32" x14ac:dyDescent="0.3">
      <c r="B624" s="46"/>
      <c r="D624" s="37"/>
      <c r="E624" s="37"/>
      <c r="F624" s="78"/>
      <c r="G624" s="78"/>
      <c r="H624" s="46"/>
      <c r="J624" s="103"/>
      <c r="K624" s="103"/>
      <c r="L624" s="104"/>
      <c r="M624" s="104"/>
      <c r="N624" s="88"/>
      <c r="O624" s="105"/>
      <c r="AA624" s="51"/>
      <c r="AB624" s="50"/>
      <c r="AC624" s="51"/>
      <c r="AD624" s="51"/>
      <c r="AE624" s="1"/>
      <c r="AF624" s="51"/>
    </row>
    <row r="625" spans="2:32" x14ac:dyDescent="0.3">
      <c r="B625" s="46"/>
      <c r="D625" s="37"/>
      <c r="E625" s="37"/>
      <c r="F625" s="78"/>
      <c r="G625" s="78"/>
      <c r="H625" s="46"/>
      <c r="J625" s="103"/>
      <c r="K625" s="103"/>
      <c r="L625" s="104"/>
      <c r="M625" s="104"/>
      <c r="N625" s="88"/>
      <c r="O625" s="105"/>
      <c r="AA625" s="51"/>
      <c r="AB625" s="50"/>
      <c r="AC625" s="51"/>
      <c r="AD625" s="51"/>
      <c r="AE625" s="1"/>
      <c r="AF625" s="51"/>
    </row>
    <row r="626" spans="2:32" x14ac:dyDescent="0.3">
      <c r="B626" s="46"/>
      <c r="D626" s="37"/>
      <c r="E626" s="37"/>
      <c r="F626" s="78"/>
      <c r="G626" s="78"/>
      <c r="H626" s="46"/>
      <c r="J626" s="103"/>
      <c r="K626" s="103"/>
      <c r="L626" s="104"/>
      <c r="M626" s="104"/>
      <c r="N626" s="88"/>
      <c r="O626" s="105"/>
      <c r="AA626" s="51"/>
      <c r="AB626" s="50"/>
      <c r="AC626" s="51"/>
      <c r="AD626" s="51"/>
      <c r="AE626" s="1"/>
      <c r="AF626" s="51"/>
    </row>
    <row r="627" spans="2:32" x14ac:dyDescent="0.3">
      <c r="B627" s="46"/>
      <c r="D627" s="37"/>
      <c r="E627" s="37"/>
      <c r="F627" s="78"/>
      <c r="G627" s="78"/>
      <c r="H627" s="46"/>
      <c r="J627" s="103"/>
      <c r="K627" s="103"/>
      <c r="L627" s="104"/>
      <c r="M627" s="104"/>
      <c r="N627" s="88"/>
      <c r="O627" s="105"/>
      <c r="AA627" s="51"/>
      <c r="AB627" s="50"/>
      <c r="AC627" s="51"/>
      <c r="AD627" s="51"/>
      <c r="AE627" s="1"/>
      <c r="AF627" s="51"/>
    </row>
    <row r="628" spans="2:32" x14ac:dyDescent="0.3">
      <c r="B628" s="46"/>
      <c r="D628" s="37"/>
      <c r="E628" s="37"/>
      <c r="F628" s="78"/>
      <c r="G628" s="78"/>
      <c r="H628" s="46"/>
      <c r="J628" s="103"/>
      <c r="K628" s="103"/>
      <c r="L628" s="104"/>
      <c r="M628" s="104"/>
      <c r="N628" s="88"/>
      <c r="O628" s="105"/>
      <c r="AA628" s="51"/>
      <c r="AB628" s="50"/>
      <c r="AC628" s="51"/>
      <c r="AD628" s="51"/>
      <c r="AE628" s="1"/>
      <c r="AF628" s="51"/>
    </row>
    <row r="629" spans="2:32" x14ac:dyDescent="0.3">
      <c r="B629" s="46"/>
      <c r="D629" s="37"/>
      <c r="E629" s="37"/>
      <c r="F629" s="78"/>
      <c r="G629" s="78"/>
      <c r="H629" s="46"/>
      <c r="J629" s="103"/>
      <c r="K629" s="103"/>
      <c r="L629" s="104"/>
      <c r="M629" s="104"/>
      <c r="N629" s="88"/>
      <c r="O629" s="105"/>
      <c r="AA629" s="51"/>
      <c r="AB629" s="50"/>
      <c r="AC629" s="51"/>
      <c r="AD629" s="51"/>
      <c r="AE629" s="1"/>
      <c r="AF629" s="51"/>
    </row>
    <row r="630" spans="2:32" x14ac:dyDescent="0.3">
      <c r="B630" s="46"/>
      <c r="D630" s="37"/>
      <c r="E630" s="37"/>
      <c r="F630" s="78"/>
      <c r="G630" s="78"/>
      <c r="H630" s="46"/>
      <c r="J630" s="103"/>
      <c r="K630" s="103"/>
      <c r="L630" s="104"/>
      <c r="M630" s="104"/>
      <c r="N630" s="88"/>
      <c r="O630" s="105"/>
      <c r="AA630" s="51"/>
      <c r="AB630" s="50"/>
      <c r="AC630" s="51"/>
      <c r="AD630" s="51"/>
      <c r="AE630" s="1"/>
      <c r="AF630" s="51"/>
    </row>
    <row r="631" spans="2:32" x14ac:dyDescent="0.3">
      <c r="B631" s="46"/>
      <c r="D631" s="37"/>
      <c r="E631" s="37"/>
      <c r="F631" s="78"/>
      <c r="G631" s="78"/>
      <c r="H631" s="46"/>
      <c r="J631" s="103"/>
      <c r="K631" s="103"/>
      <c r="L631" s="104"/>
      <c r="M631" s="104"/>
      <c r="N631" s="88"/>
      <c r="O631" s="105"/>
      <c r="AA631" s="51"/>
      <c r="AB631" s="50"/>
      <c r="AC631" s="51"/>
      <c r="AD631" s="51"/>
      <c r="AE631" s="1"/>
      <c r="AF631" s="51"/>
    </row>
    <row r="632" spans="2:32" x14ac:dyDescent="0.3">
      <c r="B632" s="46"/>
      <c r="D632" s="37"/>
      <c r="E632" s="37"/>
      <c r="F632" s="78"/>
      <c r="G632" s="78"/>
      <c r="H632" s="46"/>
      <c r="J632" s="103"/>
      <c r="K632" s="103"/>
      <c r="L632" s="104"/>
      <c r="M632" s="104"/>
      <c r="N632" s="88"/>
      <c r="O632" s="105"/>
      <c r="AA632" s="51"/>
      <c r="AB632" s="50"/>
      <c r="AC632" s="51"/>
      <c r="AD632" s="51"/>
      <c r="AE632" s="1"/>
      <c r="AF632" s="51"/>
    </row>
    <row r="633" spans="2:32" x14ac:dyDescent="0.3">
      <c r="B633" s="46"/>
      <c r="D633" s="37"/>
      <c r="E633" s="37"/>
      <c r="F633" s="78"/>
      <c r="G633" s="78"/>
      <c r="H633" s="46"/>
      <c r="J633" s="103"/>
      <c r="K633" s="103"/>
      <c r="L633" s="104"/>
      <c r="M633" s="104"/>
      <c r="N633" s="88"/>
      <c r="O633" s="105"/>
      <c r="AA633" s="51"/>
      <c r="AB633" s="50"/>
      <c r="AC633" s="51"/>
      <c r="AD633" s="51"/>
      <c r="AE633" s="1"/>
      <c r="AF633" s="51"/>
    </row>
    <row r="634" spans="2:32" x14ac:dyDescent="0.3">
      <c r="B634" s="46"/>
      <c r="D634" s="37"/>
      <c r="E634" s="37"/>
      <c r="F634" s="78"/>
      <c r="G634" s="78"/>
      <c r="H634" s="46"/>
      <c r="J634" s="103"/>
      <c r="K634" s="103"/>
      <c r="L634" s="104"/>
      <c r="M634" s="104"/>
      <c r="N634" s="88"/>
      <c r="O634" s="105"/>
      <c r="AA634" s="51"/>
      <c r="AB634" s="50"/>
      <c r="AC634" s="51"/>
      <c r="AD634" s="51"/>
      <c r="AE634" s="1"/>
      <c r="AF634" s="51"/>
    </row>
    <row r="635" spans="2:32" x14ac:dyDescent="0.3">
      <c r="B635" s="46"/>
      <c r="D635" s="37"/>
      <c r="E635" s="37"/>
      <c r="F635" s="78"/>
      <c r="G635" s="78"/>
      <c r="H635" s="46"/>
      <c r="J635" s="103"/>
      <c r="K635" s="103"/>
      <c r="L635" s="104"/>
      <c r="M635" s="104"/>
      <c r="N635" s="88"/>
      <c r="O635" s="105"/>
      <c r="AA635" s="51"/>
      <c r="AB635" s="50"/>
      <c r="AC635" s="51"/>
      <c r="AD635" s="51"/>
      <c r="AE635" s="1"/>
      <c r="AF635" s="51"/>
    </row>
    <row r="636" spans="2:32" x14ac:dyDescent="0.3">
      <c r="B636" s="46"/>
      <c r="D636" s="37"/>
      <c r="E636" s="37"/>
      <c r="F636" s="78"/>
      <c r="G636" s="78"/>
      <c r="H636" s="46"/>
      <c r="J636" s="103"/>
      <c r="K636" s="103"/>
      <c r="L636" s="104"/>
      <c r="M636" s="104"/>
      <c r="N636" s="88"/>
      <c r="O636" s="105"/>
      <c r="AA636" s="51"/>
      <c r="AB636" s="50"/>
      <c r="AC636" s="51"/>
      <c r="AD636" s="51"/>
      <c r="AE636" s="1"/>
      <c r="AF636" s="51"/>
    </row>
    <row r="637" spans="2:32" x14ac:dyDescent="0.3">
      <c r="B637" s="46"/>
      <c r="D637" s="37"/>
      <c r="E637" s="37"/>
      <c r="F637" s="78"/>
      <c r="G637" s="78"/>
      <c r="H637" s="46"/>
      <c r="J637" s="103"/>
      <c r="K637" s="103"/>
      <c r="L637" s="104"/>
      <c r="M637" s="104"/>
      <c r="N637" s="88"/>
      <c r="O637" s="105"/>
      <c r="AA637" s="51"/>
      <c r="AB637" s="50"/>
      <c r="AC637" s="51"/>
      <c r="AD637" s="51"/>
      <c r="AE637" s="1"/>
      <c r="AF637" s="51"/>
    </row>
    <row r="638" spans="2:32" x14ac:dyDescent="0.3">
      <c r="B638" s="46"/>
      <c r="D638" s="37"/>
      <c r="E638" s="37"/>
      <c r="F638" s="78"/>
      <c r="G638" s="78"/>
      <c r="H638" s="46"/>
      <c r="J638" s="103"/>
      <c r="K638" s="103"/>
      <c r="L638" s="104"/>
      <c r="M638" s="104"/>
      <c r="N638" s="88"/>
      <c r="O638" s="105"/>
      <c r="AA638" s="51"/>
      <c r="AB638" s="50"/>
      <c r="AC638" s="51"/>
      <c r="AD638" s="51"/>
      <c r="AE638" s="1"/>
      <c r="AF638" s="51"/>
    </row>
    <row r="639" spans="2:32" x14ac:dyDescent="0.3">
      <c r="B639" s="46"/>
      <c r="D639" s="37"/>
      <c r="E639" s="37"/>
      <c r="F639" s="78"/>
      <c r="G639" s="78"/>
      <c r="H639" s="46"/>
      <c r="J639" s="103"/>
      <c r="K639" s="103"/>
      <c r="L639" s="104"/>
      <c r="M639" s="104"/>
      <c r="N639" s="88"/>
      <c r="O639" s="105"/>
      <c r="AA639" s="51"/>
      <c r="AB639" s="50"/>
      <c r="AC639" s="51"/>
      <c r="AD639" s="51"/>
      <c r="AE639" s="1"/>
      <c r="AF639" s="51"/>
    </row>
    <row r="640" spans="2:32" x14ac:dyDescent="0.3">
      <c r="B640" s="46"/>
      <c r="D640" s="37"/>
      <c r="E640" s="37"/>
      <c r="F640" s="78"/>
      <c r="G640" s="78"/>
      <c r="H640" s="46"/>
      <c r="J640" s="103"/>
      <c r="K640" s="103"/>
      <c r="L640" s="104"/>
      <c r="M640" s="104"/>
      <c r="N640" s="88"/>
      <c r="O640" s="105"/>
      <c r="AA640" s="51"/>
      <c r="AB640" s="50"/>
      <c r="AC640" s="51"/>
      <c r="AD640" s="51"/>
      <c r="AE640" s="1"/>
      <c r="AF640" s="51"/>
    </row>
    <row r="641" spans="2:32" x14ac:dyDescent="0.3">
      <c r="B641" s="46"/>
      <c r="D641" s="37"/>
      <c r="E641" s="37"/>
      <c r="F641" s="78"/>
      <c r="G641" s="78"/>
      <c r="H641" s="46"/>
      <c r="J641" s="103"/>
      <c r="K641" s="103"/>
      <c r="L641" s="104"/>
      <c r="M641" s="104"/>
      <c r="N641" s="88"/>
      <c r="O641" s="105"/>
      <c r="AA641" s="51"/>
      <c r="AB641" s="50"/>
      <c r="AC641" s="51"/>
      <c r="AD641" s="51"/>
      <c r="AE641" s="1"/>
      <c r="AF641" s="51"/>
    </row>
    <row r="642" spans="2:32" x14ac:dyDescent="0.3">
      <c r="B642" s="46"/>
      <c r="D642" s="37"/>
      <c r="E642" s="37"/>
      <c r="F642" s="78"/>
      <c r="G642" s="78"/>
      <c r="H642" s="46"/>
      <c r="J642" s="103"/>
      <c r="K642" s="103"/>
      <c r="L642" s="104"/>
      <c r="M642" s="104"/>
      <c r="N642" s="88"/>
      <c r="O642" s="105"/>
      <c r="AA642" s="51"/>
      <c r="AB642" s="50"/>
      <c r="AC642" s="51"/>
      <c r="AD642" s="51"/>
      <c r="AE642" s="1"/>
      <c r="AF642" s="51"/>
    </row>
    <row r="643" spans="2:32" x14ac:dyDescent="0.3">
      <c r="B643" s="46"/>
      <c r="D643" s="37"/>
      <c r="E643" s="37"/>
      <c r="F643" s="78"/>
      <c r="G643" s="78"/>
      <c r="H643" s="46"/>
      <c r="J643" s="103"/>
      <c r="K643" s="103"/>
      <c r="L643" s="104"/>
      <c r="M643" s="104"/>
      <c r="N643" s="88"/>
      <c r="O643" s="105"/>
      <c r="AA643" s="51"/>
      <c r="AB643" s="50"/>
      <c r="AC643" s="51"/>
      <c r="AD643" s="51"/>
      <c r="AE643" s="1"/>
      <c r="AF643" s="51"/>
    </row>
    <row r="644" spans="2:32" x14ac:dyDescent="0.3">
      <c r="B644" s="46"/>
      <c r="D644" s="37"/>
      <c r="E644" s="37"/>
      <c r="F644" s="78"/>
      <c r="G644" s="78"/>
      <c r="H644" s="46"/>
      <c r="J644" s="103"/>
      <c r="K644" s="103"/>
      <c r="L644" s="104"/>
      <c r="M644" s="104"/>
      <c r="N644" s="88"/>
      <c r="O644" s="105"/>
      <c r="AA644" s="51"/>
      <c r="AB644" s="50"/>
      <c r="AC644" s="51"/>
      <c r="AD644" s="51"/>
      <c r="AE644" s="1"/>
      <c r="AF644" s="51"/>
    </row>
    <row r="645" spans="2:32" x14ac:dyDescent="0.3">
      <c r="B645" s="46"/>
      <c r="D645" s="37"/>
      <c r="E645" s="37"/>
      <c r="F645" s="78"/>
      <c r="G645" s="78"/>
      <c r="H645" s="46"/>
      <c r="J645" s="103"/>
      <c r="K645" s="103"/>
      <c r="L645" s="104"/>
      <c r="M645" s="104"/>
      <c r="N645" s="88"/>
      <c r="O645" s="105"/>
      <c r="AA645" s="51"/>
      <c r="AB645" s="50"/>
      <c r="AC645" s="51"/>
      <c r="AD645" s="51"/>
      <c r="AE645" s="1"/>
      <c r="AF645" s="51"/>
    </row>
    <row r="646" spans="2:32" x14ac:dyDescent="0.3">
      <c r="B646" s="46"/>
      <c r="D646" s="37"/>
      <c r="E646" s="37"/>
      <c r="F646" s="78"/>
      <c r="G646" s="78"/>
      <c r="H646" s="46"/>
      <c r="J646" s="103"/>
      <c r="K646" s="103"/>
      <c r="L646" s="104"/>
      <c r="M646" s="104"/>
      <c r="N646" s="88"/>
      <c r="O646" s="105"/>
      <c r="AA646" s="51"/>
      <c r="AB646" s="50"/>
      <c r="AC646" s="51"/>
      <c r="AD646" s="51"/>
      <c r="AE646" s="1"/>
      <c r="AF646" s="51"/>
    </row>
    <row r="647" spans="2:32" x14ac:dyDescent="0.3">
      <c r="B647" s="46"/>
      <c r="D647" s="37"/>
      <c r="E647" s="37"/>
      <c r="F647" s="78"/>
      <c r="G647" s="78"/>
      <c r="H647" s="46"/>
      <c r="J647" s="103"/>
      <c r="K647" s="103"/>
      <c r="L647" s="104"/>
      <c r="M647" s="104"/>
      <c r="N647" s="88"/>
      <c r="O647" s="105"/>
      <c r="AA647" s="51"/>
      <c r="AB647" s="50"/>
      <c r="AC647" s="51"/>
      <c r="AD647" s="51"/>
      <c r="AE647" s="1"/>
      <c r="AF647" s="51"/>
    </row>
    <row r="648" spans="2:32" x14ac:dyDescent="0.3">
      <c r="B648" s="46"/>
      <c r="D648" s="37"/>
      <c r="E648" s="37"/>
      <c r="F648" s="78"/>
      <c r="G648" s="78"/>
      <c r="H648" s="46"/>
      <c r="J648" s="103"/>
      <c r="K648" s="103"/>
      <c r="L648" s="104"/>
      <c r="M648" s="104"/>
      <c r="N648" s="88"/>
      <c r="O648" s="105"/>
      <c r="AA648" s="51"/>
      <c r="AB648" s="50"/>
      <c r="AC648" s="51"/>
      <c r="AD648" s="51"/>
      <c r="AE648" s="1"/>
      <c r="AF648" s="51"/>
    </row>
    <row r="649" spans="2:32" x14ac:dyDescent="0.3">
      <c r="B649" s="46"/>
      <c r="D649" s="37"/>
      <c r="E649" s="37"/>
      <c r="F649" s="78"/>
      <c r="G649" s="78"/>
      <c r="H649" s="46"/>
      <c r="J649" s="103"/>
      <c r="K649" s="103"/>
      <c r="L649" s="104"/>
      <c r="M649" s="104"/>
      <c r="N649" s="88"/>
      <c r="O649" s="105"/>
      <c r="AA649" s="51"/>
      <c r="AB649" s="50"/>
      <c r="AC649" s="51"/>
      <c r="AD649" s="51"/>
      <c r="AE649" s="1"/>
      <c r="AF649" s="51"/>
    </row>
    <row r="650" spans="2:32" x14ac:dyDescent="0.3">
      <c r="B650" s="46"/>
      <c r="D650" s="37"/>
      <c r="E650" s="37"/>
      <c r="F650" s="78"/>
      <c r="G650" s="78"/>
      <c r="H650" s="46"/>
      <c r="J650" s="103"/>
      <c r="K650" s="103"/>
      <c r="L650" s="104"/>
      <c r="M650" s="104"/>
      <c r="N650" s="88"/>
      <c r="O650" s="105"/>
      <c r="AA650" s="51"/>
      <c r="AB650" s="50"/>
      <c r="AC650" s="51"/>
      <c r="AD650" s="51"/>
      <c r="AE650" s="1"/>
      <c r="AF650" s="51"/>
    </row>
    <row r="651" spans="2:32" x14ac:dyDescent="0.3">
      <c r="B651" s="46"/>
      <c r="D651" s="37"/>
      <c r="E651" s="37"/>
      <c r="F651" s="78"/>
      <c r="G651" s="78"/>
      <c r="H651" s="46"/>
      <c r="J651" s="103"/>
      <c r="K651" s="103"/>
      <c r="L651" s="104"/>
      <c r="M651" s="104"/>
      <c r="N651" s="88"/>
      <c r="O651" s="105"/>
      <c r="AA651" s="51"/>
      <c r="AB651" s="50"/>
      <c r="AC651" s="51"/>
      <c r="AD651" s="51"/>
      <c r="AE651" s="1"/>
      <c r="AF651" s="51"/>
    </row>
    <row r="652" spans="2:32" x14ac:dyDescent="0.3">
      <c r="B652" s="46"/>
      <c r="D652" s="37"/>
      <c r="E652" s="37"/>
      <c r="F652" s="78"/>
      <c r="G652" s="78"/>
      <c r="H652" s="46"/>
      <c r="J652" s="103"/>
      <c r="K652" s="103"/>
      <c r="L652" s="104"/>
      <c r="M652" s="104"/>
      <c r="N652" s="88"/>
      <c r="O652" s="105"/>
      <c r="AA652" s="51"/>
      <c r="AB652" s="50"/>
      <c r="AC652" s="51"/>
      <c r="AD652" s="51"/>
      <c r="AE652" s="1"/>
      <c r="AF652" s="51"/>
    </row>
    <row r="653" spans="2:32" x14ac:dyDescent="0.3">
      <c r="B653" s="46"/>
      <c r="D653" s="37"/>
      <c r="E653" s="37"/>
      <c r="F653" s="78"/>
      <c r="G653" s="78"/>
      <c r="H653" s="46"/>
      <c r="J653" s="103"/>
      <c r="K653" s="103"/>
      <c r="L653" s="104"/>
      <c r="M653" s="104"/>
      <c r="N653" s="88"/>
      <c r="O653" s="105"/>
      <c r="AA653" s="51"/>
      <c r="AB653" s="50"/>
      <c r="AC653" s="51"/>
      <c r="AD653" s="51"/>
      <c r="AE653" s="1"/>
      <c r="AF653" s="51"/>
    </row>
    <row r="654" spans="2:32" x14ac:dyDescent="0.3">
      <c r="B654" s="46"/>
      <c r="D654" s="37"/>
      <c r="E654" s="37"/>
      <c r="F654" s="78"/>
      <c r="G654" s="78"/>
      <c r="H654" s="46"/>
      <c r="J654" s="103"/>
      <c r="K654" s="103"/>
      <c r="L654" s="104"/>
      <c r="M654" s="104"/>
      <c r="N654" s="88"/>
      <c r="O654" s="105"/>
      <c r="AA654" s="51"/>
      <c r="AB654" s="50"/>
      <c r="AC654" s="51"/>
      <c r="AD654" s="51"/>
      <c r="AE654" s="1"/>
      <c r="AF654" s="51"/>
    </row>
    <row r="655" spans="2:32" x14ac:dyDescent="0.3">
      <c r="B655" s="46"/>
      <c r="D655" s="37"/>
      <c r="E655" s="37"/>
      <c r="F655" s="78"/>
      <c r="G655" s="78"/>
      <c r="H655" s="46"/>
      <c r="J655" s="103"/>
      <c r="K655" s="103"/>
      <c r="L655" s="104"/>
      <c r="M655" s="104"/>
      <c r="N655" s="88"/>
      <c r="O655" s="105"/>
      <c r="AA655" s="51"/>
      <c r="AB655" s="50"/>
      <c r="AC655" s="51"/>
      <c r="AD655" s="51"/>
      <c r="AE655" s="1"/>
      <c r="AF655" s="51"/>
    </row>
    <row r="656" spans="2:32" x14ac:dyDescent="0.3">
      <c r="B656" s="46"/>
      <c r="D656" s="37"/>
      <c r="E656" s="37"/>
      <c r="F656" s="78"/>
      <c r="G656" s="78"/>
      <c r="H656" s="46"/>
      <c r="J656" s="103"/>
      <c r="K656" s="103"/>
      <c r="L656" s="104"/>
      <c r="M656" s="104"/>
      <c r="N656" s="88"/>
      <c r="O656" s="105"/>
      <c r="AA656" s="51"/>
      <c r="AB656" s="50"/>
      <c r="AC656" s="51"/>
      <c r="AD656" s="51"/>
      <c r="AE656" s="1"/>
      <c r="AF656" s="51"/>
    </row>
    <row r="657" spans="2:32" x14ac:dyDescent="0.3">
      <c r="B657" s="46"/>
      <c r="D657" s="37"/>
      <c r="E657" s="37"/>
      <c r="F657" s="78"/>
      <c r="G657" s="78"/>
      <c r="H657" s="46"/>
      <c r="J657" s="103"/>
      <c r="K657" s="103"/>
      <c r="L657" s="104"/>
      <c r="M657" s="104"/>
      <c r="N657" s="88"/>
      <c r="O657" s="105"/>
      <c r="AA657" s="51"/>
      <c r="AB657" s="50"/>
      <c r="AC657" s="51"/>
      <c r="AD657" s="51"/>
      <c r="AE657" s="1"/>
      <c r="AF657" s="51"/>
    </row>
    <row r="658" spans="2:32" x14ac:dyDescent="0.3">
      <c r="B658" s="46"/>
      <c r="D658" s="37"/>
      <c r="E658" s="37"/>
      <c r="F658" s="78"/>
      <c r="G658" s="78"/>
      <c r="H658" s="46"/>
      <c r="J658" s="103"/>
      <c r="K658" s="103"/>
      <c r="L658" s="104"/>
      <c r="M658" s="104"/>
      <c r="N658" s="88"/>
      <c r="O658" s="105"/>
      <c r="AA658" s="51"/>
      <c r="AB658" s="50"/>
      <c r="AC658" s="51"/>
      <c r="AD658" s="51"/>
      <c r="AF658" s="51"/>
    </row>
    <row r="659" spans="2:32" x14ac:dyDescent="0.3">
      <c r="B659" s="46"/>
      <c r="D659" s="37"/>
      <c r="E659" s="37"/>
      <c r="F659" s="78"/>
      <c r="G659" s="78"/>
      <c r="H659" s="46"/>
      <c r="J659" s="103"/>
      <c r="K659" s="103"/>
      <c r="L659" s="104"/>
      <c r="M659" s="104"/>
      <c r="N659" s="88"/>
      <c r="O659" s="105"/>
      <c r="AA659" s="51"/>
      <c r="AB659" s="50"/>
      <c r="AC659" s="51"/>
      <c r="AD659" s="51"/>
      <c r="AF659" s="51"/>
    </row>
    <row r="660" spans="2:32" x14ac:dyDescent="0.3">
      <c r="B660" s="46"/>
      <c r="D660" s="37"/>
      <c r="E660" s="37"/>
      <c r="F660" s="78"/>
      <c r="G660" s="78"/>
      <c r="H660" s="46"/>
      <c r="J660" s="103"/>
      <c r="K660" s="103"/>
      <c r="L660" s="104"/>
      <c r="M660" s="104"/>
      <c r="N660" s="88"/>
      <c r="O660" s="105"/>
      <c r="AA660" s="51"/>
      <c r="AB660" s="50"/>
      <c r="AC660" s="51"/>
      <c r="AD660" s="51"/>
      <c r="AF660" s="51"/>
    </row>
    <row r="661" spans="2:32" x14ac:dyDescent="0.3">
      <c r="B661" s="46"/>
      <c r="D661" s="37"/>
      <c r="E661" s="37"/>
      <c r="F661" s="78"/>
      <c r="G661" s="78"/>
      <c r="H661" s="46"/>
      <c r="J661" s="103"/>
      <c r="K661" s="103"/>
      <c r="L661" s="104"/>
      <c r="M661" s="104"/>
      <c r="N661" s="88"/>
      <c r="O661" s="105"/>
      <c r="AA661" s="51"/>
      <c r="AB661" s="50"/>
      <c r="AC661" s="51"/>
      <c r="AD661" s="51"/>
      <c r="AF661" s="51"/>
    </row>
    <row r="662" spans="2:32" x14ac:dyDescent="0.3">
      <c r="B662" s="46"/>
      <c r="D662" s="37"/>
      <c r="E662" s="37"/>
      <c r="F662" s="78"/>
      <c r="G662" s="78"/>
      <c r="H662" s="46"/>
      <c r="J662" s="103"/>
      <c r="K662" s="103"/>
      <c r="L662" s="104"/>
      <c r="M662" s="104"/>
      <c r="N662" s="88"/>
      <c r="O662" s="105"/>
      <c r="AA662" s="51"/>
      <c r="AB662" s="50"/>
      <c r="AC662" s="51"/>
      <c r="AD662" s="51"/>
      <c r="AF662" s="51"/>
    </row>
    <row r="663" spans="2:32" x14ac:dyDescent="0.3">
      <c r="B663" s="46"/>
      <c r="D663" s="37"/>
      <c r="E663" s="37"/>
      <c r="F663" s="78"/>
      <c r="G663" s="78"/>
      <c r="H663" s="46"/>
      <c r="J663" s="103"/>
      <c r="K663" s="103"/>
      <c r="L663" s="104"/>
      <c r="M663" s="104"/>
      <c r="N663" s="88"/>
      <c r="O663" s="105"/>
      <c r="AA663" s="51"/>
      <c r="AB663" s="50"/>
      <c r="AC663" s="51"/>
      <c r="AD663" s="51"/>
      <c r="AF663" s="51"/>
    </row>
    <row r="664" spans="2:32" x14ac:dyDescent="0.3">
      <c r="B664" s="46"/>
      <c r="D664" s="37"/>
      <c r="E664" s="37"/>
      <c r="F664" s="78"/>
      <c r="G664" s="78"/>
      <c r="H664" s="46"/>
      <c r="J664" s="103"/>
      <c r="K664" s="103"/>
      <c r="L664" s="104"/>
      <c r="M664" s="104"/>
      <c r="N664" s="88"/>
      <c r="O664" s="105"/>
      <c r="AA664" s="51"/>
      <c r="AB664" s="50"/>
      <c r="AC664" s="51"/>
      <c r="AD664" s="51"/>
      <c r="AF664" s="51"/>
    </row>
    <row r="665" spans="2:32" x14ac:dyDescent="0.3">
      <c r="B665" s="46"/>
      <c r="D665" s="37"/>
      <c r="E665" s="37"/>
      <c r="F665" s="78"/>
      <c r="G665" s="78"/>
      <c r="H665" s="46"/>
      <c r="J665" s="103"/>
      <c r="K665" s="103"/>
      <c r="L665" s="104"/>
      <c r="M665" s="104"/>
      <c r="N665" s="88"/>
      <c r="O665" s="105"/>
      <c r="AA665" s="51"/>
      <c r="AB665" s="50"/>
      <c r="AC665" s="51"/>
      <c r="AD665" s="51"/>
      <c r="AF665" s="51"/>
    </row>
    <row r="666" spans="2:32" x14ac:dyDescent="0.3">
      <c r="B666" s="46"/>
      <c r="D666" s="37"/>
      <c r="E666" s="37"/>
      <c r="F666" s="78"/>
      <c r="G666" s="78"/>
      <c r="H666" s="46"/>
      <c r="J666" s="103"/>
      <c r="K666" s="103"/>
      <c r="L666" s="104"/>
      <c r="M666" s="104"/>
      <c r="N666" s="88"/>
      <c r="O666" s="105"/>
      <c r="AA666" s="51"/>
      <c r="AB666" s="50"/>
      <c r="AC666" s="51"/>
      <c r="AD666" s="51"/>
      <c r="AF666" s="51"/>
    </row>
    <row r="667" spans="2:32" x14ac:dyDescent="0.3">
      <c r="B667" s="46"/>
      <c r="D667" s="37"/>
      <c r="E667" s="37"/>
      <c r="F667" s="78"/>
      <c r="G667" s="78"/>
      <c r="H667" s="46"/>
      <c r="J667" s="103"/>
      <c r="K667" s="103"/>
      <c r="L667" s="104"/>
      <c r="M667" s="104"/>
      <c r="N667" s="88"/>
      <c r="O667" s="105"/>
      <c r="AA667" s="51"/>
      <c r="AB667" s="50"/>
      <c r="AC667" s="51"/>
      <c r="AD667" s="51"/>
      <c r="AF667" s="51"/>
    </row>
    <row r="668" spans="2:32" x14ac:dyDescent="0.3">
      <c r="B668" s="46"/>
      <c r="D668" s="37"/>
      <c r="E668" s="37"/>
      <c r="F668" s="78"/>
      <c r="G668" s="78"/>
      <c r="H668" s="46"/>
      <c r="J668" s="103"/>
      <c r="K668" s="103"/>
      <c r="L668" s="104"/>
      <c r="M668" s="104"/>
      <c r="N668" s="88"/>
      <c r="O668" s="105"/>
      <c r="AA668" s="51"/>
      <c r="AB668" s="50"/>
      <c r="AC668" s="51"/>
      <c r="AD668" s="51"/>
      <c r="AF668" s="51"/>
    </row>
    <row r="669" spans="2:32" x14ac:dyDescent="0.3">
      <c r="B669" s="46"/>
      <c r="D669" s="37"/>
      <c r="E669" s="37"/>
      <c r="F669" s="78"/>
      <c r="G669" s="78"/>
      <c r="H669" s="46"/>
      <c r="J669" s="103"/>
      <c r="K669" s="103"/>
      <c r="L669" s="104"/>
      <c r="M669" s="104"/>
      <c r="N669" s="88"/>
      <c r="O669" s="105"/>
      <c r="AA669" s="51"/>
      <c r="AB669" s="50"/>
      <c r="AC669" s="51"/>
      <c r="AD669" s="51"/>
      <c r="AF669" s="51"/>
    </row>
    <row r="670" spans="2:32" x14ac:dyDescent="0.3">
      <c r="B670" s="46"/>
      <c r="D670" s="37"/>
      <c r="E670" s="37"/>
      <c r="F670" s="78"/>
      <c r="G670" s="78"/>
      <c r="H670" s="46"/>
      <c r="J670" s="103"/>
      <c r="K670" s="103"/>
      <c r="L670" s="104"/>
      <c r="M670" s="104"/>
      <c r="N670" s="88"/>
      <c r="O670" s="105"/>
      <c r="AA670" s="51"/>
      <c r="AB670" s="50"/>
      <c r="AC670" s="51"/>
      <c r="AD670" s="51"/>
      <c r="AF670" s="51"/>
    </row>
    <row r="671" spans="2:32" x14ac:dyDescent="0.3">
      <c r="B671" s="46"/>
      <c r="D671" s="37"/>
      <c r="E671" s="37"/>
      <c r="F671" s="78"/>
      <c r="G671" s="78"/>
      <c r="H671" s="46"/>
      <c r="J671" s="103"/>
      <c r="K671" s="103"/>
      <c r="L671" s="104"/>
      <c r="M671" s="104"/>
      <c r="N671" s="88"/>
      <c r="O671" s="105"/>
      <c r="AA671" s="51"/>
      <c r="AB671" s="50"/>
      <c r="AC671" s="51"/>
      <c r="AD671" s="51"/>
      <c r="AF671" s="51"/>
    </row>
    <row r="672" spans="2:32" x14ac:dyDescent="0.3">
      <c r="B672" s="46"/>
      <c r="D672" s="37"/>
      <c r="E672" s="37"/>
      <c r="F672" s="78"/>
      <c r="G672" s="78"/>
      <c r="H672" s="46"/>
      <c r="J672" s="103"/>
      <c r="K672" s="103"/>
      <c r="L672" s="104"/>
      <c r="M672" s="104"/>
      <c r="N672" s="88"/>
      <c r="O672" s="105"/>
      <c r="AA672" s="51"/>
      <c r="AB672" s="50"/>
      <c r="AC672" s="51"/>
      <c r="AD672" s="51"/>
      <c r="AF672" s="51"/>
    </row>
    <row r="673" spans="2:33" x14ac:dyDescent="0.3">
      <c r="B673" s="46"/>
      <c r="D673" s="37"/>
      <c r="E673" s="37"/>
      <c r="F673" s="78"/>
      <c r="G673" s="78"/>
      <c r="H673" s="46"/>
      <c r="J673" s="103"/>
      <c r="K673" s="103"/>
      <c r="L673" s="104"/>
      <c r="M673" s="104"/>
      <c r="N673" s="88"/>
      <c r="O673" s="105"/>
      <c r="AA673" s="51"/>
      <c r="AB673" s="50"/>
      <c r="AC673" s="51"/>
      <c r="AD673" s="51"/>
      <c r="AF673" s="51"/>
    </row>
    <row r="674" spans="2:33" x14ac:dyDescent="0.3">
      <c r="B674" s="46"/>
      <c r="D674" s="37"/>
      <c r="E674" s="37"/>
      <c r="F674" s="78"/>
      <c r="G674" s="78"/>
      <c r="H674" s="46"/>
      <c r="J674" s="103"/>
      <c r="K674" s="103"/>
      <c r="L674" s="104"/>
      <c r="M674" s="104"/>
      <c r="N674" s="88"/>
      <c r="O674" s="105"/>
      <c r="AA674" s="51"/>
      <c r="AB674" s="50"/>
      <c r="AC674" s="51"/>
      <c r="AD674" s="51"/>
      <c r="AF674" s="51"/>
    </row>
    <row r="675" spans="2:33" x14ac:dyDescent="0.3">
      <c r="B675" s="46"/>
      <c r="D675" s="37"/>
      <c r="E675" s="37"/>
      <c r="F675" s="78"/>
      <c r="G675" s="78"/>
      <c r="H675" s="46"/>
      <c r="J675" s="103"/>
      <c r="K675" s="103"/>
      <c r="L675" s="104"/>
      <c r="M675" s="104"/>
      <c r="N675" s="88"/>
      <c r="O675" s="105"/>
      <c r="AA675" s="51"/>
      <c r="AB675" s="50"/>
      <c r="AC675" s="51"/>
      <c r="AD675" s="51"/>
      <c r="AF675" s="51"/>
    </row>
    <row r="676" spans="2:33" x14ac:dyDescent="0.3">
      <c r="B676" s="46"/>
      <c r="D676" s="37"/>
      <c r="E676" s="37"/>
      <c r="F676" s="78"/>
      <c r="G676" s="78"/>
      <c r="H676" s="46"/>
      <c r="J676" s="103"/>
      <c r="K676" s="103"/>
      <c r="L676" s="104"/>
      <c r="M676" s="104"/>
      <c r="N676" s="88"/>
      <c r="O676" s="105"/>
      <c r="AA676" s="51"/>
      <c r="AB676" s="50"/>
      <c r="AC676" s="106"/>
      <c r="AD676" s="106"/>
      <c r="AE676" s="107"/>
      <c r="AF676" s="106"/>
      <c r="AG676" s="108"/>
    </row>
    <row r="677" spans="2:33" x14ac:dyDescent="0.3">
      <c r="B677" s="46"/>
      <c r="D677" s="37"/>
      <c r="E677" s="37"/>
      <c r="F677" s="78"/>
      <c r="G677" s="78"/>
      <c r="H677" s="46"/>
      <c r="J677" s="103"/>
      <c r="K677" s="103"/>
      <c r="L677" s="104"/>
      <c r="M677" s="104"/>
      <c r="N677" s="88"/>
      <c r="O677" s="105"/>
      <c r="AA677" s="51"/>
      <c r="AB677" s="50"/>
      <c r="AC677" s="51"/>
      <c r="AD677" s="51"/>
      <c r="AF677" s="51"/>
    </row>
    <row r="678" spans="2:33" x14ac:dyDescent="0.3">
      <c r="B678" s="46"/>
      <c r="D678" s="37"/>
      <c r="E678" s="37"/>
      <c r="F678" s="78"/>
      <c r="G678" s="78"/>
      <c r="H678" s="46"/>
      <c r="J678" s="103"/>
      <c r="K678" s="103"/>
      <c r="L678" s="104"/>
      <c r="M678" s="104"/>
      <c r="N678" s="88"/>
      <c r="O678" s="105"/>
      <c r="AA678" s="51"/>
      <c r="AB678" s="50"/>
      <c r="AC678" s="51"/>
      <c r="AD678" s="51"/>
      <c r="AF678" s="51"/>
    </row>
    <row r="679" spans="2:33" x14ac:dyDescent="0.3">
      <c r="B679" s="46"/>
      <c r="D679" s="37"/>
      <c r="E679" s="37"/>
      <c r="F679" s="78"/>
      <c r="G679" s="78"/>
      <c r="H679" s="46"/>
      <c r="J679" s="103"/>
      <c r="K679" s="103"/>
      <c r="L679" s="104"/>
      <c r="M679" s="104"/>
      <c r="N679" s="88"/>
      <c r="O679" s="105"/>
      <c r="AA679" s="51"/>
      <c r="AB679" s="50"/>
      <c r="AC679" s="51"/>
      <c r="AD679" s="51"/>
      <c r="AF679" s="51"/>
    </row>
    <row r="680" spans="2:33" x14ac:dyDescent="0.3">
      <c r="B680" s="46"/>
      <c r="D680" s="37"/>
      <c r="E680" s="37"/>
      <c r="F680" s="78"/>
      <c r="G680" s="78"/>
      <c r="H680" s="46"/>
      <c r="J680" s="103"/>
      <c r="K680" s="103"/>
      <c r="L680" s="104"/>
      <c r="M680" s="104"/>
      <c r="N680" s="88"/>
      <c r="O680" s="105"/>
      <c r="AA680" s="51"/>
      <c r="AB680" s="50"/>
      <c r="AC680" s="51"/>
      <c r="AD680" s="51"/>
      <c r="AF680" s="51"/>
    </row>
    <row r="681" spans="2:33" x14ac:dyDescent="0.3">
      <c r="B681" s="46"/>
      <c r="D681" s="37"/>
      <c r="E681" s="37"/>
      <c r="F681" s="78"/>
      <c r="G681" s="78"/>
      <c r="H681" s="46"/>
      <c r="J681" s="103"/>
      <c r="K681" s="103"/>
      <c r="L681" s="104"/>
      <c r="M681" s="104"/>
      <c r="N681" s="88"/>
      <c r="O681" s="105"/>
      <c r="AA681" s="51"/>
      <c r="AB681" s="50"/>
      <c r="AC681" s="51"/>
      <c r="AD681" s="51"/>
      <c r="AF681" s="51"/>
    </row>
    <row r="682" spans="2:33" x14ac:dyDescent="0.3">
      <c r="B682" s="46"/>
      <c r="D682" s="37"/>
      <c r="E682" s="37"/>
      <c r="F682" s="78"/>
      <c r="G682" s="78"/>
      <c r="H682" s="46"/>
      <c r="J682" s="103"/>
      <c r="K682" s="103"/>
      <c r="L682" s="104"/>
      <c r="M682" s="104"/>
      <c r="N682" s="88"/>
      <c r="O682" s="105"/>
      <c r="AA682" s="51"/>
      <c r="AB682" s="50"/>
      <c r="AC682" s="51"/>
      <c r="AD682" s="51"/>
      <c r="AF682" s="51"/>
    </row>
    <row r="683" spans="2:33" x14ac:dyDescent="0.3">
      <c r="B683" s="46"/>
      <c r="D683" s="37"/>
      <c r="E683" s="37"/>
      <c r="F683" s="78"/>
      <c r="G683" s="78"/>
      <c r="H683" s="46"/>
      <c r="J683" s="103"/>
      <c r="K683" s="103"/>
      <c r="L683" s="104"/>
      <c r="M683" s="104"/>
      <c r="N683" s="88"/>
      <c r="O683" s="105"/>
      <c r="AA683" s="51"/>
      <c r="AB683" s="50"/>
      <c r="AC683" s="51"/>
      <c r="AD683" s="51"/>
      <c r="AF683" s="51"/>
    </row>
    <row r="684" spans="2:33" x14ac:dyDescent="0.3">
      <c r="B684" s="46"/>
      <c r="D684" s="37"/>
      <c r="E684" s="37"/>
      <c r="F684" s="78"/>
      <c r="G684" s="78"/>
      <c r="H684" s="46"/>
      <c r="J684" s="103"/>
      <c r="K684" s="103"/>
      <c r="L684" s="104"/>
      <c r="M684" s="104"/>
      <c r="N684" s="88"/>
      <c r="O684" s="105"/>
      <c r="AA684" s="51"/>
      <c r="AB684" s="50"/>
      <c r="AC684" s="51"/>
      <c r="AD684" s="51"/>
      <c r="AF684" s="51"/>
    </row>
    <row r="685" spans="2:33" x14ac:dyDescent="0.3">
      <c r="B685" s="46"/>
      <c r="D685" s="37"/>
      <c r="E685" s="37"/>
      <c r="F685" s="78"/>
      <c r="G685" s="78"/>
      <c r="H685" s="46"/>
      <c r="J685" s="103"/>
      <c r="K685" s="103"/>
      <c r="L685" s="104"/>
      <c r="M685" s="104"/>
      <c r="N685" s="88"/>
      <c r="O685" s="105"/>
      <c r="AA685" s="51"/>
      <c r="AB685" s="50"/>
      <c r="AC685" s="51"/>
      <c r="AD685" s="51"/>
      <c r="AF685" s="51"/>
    </row>
    <row r="686" spans="2:33" x14ac:dyDescent="0.3">
      <c r="B686" s="46"/>
      <c r="D686" s="37"/>
      <c r="E686" s="37"/>
      <c r="F686" s="78"/>
      <c r="G686" s="78"/>
      <c r="H686" s="46"/>
      <c r="J686" s="103"/>
      <c r="K686" s="103"/>
      <c r="L686" s="104"/>
      <c r="M686" s="104"/>
      <c r="N686" s="88"/>
      <c r="O686" s="105"/>
      <c r="AA686" s="51"/>
      <c r="AB686" s="50"/>
      <c r="AC686" s="51"/>
      <c r="AD686" s="51"/>
      <c r="AF686" s="51"/>
    </row>
    <row r="687" spans="2:33" x14ac:dyDescent="0.3">
      <c r="B687" s="46"/>
      <c r="D687" s="37"/>
      <c r="E687" s="37"/>
      <c r="F687" s="78"/>
      <c r="G687" s="78"/>
      <c r="H687" s="46"/>
      <c r="J687" s="103"/>
      <c r="K687" s="103"/>
      <c r="L687" s="104"/>
      <c r="M687" s="104"/>
      <c r="N687" s="88"/>
      <c r="O687" s="105"/>
      <c r="AA687" s="51"/>
      <c r="AB687" s="50"/>
      <c r="AC687" s="51"/>
      <c r="AD687" s="51"/>
      <c r="AF687" s="51"/>
    </row>
    <row r="688" spans="2:33" x14ac:dyDescent="0.3">
      <c r="B688" s="46"/>
      <c r="D688" s="37"/>
      <c r="E688" s="37"/>
      <c r="F688" s="78"/>
      <c r="G688" s="78"/>
      <c r="H688" s="46"/>
      <c r="J688" s="103"/>
      <c r="K688" s="103"/>
      <c r="L688" s="104"/>
      <c r="M688" s="104"/>
      <c r="N688" s="88"/>
      <c r="O688" s="105"/>
      <c r="AA688" s="51"/>
      <c r="AB688" s="50"/>
      <c r="AC688" s="51"/>
      <c r="AD688" s="51"/>
      <c r="AF688" s="51"/>
    </row>
    <row r="689" spans="2:32" x14ac:dyDescent="0.3">
      <c r="B689" s="46"/>
      <c r="D689" s="37"/>
      <c r="E689" s="37"/>
      <c r="F689" s="78"/>
      <c r="G689" s="78"/>
      <c r="H689" s="46"/>
      <c r="J689" s="103"/>
      <c r="K689" s="103"/>
      <c r="L689" s="104"/>
      <c r="M689" s="104"/>
      <c r="N689" s="88"/>
      <c r="O689" s="105"/>
      <c r="AA689" s="51"/>
      <c r="AB689" s="50"/>
      <c r="AC689" s="51"/>
      <c r="AD689" s="51"/>
      <c r="AF689" s="51"/>
    </row>
    <row r="690" spans="2:32" x14ac:dyDescent="0.3">
      <c r="B690" s="46"/>
      <c r="D690" s="37"/>
      <c r="E690" s="37"/>
      <c r="F690" s="78"/>
      <c r="G690" s="78"/>
      <c r="H690" s="46"/>
      <c r="J690" s="103"/>
      <c r="K690" s="103"/>
      <c r="L690" s="104"/>
      <c r="M690" s="104"/>
      <c r="N690" s="88"/>
      <c r="O690" s="105"/>
      <c r="AA690" s="51"/>
      <c r="AB690" s="50"/>
      <c r="AC690" s="51"/>
      <c r="AD690" s="51"/>
      <c r="AF690" s="51"/>
    </row>
    <row r="691" spans="2:32" x14ac:dyDescent="0.3">
      <c r="B691" s="46"/>
      <c r="D691" s="37"/>
      <c r="E691" s="37"/>
      <c r="F691" s="78"/>
      <c r="G691" s="78"/>
      <c r="H691" s="46"/>
      <c r="J691" s="103"/>
      <c r="K691" s="103"/>
      <c r="L691" s="104"/>
      <c r="M691" s="104"/>
      <c r="N691" s="88"/>
      <c r="O691" s="105"/>
      <c r="AA691" s="51"/>
      <c r="AB691" s="50"/>
      <c r="AC691" s="51"/>
      <c r="AD691" s="51"/>
      <c r="AF691" s="51"/>
    </row>
    <row r="692" spans="2:32" x14ac:dyDescent="0.3">
      <c r="B692" s="46"/>
      <c r="D692" s="37"/>
      <c r="E692" s="37"/>
      <c r="F692" s="78"/>
      <c r="G692" s="78"/>
      <c r="H692" s="46"/>
      <c r="J692" s="103"/>
      <c r="K692" s="103"/>
      <c r="L692" s="104"/>
      <c r="M692" s="104"/>
      <c r="N692" s="88"/>
      <c r="O692" s="105"/>
      <c r="AA692" s="51"/>
      <c r="AB692" s="50"/>
      <c r="AC692" s="51"/>
      <c r="AD692" s="51"/>
      <c r="AF692" s="51"/>
    </row>
    <row r="693" spans="2:32" x14ac:dyDescent="0.3">
      <c r="B693" s="46"/>
      <c r="D693" s="37"/>
      <c r="E693" s="37"/>
      <c r="F693" s="78"/>
      <c r="G693" s="78"/>
      <c r="H693" s="46"/>
      <c r="J693" s="103"/>
      <c r="K693" s="103"/>
      <c r="L693" s="104"/>
      <c r="M693" s="104"/>
      <c r="N693" s="88"/>
      <c r="O693" s="105"/>
      <c r="AA693" s="51"/>
      <c r="AB693" s="50"/>
      <c r="AC693" s="51"/>
      <c r="AD693" s="51"/>
      <c r="AF693" s="51"/>
    </row>
    <row r="694" spans="2:32" x14ac:dyDescent="0.3">
      <c r="B694" s="46"/>
      <c r="D694" s="37"/>
      <c r="E694" s="37"/>
      <c r="F694" s="78"/>
      <c r="G694" s="78"/>
      <c r="H694" s="46"/>
      <c r="J694" s="103"/>
      <c r="K694" s="103"/>
      <c r="L694" s="104"/>
      <c r="M694" s="104"/>
      <c r="N694" s="88"/>
      <c r="O694" s="105"/>
      <c r="AA694" s="51"/>
      <c r="AB694" s="50"/>
      <c r="AC694" s="51"/>
      <c r="AD694" s="51"/>
      <c r="AF694" s="51"/>
    </row>
    <row r="695" spans="2:32" x14ac:dyDescent="0.3">
      <c r="B695" s="46"/>
      <c r="D695" s="37"/>
      <c r="E695" s="37"/>
      <c r="F695" s="78"/>
      <c r="G695" s="78"/>
      <c r="H695" s="46"/>
      <c r="J695" s="103"/>
      <c r="K695" s="103"/>
      <c r="L695" s="104"/>
      <c r="M695" s="104"/>
      <c r="N695" s="88"/>
      <c r="O695" s="105"/>
      <c r="AA695" s="51"/>
      <c r="AB695" s="50"/>
      <c r="AC695" s="51"/>
      <c r="AD695" s="51"/>
      <c r="AF695" s="51"/>
    </row>
    <row r="696" spans="2:32" x14ac:dyDescent="0.3">
      <c r="B696" s="46"/>
      <c r="D696" s="37"/>
      <c r="E696" s="37"/>
      <c r="F696" s="78"/>
      <c r="G696" s="78"/>
      <c r="H696" s="46"/>
      <c r="J696" s="103"/>
      <c r="K696" s="103"/>
      <c r="L696" s="104"/>
      <c r="M696" s="104"/>
      <c r="N696" s="88"/>
      <c r="O696" s="105"/>
      <c r="AA696" s="51"/>
      <c r="AB696" s="50"/>
      <c r="AC696" s="51"/>
      <c r="AD696" s="51"/>
      <c r="AF696" s="51"/>
    </row>
    <row r="697" spans="2:32" x14ac:dyDescent="0.3">
      <c r="B697" s="46"/>
      <c r="D697" s="37"/>
      <c r="E697" s="37"/>
      <c r="F697" s="78"/>
      <c r="G697" s="78"/>
      <c r="H697" s="46"/>
      <c r="J697" s="103"/>
      <c r="K697" s="103"/>
      <c r="L697" s="104"/>
      <c r="M697" s="104"/>
      <c r="N697" s="88"/>
      <c r="O697" s="105"/>
      <c r="AA697" s="51"/>
      <c r="AB697" s="50"/>
      <c r="AC697" s="51"/>
      <c r="AD697" s="51"/>
      <c r="AF697" s="51"/>
    </row>
    <row r="698" spans="2:32" x14ac:dyDescent="0.3">
      <c r="B698" s="46"/>
      <c r="D698" s="37"/>
      <c r="E698" s="37"/>
      <c r="F698" s="78"/>
      <c r="G698" s="78"/>
      <c r="H698" s="46"/>
      <c r="J698" s="103"/>
      <c r="K698" s="103"/>
      <c r="L698" s="104"/>
      <c r="M698" s="104"/>
      <c r="N698" s="88"/>
      <c r="O698" s="105"/>
      <c r="AA698" s="51"/>
      <c r="AB698" s="50"/>
      <c r="AC698" s="51"/>
      <c r="AD698" s="51"/>
      <c r="AF698" s="51"/>
    </row>
    <row r="699" spans="2:32" x14ac:dyDescent="0.3">
      <c r="B699" s="46"/>
      <c r="D699" s="37"/>
      <c r="E699" s="37"/>
      <c r="F699" s="78"/>
      <c r="G699" s="78"/>
      <c r="H699" s="46"/>
      <c r="J699" s="103"/>
      <c r="K699" s="103"/>
      <c r="L699" s="104"/>
      <c r="M699" s="104"/>
      <c r="N699" s="88"/>
      <c r="O699" s="105"/>
      <c r="AA699" s="51"/>
      <c r="AB699" s="50"/>
      <c r="AC699" s="51"/>
      <c r="AD699" s="51"/>
      <c r="AF699" s="51"/>
    </row>
    <row r="700" spans="2:32" x14ac:dyDescent="0.3">
      <c r="B700" s="46"/>
      <c r="D700" s="37"/>
      <c r="E700" s="37"/>
      <c r="F700" s="78"/>
      <c r="G700" s="78"/>
      <c r="H700" s="46"/>
      <c r="J700" s="103"/>
      <c r="K700" s="103"/>
      <c r="L700" s="104"/>
      <c r="M700" s="104"/>
      <c r="N700" s="88"/>
      <c r="O700" s="105"/>
      <c r="AA700" s="51"/>
      <c r="AB700" s="50"/>
      <c r="AC700" s="51"/>
      <c r="AD700" s="51"/>
      <c r="AF700" s="51"/>
    </row>
    <row r="701" spans="2:32" x14ac:dyDescent="0.3">
      <c r="B701" s="46"/>
      <c r="D701" s="37"/>
      <c r="E701" s="37"/>
      <c r="F701" s="78"/>
      <c r="G701" s="78"/>
      <c r="H701" s="46"/>
      <c r="J701" s="103"/>
      <c r="K701" s="103"/>
      <c r="L701" s="104"/>
      <c r="M701" s="104"/>
      <c r="N701" s="88"/>
      <c r="O701" s="105"/>
      <c r="AA701" s="51"/>
      <c r="AB701" s="50"/>
      <c r="AC701" s="51"/>
      <c r="AD701" s="51"/>
      <c r="AF701" s="51"/>
    </row>
    <row r="702" spans="2:32" x14ac:dyDescent="0.3">
      <c r="B702" s="46"/>
      <c r="D702" s="37"/>
      <c r="E702" s="37"/>
      <c r="F702" s="78"/>
      <c r="G702" s="78"/>
      <c r="H702" s="46"/>
      <c r="J702" s="103"/>
      <c r="K702" s="103"/>
      <c r="L702" s="104"/>
      <c r="M702" s="104"/>
      <c r="N702" s="88"/>
      <c r="O702" s="105"/>
      <c r="AA702" s="51"/>
      <c r="AB702" s="50"/>
      <c r="AC702" s="51"/>
      <c r="AD702" s="51"/>
      <c r="AF702" s="51"/>
    </row>
    <row r="703" spans="2:32" x14ac:dyDescent="0.3">
      <c r="B703" s="46"/>
      <c r="D703" s="37"/>
      <c r="E703" s="37"/>
      <c r="F703" s="78"/>
      <c r="G703" s="78"/>
      <c r="H703" s="46"/>
      <c r="J703" s="103"/>
      <c r="K703" s="103"/>
      <c r="L703" s="104"/>
      <c r="M703" s="104"/>
      <c r="N703" s="88"/>
      <c r="O703" s="105"/>
      <c r="AA703" s="51"/>
      <c r="AB703" s="50"/>
      <c r="AC703" s="51"/>
      <c r="AD703" s="51"/>
      <c r="AF703" s="51"/>
    </row>
    <row r="704" spans="2:32" x14ac:dyDescent="0.3">
      <c r="B704" s="46"/>
      <c r="D704" s="37"/>
      <c r="E704" s="37"/>
      <c r="F704" s="78"/>
      <c r="G704" s="78"/>
      <c r="H704" s="46"/>
      <c r="J704" s="103"/>
      <c r="K704" s="103"/>
      <c r="L704" s="104"/>
      <c r="M704" s="104"/>
      <c r="N704" s="88"/>
      <c r="O704" s="105"/>
      <c r="AA704" s="51"/>
      <c r="AB704" s="50"/>
      <c r="AC704" s="51"/>
      <c r="AD704" s="51"/>
      <c r="AF704" s="51"/>
    </row>
    <row r="705" spans="2:33" x14ac:dyDescent="0.3">
      <c r="B705" s="46"/>
      <c r="D705" s="37"/>
      <c r="E705" s="37"/>
      <c r="F705" s="78"/>
      <c r="G705" s="78"/>
      <c r="H705" s="46"/>
      <c r="J705" s="103"/>
      <c r="K705" s="103"/>
      <c r="L705" s="104"/>
      <c r="M705" s="104"/>
      <c r="N705" s="88"/>
      <c r="O705" s="105"/>
      <c r="AA705" s="51"/>
      <c r="AB705" s="50"/>
      <c r="AC705" s="51"/>
      <c r="AD705" s="51"/>
      <c r="AF705" s="51"/>
    </row>
    <row r="706" spans="2:33" x14ac:dyDescent="0.3">
      <c r="B706" s="46"/>
      <c r="D706" s="37"/>
      <c r="E706" s="37"/>
      <c r="F706" s="78"/>
      <c r="G706" s="78"/>
      <c r="H706" s="46"/>
      <c r="J706" s="103"/>
      <c r="K706" s="103"/>
      <c r="L706" s="104"/>
      <c r="M706" s="104"/>
      <c r="N706" s="88"/>
      <c r="O706" s="105"/>
      <c r="AA706" s="51"/>
      <c r="AB706" s="50"/>
      <c r="AC706" s="106"/>
      <c r="AD706" s="106"/>
      <c r="AE706" s="107"/>
      <c r="AF706" s="106"/>
      <c r="AG706" s="108"/>
    </row>
    <row r="707" spans="2:33" x14ac:dyDescent="0.3">
      <c r="B707" s="46"/>
      <c r="D707" s="37"/>
      <c r="E707" s="37"/>
      <c r="F707" s="78"/>
      <c r="G707" s="78"/>
      <c r="H707" s="46"/>
      <c r="J707" s="103"/>
      <c r="K707" s="103"/>
      <c r="L707" s="104"/>
      <c r="M707" s="104"/>
      <c r="N707" s="88"/>
      <c r="O707" s="105"/>
      <c r="AA707" s="51"/>
      <c r="AB707" s="50"/>
      <c r="AC707" s="51"/>
      <c r="AD707" s="51"/>
      <c r="AF707" s="51"/>
    </row>
    <row r="708" spans="2:33" x14ac:dyDescent="0.3">
      <c r="B708" s="46"/>
      <c r="D708" s="37"/>
      <c r="E708" s="37"/>
      <c r="F708" s="78"/>
      <c r="G708" s="78"/>
      <c r="H708" s="46"/>
      <c r="J708" s="103"/>
      <c r="K708" s="103"/>
      <c r="L708" s="104"/>
      <c r="M708" s="104"/>
      <c r="N708" s="88"/>
      <c r="O708" s="105"/>
      <c r="AA708" s="51"/>
      <c r="AB708" s="50"/>
      <c r="AC708" s="51"/>
      <c r="AD708" s="51"/>
      <c r="AF708" s="51"/>
    </row>
    <row r="709" spans="2:33" x14ac:dyDescent="0.3">
      <c r="B709" s="46"/>
      <c r="D709" s="37"/>
      <c r="E709" s="37"/>
      <c r="F709" s="78"/>
      <c r="G709" s="78"/>
      <c r="H709" s="46"/>
      <c r="J709" s="103"/>
      <c r="K709" s="103"/>
      <c r="L709" s="104"/>
      <c r="M709" s="104"/>
      <c r="N709" s="88"/>
      <c r="O709" s="105"/>
      <c r="AA709" s="51"/>
      <c r="AB709" s="50"/>
      <c r="AC709" s="51"/>
      <c r="AD709" s="51"/>
      <c r="AF709" s="51"/>
    </row>
    <row r="710" spans="2:33" x14ac:dyDescent="0.3">
      <c r="B710" s="46"/>
      <c r="D710" s="37"/>
      <c r="E710" s="37"/>
      <c r="F710" s="78"/>
      <c r="G710" s="78"/>
      <c r="H710" s="46"/>
      <c r="J710" s="103"/>
      <c r="K710" s="103"/>
      <c r="L710" s="104"/>
      <c r="M710" s="104"/>
      <c r="N710" s="88"/>
      <c r="O710" s="105"/>
      <c r="AA710" s="51"/>
      <c r="AB710" s="50"/>
      <c r="AC710" s="51"/>
      <c r="AD710" s="51"/>
      <c r="AF710" s="51"/>
    </row>
    <row r="711" spans="2:33" x14ac:dyDescent="0.3">
      <c r="B711" s="46"/>
      <c r="D711" s="37"/>
      <c r="E711" s="37"/>
      <c r="F711" s="78"/>
      <c r="G711" s="78"/>
      <c r="H711" s="46"/>
      <c r="J711" s="103"/>
      <c r="K711" s="103"/>
      <c r="L711" s="104"/>
      <c r="M711" s="104"/>
      <c r="N711" s="88"/>
      <c r="O711" s="105"/>
      <c r="AA711" s="51"/>
      <c r="AB711" s="50"/>
      <c r="AC711" s="51"/>
      <c r="AD711" s="51"/>
      <c r="AF711" s="51"/>
    </row>
    <row r="712" spans="2:33" x14ac:dyDescent="0.3">
      <c r="B712" s="46"/>
      <c r="D712" s="37"/>
      <c r="E712" s="37"/>
      <c r="F712" s="78"/>
      <c r="G712" s="78"/>
      <c r="H712" s="46"/>
      <c r="J712" s="103"/>
      <c r="K712" s="103"/>
      <c r="L712" s="104"/>
      <c r="M712" s="104"/>
      <c r="N712" s="88"/>
      <c r="O712" s="105"/>
      <c r="AA712" s="51"/>
      <c r="AB712" s="50"/>
      <c r="AC712" s="51"/>
      <c r="AD712" s="51"/>
      <c r="AF712" s="51"/>
    </row>
    <row r="713" spans="2:33" x14ac:dyDescent="0.3">
      <c r="B713" s="46"/>
      <c r="D713" s="37"/>
      <c r="E713" s="37"/>
      <c r="F713" s="78"/>
      <c r="G713" s="78"/>
      <c r="H713" s="46"/>
      <c r="J713" s="103"/>
      <c r="K713" s="103"/>
      <c r="L713" s="104"/>
      <c r="M713" s="104"/>
      <c r="N713" s="88"/>
      <c r="O713" s="105"/>
      <c r="AA713" s="51"/>
      <c r="AB713" s="50"/>
      <c r="AC713" s="51"/>
      <c r="AD713" s="51"/>
      <c r="AF713" s="51"/>
    </row>
    <row r="714" spans="2:33" x14ac:dyDescent="0.3">
      <c r="B714" s="46"/>
      <c r="D714" s="37"/>
      <c r="E714" s="37"/>
      <c r="F714" s="78"/>
      <c r="G714" s="78"/>
      <c r="H714" s="46"/>
      <c r="J714" s="103"/>
      <c r="K714" s="103"/>
      <c r="L714" s="104"/>
      <c r="M714" s="104"/>
      <c r="N714" s="88"/>
      <c r="O714" s="105"/>
      <c r="AA714" s="51"/>
      <c r="AB714" s="50"/>
      <c r="AC714" s="51"/>
      <c r="AD714" s="51"/>
      <c r="AF714" s="51"/>
    </row>
    <row r="715" spans="2:33" x14ac:dyDescent="0.3">
      <c r="B715" s="46"/>
      <c r="D715" s="37"/>
      <c r="E715" s="37"/>
      <c r="F715" s="78"/>
      <c r="G715" s="78"/>
      <c r="H715" s="46"/>
      <c r="J715" s="103"/>
      <c r="K715" s="103"/>
      <c r="L715" s="104"/>
      <c r="M715" s="104"/>
      <c r="N715" s="88"/>
      <c r="O715" s="105"/>
      <c r="AA715" s="51"/>
      <c r="AB715" s="50"/>
      <c r="AC715" s="51"/>
      <c r="AD715" s="51"/>
      <c r="AF715" s="51"/>
    </row>
    <row r="716" spans="2:33" x14ac:dyDescent="0.3">
      <c r="B716" s="46"/>
      <c r="D716" s="37"/>
      <c r="E716" s="37"/>
      <c r="F716" s="78"/>
      <c r="G716" s="78"/>
      <c r="H716" s="46"/>
      <c r="J716" s="103"/>
      <c r="K716" s="103"/>
      <c r="L716" s="104"/>
      <c r="M716" s="104"/>
      <c r="N716" s="88"/>
      <c r="O716" s="105"/>
      <c r="AA716" s="51"/>
      <c r="AB716" s="50"/>
      <c r="AC716" s="51"/>
      <c r="AD716" s="51"/>
      <c r="AF716" s="51"/>
    </row>
    <row r="717" spans="2:33" x14ac:dyDescent="0.3">
      <c r="B717" s="46"/>
      <c r="D717" s="37"/>
      <c r="E717" s="37"/>
      <c r="F717" s="78"/>
      <c r="G717" s="78"/>
      <c r="H717" s="46"/>
      <c r="J717" s="103"/>
      <c r="K717" s="103"/>
      <c r="L717" s="104"/>
      <c r="M717" s="104"/>
      <c r="N717" s="88"/>
      <c r="O717" s="105"/>
      <c r="AA717" s="51"/>
      <c r="AB717" s="50"/>
      <c r="AC717" s="51"/>
      <c r="AD717" s="51"/>
      <c r="AF717" s="51"/>
    </row>
    <row r="718" spans="2:33" x14ac:dyDescent="0.3">
      <c r="B718" s="46"/>
      <c r="D718" s="37"/>
      <c r="E718" s="37"/>
      <c r="F718" s="78"/>
      <c r="G718" s="78"/>
      <c r="H718" s="46"/>
      <c r="J718" s="103"/>
      <c r="K718" s="103"/>
      <c r="L718" s="104"/>
      <c r="M718" s="104"/>
      <c r="N718" s="88"/>
      <c r="O718" s="105"/>
      <c r="AA718" s="51"/>
      <c r="AB718" s="50"/>
      <c r="AC718" s="51"/>
      <c r="AD718" s="51"/>
      <c r="AF718" s="51"/>
    </row>
    <row r="719" spans="2:33" x14ac:dyDescent="0.3">
      <c r="B719" s="46"/>
      <c r="D719" s="37"/>
      <c r="E719" s="37"/>
      <c r="F719" s="78"/>
      <c r="G719" s="78"/>
      <c r="H719" s="46"/>
      <c r="J719" s="103"/>
      <c r="K719" s="103"/>
      <c r="L719" s="104"/>
      <c r="M719" s="104"/>
      <c r="N719" s="88"/>
      <c r="O719" s="105"/>
      <c r="AA719" s="51"/>
      <c r="AB719" s="50"/>
      <c r="AC719" s="51"/>
      <c r="AD719" s="51"/>
      <c r="AF719" s="51"/>
    </row>
    <row r="720" spans="2:33" x14ac:dyDescent="0.3">
      <c r="B720" s="46"/>
      <c r="D720" s="37"/>
      <c r="E720" s="37"/>
      <c r="F720" s="78"/>
      <c r="G720" s="78"/>
      <c r="H720" s="46"/>
      <c r="J720" s="103"/>
      <c r="K720" s="103"/>
      <c r="L720" s="104"/>
      <c r="M720" s="104"/>
      <c r="N720" s="88"/>
      <c r="O720" s="105"/>
      <c r="AA720" s="51"/>
      <c r="AB720" s="50"/>
      <c r="AC720" s="51"/>
      <c r="AD720" s="51"/>
      <c r="AF720" s="51"/>
    </row>
    <row r="721" spans="2:32" x14ac:dyDescent="0.3">
      <c r="B721" s="46"/>
      <c r="D721" s="37"/>
      <c r="E721" s="37"/>
      <c r="F721" s="78"/>
      <c r="G721" s="78"/>
      <c r="H721" s="46"/>
      <c r="J721" s="103"/>
      <c r="K721" s="103"/>
      <c r="L721" s="104"/>
      <c r="M721" s="104"/>
      <c r="N721" s="88"/>
      <c r="O721" s="105"/>
      <c r="AA721" s="51"/>
      <c r="AB721" s="50"/>
      <c r="AC721" s="51"/>
      <c r="AD721" s="51"/>
      <c r="AF721" s="51"/>
    </row>
    <row r="722" spans="2:32" x14ac:dyDescent="0.3">
      <c r="B722" s="46"/>
      <c r="D722" s="37"/>
      <c r="E722" s="37"/>
      <c r="F722" s="78"/>
      <c r="G722" s="78"/>
      <c r="H722" s="46"/>
      <c r="J722" s="103"/>
      <c r="K722" s="103"/>
      <c r="L722" s="104"/>
      <c r="M722" s="104"/>
      <c r="N722" s="88"/>
      <c r="O722" s="105"/>
      <c r="AA722" s="51"/>
      <c r="AB722" s="50"/>
      <c r="AC722" s="51"/>
      <c r="AD722" s="51"/>
      <c r="AF722" s="51"/>
    </row>
    <row r="723" spans="2:32" x14ac:dyDescent="0.3">
      <c r="B723" s="46"/>
      <c r="D723" s="37"/>
      <c r="E723" s="37"/>
      <c r="F723" s="78"/>
      <c r="G723" s="78"/>
      <c r="H723" s="46"/>
      <c r="J723" s="103"/>
      <c r="K723" s="103"/>
      <c r="L723" s="104"/>
      <c r="M723" s="104"/>
      <c r="N723" s="88"/>
      <c r="O723" s="105"/>
      <c r="AA723" s="51"/>
      <c r="AB723" s="50"/>
      <c r="AC723" s="51"/>
      <c r="AD723" s="51"/>
      <c r="AF723" s="51"/>
    </row>
    <row r="724" spans="2:32" x14ac:dyDescent="0.3">
      <c r="B724" s="46"/>
      <c r="D724" s="37"/>
      <c r="E724" s="37"/>
      <c r="F724" s="78"/>
      <c r="G724" s="78"/>
      <c r="H724" s="46"/>
      <c r="J724" s="103"/>
      <c r="K724" s="103"/>
      <c r="L724" s="104"/>
      <c r="M724" s="104"/>
      <c r="N724" s="88"/>
      <c r="O724" s="105"/>
      <c r="AA724" s="51"/>
      <c r="AB724" s="50"/>
      <c r="AC724" s="51"/>
      <c r="AD724" s="51"/>
      <c r="AF724" s="51"/>
    </row>
    <row r="725" spans="2:32" x14ac:dyDescent="0.3">
      <c r="B725" s="46"/>
      <c r="D725" s="37"/>
      <c r="E725" s="37"/>
      <c r="F725" s="78"/>
      <c r="G725" s="78"/>
      <c r="H725" s="46"/>
      <c r="J725" s="103"/>
      <c r="K725" s="103"/>
      <c r="L725" s="104"/>
      <c r="M725" s="104"/>
      <c r="N725" s="88"/>
      <c r="O725" s="105"/>
      <c r="AA725" s="51"/>
      <c r="AB725" s="50"/>
      <c r="AC725" s="51"/>
      <c r="AD725" s="51"/>
      <c r="AF725" s="51"/>
    </row>
    <row r="726" spans="2:32" x14ac:dyDescent="0.3">
      <c r="B726" s="46"/>
      <c r="D726" s="37"/>
      <c r="E726" s="37"/>
      <c r="F726" s="78"/>
      <c r="G726" s="78"/>
      <c r="H726" s="46"/>
      <c r="J726" s="103"/>
      <c r="K726" s="103"/>
      <c r="L726" s="104"/>
      <c r="M726" s="104"/>
      <c r="N726" s="88"/>
      <c r="O726" s="105"/>
      <c r="AA726" s="51"/>
      <c r="AB726" s="50"/>
      <c r="AC726" s="51"/>
      <c r="AD726" s="51"/>
      <c r="AF726" s="51"/>
    </row>
    <row r="727" spans="2:32" x14ac:dyDescent="0.3">
      <c r="B727" s="46"/>
      <c r="D727" s="37"/>
      <c r="E727" s="37"/>
      <c r="F727" s="78"/>
      <c r="G727" s="78"/>
      <c r="H727" s="46"/>
      <c r="J727" s="103"/>
      <c r="K727" s="103"/>
      <c r="L727" s="104"/>
      <c r="M727" s="104"/>
      <c r="N727" s="88"/>
      <c r="O727" s="105"/>
      <c r="AA727" s="51"/>
      <c r="AB727" s="50"/>
      <c r="AC727" s="51"/>
      <c r="AD727" s="51"/>
      <c r="AF727" s="51"/>
    </row>
    <row r="728" spans="2:32" x14ac:dyDescent="0.3">
      <c r="B728" s="46"/>
      <c r="D728" s="37"/>
      <c r="E728" s="37"/>
      <c r="F728" s="78"/>
      <c r="G728" s="78"/>
      <c r="H728" s="46"/>
      <c r="J728" s="103"/>
      <c r="K728" s="103"/>
      <c r="L728" s="104"/>
      <c r="M728" s="104"/>
      <c r="N728" s="88"/>
      <c r="O728" s="105"/>
      <c r="AA728" s="51"/>
      <c r="AB728" s="50"/>
      <c r="AC728" s="51"/>
      <c r="AD728" s="51"/>
      <c r="AF728" s="51"/>
    </row>
    <row r="729" spans="2:32" x14ac:dyDescent="0.3">
      <c r="B729" s="46"/>
      <c r="D729" s="37"/>
      <c r="E729" s="37"/>
      <c r="F729" s="78"/>
      <c r="G729" s="78"/>
      <c r="H729" s="46"/>
      <c r="J729" s="103"/>
      <c r="K729" s="103"/>
      <c r="L729" s="104"/>
      <c r="M729" s="104"/>
      <c r="N729" s="88"/>
      <c r="O729" s="105"/>
      <c r="AA729" s="51"/>
      <c r="AB729" s="50"/>
      <c r="AC729" s="51"/>
      <c r="AD729" s="51"/>
      <c r="AF729" s="51"/>
    </row>
    <row r="730" spans="2:32" x14ac:dyDescent="0.3">
      <c r="B730" s="46"/>
      <c r="D730" s="37"/>
      <c r="E730" s="37"/>
      <c r="F730" s="78"/>
      <c r="G730" s="78"/>
      <c r="H730" s="46"/>
      <c r="J730" s="103"/>
      <c r="K730" s="103"/>
      <c r="L730" s="104"/>
      <c r="M730" s="104"/>
      <c r="N730" s="88"/>
      <c r="O730" s="105"/>
      <c r="AA730" s="51"/>
      <c r="AB730" s="50"/>
      <c r="AC730" s="51"/>
      <c r="AD730" s="51"/>
      <c r="AF730" s="51"/>
    </row>
    <row r="731" spans="2:32" x14ac:dyDescent="0.3">
      <c r="B731" s="46"/>
      <c r="D731" s="37"/>
      <c r="E731" s="37"/>
      <c r="F731" s="78"/>
      <c r="G731" s="78"/>
      <c r="H731" s="46"/>
      <c r="J731" s="103"/>
      <c r="K731" s="103"/>
      <c r="L731" s="104"/>
      <c r="M731" s="104"/>
      <c r="N731" s="88"/>
      <c r="O731" s="105"/>
      <c r="AA731" s="51"/>
      <c r="AB731" s="50"/>
      <c r="AC731" s="51"/>
      <c r="AD731" s="51"/>
      <c r="AF731" s="51"/>
    </row>
    <row r="732" spans="2:32" x14ac:dyDescent="0.3">
      <c r="B732" s="46"/>
      <c r="D732" s="37"/>
      <c r="E732" s="37"/>
      <c r="F732" s="78"/>
      <c r="G732" s="78"/>
      <c r="H732" s="46"/>
      <c r="J732" s="103"/>
      <c r="K732" s="103"/>
      <c r="L732" s="104"/>
      <c r="M732" s="104"/>
      <c r="N732" s="88"/>
      <c r="O732" s="105"/>
      <c r="AA732" s="51"/>
      <c r="AB732" s="50"/>
      <c r="AC732" s="51"/>
      <c r="AD732" s="51"/>
      <c r="AF732" s="51"/>
    </row>
    <row r="733" spans="2:32" x14ac:dyDescent="0.3">
      <c r="B733" s="46"/>
      <c r="D733" s="37"/>
      <c r="E733" s="37"/>
      <c r="F733" s="78"/>
      <c r="G733" s="78"/>
      <c r="H733" s="46"/>
      <c r="J733" s="103"/>
      <c r="K733" s="103"/>
      <c r="L733" s="104"/>
      <c r="M733" s="104"/>
      <c r="N733" s="88"/>
      <c r="O733" s="105"/>
      <c r="AA733" s="51"/>
      <c r="AB733" s="50"/>
      <c r="AC733" s="51"/>
      <c r="AD733" s="51"/>
      <c r="AF733" s="51"/>
    </row>
    <row r="734" spans="2:32" x14ac:dyDescent="0.3">
      <c r="B734" s="46"/>
      <c r="D734" s="37"/>
      <c r="E734" s="37"/>
      <c r="F734" s="78"/>
      <c r="G734" s="78"/>
      <c r="H734" s="46"/>
      <c r="J734" s="103"/>
      <c r="K734" s="103"/>
      <c r="L734" s="104"/>
      <c r="M734" s="104"/>
      <c r="N734" s="88"/>
      <c r="O734" s="105"/>
      <c r="AA734" s="51"/>
      <c r="AB734" s="50"/>
      <c r="AC734" s="51"/>
      <c r="AD734" s="51"/>
      <c r="AF734" s="51"/>
    </row>
    <row r="735" spans="2:32" x14ac:dyDescent="0.3">
      <c r="B735" s="46"/>
      <c r="D735" s="37"/>
      <c r="E735" s="37"/>
      <c r="F735" s="78"/>
      <c r="G735" s="78"/>
      <c r="H735" s="46"/>
      <c r="J735" s="103"/>
      <c r="K735" s="103"/>
      <c r="L735" s="104"/>
      <c r="M735" s="104"/>
      <c r="N735" s="88"/>
      <c r="O735" s="105"/>
      <c r="AA735" s="51"/>
      <c r="AB735" s="50"/>
      <c r="AC735" s="51"/>
      <c r="AD735" s="51"/>
      <c r="AF735" s="51"/>
    </row>
    <row r="736" spans="2:32" x14ac:dyDescent="0.3">
      <c r="B736" s="46"/>
      <c r="D736" s="37"/>
      <c r="E736" s="37"/>
      <c r="F736" s="78"/>
      <c r="G736" s="78"/>
      <c r="H736" s="46"/>
      <c r="J736" s="103"/>
      <c r="K736" s="103"/>
      <c r="L736" s="104"/>
      <c r="M736" s="104"/>
      <c r="N736" s="88"/>
      <c r="O736" s="105"/>
      <c r="AA736" s="51"/>
      <c r="AB736" s="50"/>
      <c r="AC736" s="51"/>
      <c r="AD736" s="51"/>
      <c r="AF736" s="51"/>
    </row>
    <row r="737" spans="2:32" x14ac:dyDescent="0.3">
      <c r="B737" s="46"/>
      <c r="D737" s="37"/>
      <c r="E737" s="37"/>
      <c r="F737" s="78"/>
      <c r="G737" s="78"/>
      <c r="H737" s="46"/>
      <c r="J737" s="103"/>
      <c r="K737" s="103"/>
      <c r="L737" s="104"/>
      <c r="M737" s="104"/>
      <c r="N737" s="88"/>
      <c r="O737" s="105"/>
      <c r="AA737" s="51"/>
      <c r="AB737" s="50"/>
      <c r="AC737" s="51"/>
      <c r="AD737" s="51"/>
      <c r="AF737" s="51"/>
    </row>
    <row r="738" spans="2:32" x14ac:dyDescent="0.3">
      <c r="B738" s="46"/>
      <c r="D738" s="37"/>
      <c r="E738" s="37"/>
      <c r="F738" s="78"/>
      <c r="G738" s="78"/>
      <c r="H738" s="46"/>
      <c r="J738" s="103"/>
      <c r="K738" s="103"/>
      <c r="L738" s="104"/>
      <c r="M738" s="104"/>
      <c r="N738" s="88"/>
      <c r="O738" s="105"/>
      <c r="AA738" s="51"/>
      <c r="AB738" s="50"/>
      <c r="AC738" s="51"/>
      <c r="AD738" s="51"/>
      <c r="AF738" s="51"/>
    </row>
    <row r="739" spans="2:32" x14ac:dyDescent="0.3">
      <c r="B739" s="46"/>
      <c r="D739" s="37"/>
      <c r="E739" s="37"/>
      <c r="F739" s="78"/>
      <c r="G739" s="78"/>
      <c r="H739" s="46"/>
      <c r="J739" s="103"/>
      <c r="K739" s="103"/>
      <c r="L739" s="104"/>
      <c r="M739" s="104"/>
      <c r="N739" s="88"/>
      <c r="O739" s="105"/>
      <c r="AA739" s="51"/>
      <c r="AB739" s="50"/>
      <c r="AC739" s="51"/>
      <c r="AD739" s="51"/>
      <c r="AF739" s="51"/>
    </row>
    <row r="740" spans="2:32" x14ac:dyDescent="0.3">
      <c r="B740" s="46"/>
      <c r="D740" s="37"/>
      <c r="E740" s="37"/>
      <c r="F740" s="78"/>
      <c r="G740" s="78"/>
      <c r="H740" s="46"/>
      <c r="J740" s="103"/>
      <c r="K740" s="103"/>
      <c r="L740" s="104"/>
      <c r="M740" s="104"/>
      <c r="N740" s="88"/>
      <c r="O740" s="105"/>
      <c r="AA740" s="51"/>
      <c r="AB740" s="50"/>
      <c r="AC740" s="51"/>
      <c r="AD740" s="51"/>
      <c r="AF740" s="51"/>
    </row>
    <row r="741" spans="2:32" x14ac:dyDescent="0.3">
      <c r="B741" s="46"/>
      <c r="D741" s="37"/>
      <c r="E741" s="37"/>
      <c r="F741" s="78"/>
      <c r="G741" s="78"/>
      <c r="H741" s="46"/>
      <c r="J741" s="103"/>
      <c r="K741" s="103"/>
      <c r="L741" s="104"/>
      <c r="M741" s="104"/>
      <c r="N741" s="88"/>
      <c r="O741" s="105"/>
      <c r="AA741" s="51"/>
      <c r="AB741" s="50"/>
      <c r="AC741" s="51"/>
      <c r="AD741" s="51"/>
      <c r="AF741" s="51"/>
    </row>
    <row r="742" spans="2:32" x14ac:dyDescent="0.3">
      <c r="B742" s="46"/>
      <c r="D742" s="37"/>
      <c r="E742" s="37"/>
      <c r="F742" s="78"/>
      <c r="G742" s="78"/>
      <c r="H742" s="46"/>
      <c r="J742" s="103"/>
      <c r="K742" s="103"/>
      <c r="L742" s="104"/>
      <c r="M742" s="104"/>
      <c r="N742" s="88"/>
      <c r="O742" s="105"/>
      <c r="AA742" s="51"/>
      <c r="AB742" s="50"/>
      <c r="AC742" s="51"/>
      <c r="AD742" s="51"/>
      <c r="AF742" s="51"/>
    </row>
    <row r="743" spans="2:32" x14ac:dyDescent="0.3">
      <c r="B743" s="46"/>
      <c r="D743" s="37"/>
      <c r="E743" s="37"/>
      <c r="F743" s="78"/>
      <c r="G743" s="78"/>
      <c r="H743" s="46"/>
      <c r="J743" s="103"/>
      <c r="K743" s="103"/>
      <c r="L743" s="104"/>
      <c r="M743" s="104"/>
      <c r="N743" s="88"/>
      <c r="O743" s="105"/>
      <c r="AA743" s="51"/>
      <c r="AB743" s="50"/>
      <c r="AC743" s="51"/>
      <c r="AD743" s="51"/>
      <c r="AF743" s="51"/>
    </row>
    <row r="744" spans="2:32" x14ac:dyDescent="0.3">
      <c r="B744" s="46"/>
      <c r="D744" s="37"/>
      <c r="E744" s="37"/>
      <c r="F744" s="78"/>
      <c r="G744" s="78"/>
      <c r="H744" s="46"/>
      <c r="J744" s="103"/>
      <c r="K744" s="103"/>
      <c r="L744" s="104"/>
      <c r="M744" s="104"/>
      <c r="N744" s="88"/>
      <c r="O744" s="105"/>
      <c r="AA744" s="51"/>
      <c r="AB744" s="50"/>
      <c r="AC744" s="51"/>
      <c r="AD744" s="51"/>
      <c r="AF744" s="51"/>
    </row>
    <row r="745" spans="2:32" x14ac:dyDescent="0.3">
      <c r="B745" s="46"/>
      <c r="D745" s="37"/>
      <c r="E745" s="37"/>
      <c r="F745" s="78"/>
      <c r="G745" s="78"/>
      <c r="H745" s="46"/>
      <c r="J745" s="103"/>
      <c r="K745" s="103"/>
      <c r="L745" s="104"/>
      <c r="M745" s="104"/>
      <c r="N745" s="88"/>
      <c r="O745" s="105"/>
      <c r="AA745" s="51"/>
      <c r="AB745" s="50"/>
      <c r="AC745" s="51"/>
      <c r="AD745" s="51"/>
      <c r="AF745" s="51"/>
    </row>
    <row r="746" spans="2:32" x14ac:dyDescent="0.3">
      <c r="B746" s="46"/>
      <c r="D746" s="37"/>
      <c r="E746" s="37"/>
      <c r="F746" s="78"/>
      <c r="G746" s="78"/>
      <c r="H746" s="46"/>
      <c r="J746" s="103"/>
      <c r="K746" s="103"/>
      <c r="L746" s="104"/>
      <c r="M746" s="104"/>
      <c r="N746" s="88"/>
      <c r="O746" s="105"/>
      <c r="AA746" s="51"/>
      <c r="AB746" s="50"/>
      <c r="AC746" s="51"/>
      <c r="AD746" s="51"/>
      <c r="AF746" s="51"/>
    </row>
    <row r="747" spans="2:32" x14ac:dyDescent="0.3">
      <c r="B747" s="46"/>
      <c r="D747" s="37"/>
      <c r="E747" s="37"/>
      <c r="F747" s="78"/>
      <c r="G747" s="78"/>
      <c r="H747" s="46"/>
      <c r="J747" s="103"/>
      <c r="K747" s="103"/>
      <c r="L747" s="104"/>
      <c r="M747" s="104"/>
      <c r="N747" s="88"/>
      <c r="O747" s="105"/>
      <c r="AA747" s="51"/>
      <c r="AB747" s="50"/>
      <c r="AC747" s="51"/>
      <c r="AD747" s="51"/>
      <c r="AF747" s="51"/>
    </row>
    <row r="748" spans="2:32" x14ac:dyDescent="0.3">
      <c r="B748" s="46"/>
      <c r="D748" s="37"/>
      <c r="E748" s="37"/>
      <c r="F748" s="78"/>
      <c r="G748" s="78"/>
      <c r="H748" s="46"/>
      <c r="J748" s="103"/>
      <c r="K748" s="103"/>
      <c r="L748" s="104"/>
      <c r="M748" s="104"/>
      <c r="N748" s="88"/>
      <c r="O748" s="105"/>
      <c r="AA748" s="51"/>
      <c r="AB748" s="50"/>
      <c r="AC748" s="51"/>
      <c r="AD748" s="51"/>
      <c r="AF748" s="51"/>
    </row>
    <row r="749" spans="2:32" x14ac:dyDescent="0.3">
      <c r="B749" s="46"/>
      <c r="D749" s="37"/>
      <c r="E749" s="37"/>
      <c r="F749" s="78"/>
      <c r="G749" s="78"/>
      <c r="H749" s="46"/>
      <c r="J749" s="103"/>
      <c r="K749" s="103"/>
      <c r="L749" s="104"/>
      <c r="M749" s="104"/>
      <c r="N749" s="88"/>
      <c r="O749" s="105"/>
      <c r="AA749" s="51"/>
      <c r="AB749" s="50"/>
      <c r="AC749" s="51"/>
      <c r="AD749" s="51"/>
      <c r="AF749" s="51"/>
    </row>
    <row r="750" spans="2:32" x14ac:dyDescent="0.3">
      <c r="B750" s="46"/>
      <c r="D750" s="37"/>
      <c r="E750" s="37"/>
      <c r="F750" s="78"/>
      <c r="G750" s="78"/>
      <c r="H750" s="46"/>
      <c r="J750" s="103"/>
      <c r="K750" s="103"/>
      <c r="L750" s="104"/>
      <c r="M750" s="104"/>
      <c r="N750" s="88"/>
      <c r="O750" s="105"/>
      <c r="AA750" s="51"/>
      <c r="AB750" s="50"/>
      <c r="AC750" s="51"/>
      <c r="AD750" s="51"/>
      <c r="AF750" s="51"/>
    </row>
    <row r="751" spans="2:32" x14ac:dyDescent="0.3">
      <c r="B751" s="46"/>
      <c r="D751" s="37"/>
      <c r="E751" s="37"/>
      <c r="F751" s="78"/>
      <c r="G751" s="78"/>
      <c r="H751" s="46"/>
      <c r="J751" s="103"/>
      <c r="K751" s="103"/>
      <c r="L751" s="104"/>
      <c r="M751" s="104"/>
      <c r="N751" s="88"/>
      <c r="O751" s="105"/>
      <c r="AA751" s="51"/>
      <c r="AB751" s="50"/>
      <c r="AC751" s="51"/>
      <c r="AD751" s="51"/>
      <c r="AF751" s="51"/>
    </row>
    <row r="752" spans="2:32" x14ac:dyDescent="0.3">
      <c r="B752" s="46"/>
      <c r="D752" s="37"/>
      <c r="E752" s="37"/>
      <c r="F752" s="78"/>
      <c r="G752" s="78"/>
      <c r="H752" s="46"/>
      <c r="J752" s="103"/>
      <c r="K752" s="103"/>
      <c r="L752" s="104"/>
      <c r="M752" s="104"/>
      <c r="N752" s="88"/>
      <c r="O752" s="105"/>
      <c r="AA752" s="51"/>
      <c r="AB752" s="50"/>
      <c r="AC752" s="51"/>
      <c r="AD752" s="51"/>
      <c r="AF752" s="51"/>
    </row>
    <row r="753" spans="2:33" x14ac:dyDescent="0.3">
      <c r="B753" s="46"/>
      <c r="D753" s="37"/>
      <c r="E753" s="37"/>
      <c r="F753" s="78"/>
      <c r="G753" s="78"/>
      <c r="H753" s="46"/>
      <c r="J753" s="103"/>
      <c r="K753" s="103"/>
      <c r="L753" s="104"/>
      <c r="M753" s="104"/>
      <c r="N753" s="88"/>
      <c r="O753" s="105"/>
      <c r="AA753" s="51"/>
      <c r="AB753" s="50"/>
      <c r="AC753" s="51"/>
      <c r="AD753" s="51"/>
      <c r="AF753" s="51"/>
    </row>
    <row r="754" spans="2:33" x14ac:dyDescent="0.3">
      <c r="B754" s="46"/>
      <c r="D754" s="37"/>
      <c r="E754" s="37"/>
      <c r="F754" s="78"/>
      <c r="G754" s="78"/>
      <c r="H754" s="46"/>
      <c r="J754" s="103"/>
      <c r="K754" s="103"/>
      <c r="L754" s="104"/>
      <c r="M754" s="104"/>
      <c r="N754" s="88"/>
      <c r="O754" s="105"/>
      <c r="AA754" s="51"/>
      <c r="AB754" s="50"/>
      <c r="AC754" s="51"/>
      <c r="AD754" s="51"/>
      <c r="AF754" s="51"/>
    </row>
    <row r="755" spans="2:33" x14ac:dyDescent="0.3">
      <c r="B755" s="46"/>
      <c r="D755" s="37"/>
      <c r="E755" s="37"/>
      <c r="F755" s="78"/>
      <c r="G755" s="78"/>
      <c r="H755" s="46"/>
      <c r="J755" s="103"/>
      <c r="K755" s="103"/>
      <c r="L755" s="104"/>
      <c r="M755" s="104"/>
      <c r="N755" s="88"/>
      <c r="O755" s="105"/>
      <c r="AA755" s="51"/>
      <c r="AB755" s="50"/>
      <c r="AC755" s="51"/>
      <c r="AD755" s="51"/>
      <c r="AF755" s="51"/>
    </row>
    <row r="756" spans="2:33" x14ac:dyDescent="0.3">
      <c r="B756" s="46"/>
      <c r="D756" s="37"/>
      <c r="E756" s="37"/>
      <c r="F756" s="78"/>
      <c r="G756" s="78"/>
      <c r="H756" s="46"/>
      <c r="J756" s="103"/>
      <c r="K756" s="103"/>
      <c r="L756" s="104"/>
      <c r="M756" s="104"/>
      <c r="N756" s="88"/>
      <c r="O756" s="105"/>
      <c r="AA756" s="51"/>
      <c r="AB756" s="50"/>
      <c r="AC756" s="51"/>
      <c r="AD756" s="51"/>
      <c r="AF756" s="51"/>
    </row>
    <row r="757" spans="2:33" x14ac:dyDescent="0.3">
      <c r="B757" s="46"/>
      <c r="D757" s="37"/>
      <c r="E757" s="37"/>
      <c r="F757" s="78"/>
      <c r="G757" s="78"/>
      <c r="H757" s="46"/>
      <c r="J757" s="103"/>
      <c r="K757" s="103"/>
      <c r="L757" s="104"/>
      <c r="M757" s="104"/>
      <c r="N757" s="88"/>
      <c r="O757" s="105"/>
      <c r="AA757" s="51"/>
      <c r="AB757" s="50"/>
      <c r="AC757" s="51"/>
      <c r="AD757" s="51"/>
      <c r="AF757" s="51"/>
    </row>
    <row r="758" spans="2:33" x14ac:dyDescent="0.3">
      <c r="B758" s="46"/>
      <c r="D758" s="37"/>
      <c r="E758" s="37"/>
      <c r="F758" s="78"/>
      <c r="G758" s="78"/>
      <c r="H758" s="46"/>
      <c r="J758" s="103"/>
      <c r="K758" s="103"/>
      <c r="L758" s="104"/>
      <c r="M758" s="104"/>
      <c r="N758" s="88"/>
      <c r="O758" s="105"/>
      <c r="AA758" s="51"/>
      <c r="AB758" s="50"/>
      <c r="AC758" s="51"/>
      <c r="AD758" s="51"/>
      <c r="AF758" s="51"/>
    </row>
    <row r="759" spans="2:33" x14ac:dyDescent="0.3">
      <c r="B759" s="46"/>
      <c r="D759" s="37"/>
      <c r="E759" s="37"/>
      <c r="F759" s="78"/>
      <c r="G759" s="78"/>
      <c r="H759" s="46"/>
      <c r="J759" s="103"/>
      <c r="K759" s="103"/>
      <c r="L759" s="104"/>
      <c r="M759" s="104"/>
      <c r="N759" s="88"/>
      <c r="O759" s="105"/>
      <c r="AA759" s="51"/>
      <c r="AB759" s="50"/>
      <c r="AC759" s="51"/>
      <c r="AD759" s="51"/>
      <c r="AF759" s="51"/>
    </row>
    <row r="760" spans="2:33" x14ac:dyDescent="0.3">
      <c r="B760" s="46"/>
      <c r="D760" s="37"/>
      <c r="E760" s="37"/>
      <c r="F760" s="78"/>
      <c r="G760" s="78"/>
      <c r="H760" s="46"/>
      <c r="J760" s="103"/>
      <c r="K760" s="103"/>
      <c r="L760" s="104"/>
      <c r="M760" s="104"/>
      <c r="N760" s="88"/>
      <c r="O760" s="105"/>
      <c r="AA760" s="51"/>
      <c r="AB760" s="50"/>
      <c r="AC760" s="51"/>
      <c r="AD760" s="51"/>
      <c r="AF760" s="51"/>
    </row>
    <row r="761" spans="2:33" x14ac:dyDescent="0.3">
      <c r="B761" s="46"/>
      <c r="D761" s="37"/>
      <c r="E761" s="37"/>
      <c r="F761" s="78"/>
      <c r="G761" s="78"/>
      <c r="H761" s="46"/>
      <c r="J761" s="103"/>
      <c r="K761" s="103"/>
      <c r="L761" s="104"/>
      <c r="M761" s="104"/>
      <c r="N761" s="88"/>
      <c r="O761" s="105"/>
      <c r="AA761" s="51"/>
      <c r="AB761" s="50"/>
      <c r="AC761" s="51"/>
      <c r="AD761" s="51"/>
      <c r="AF761" s="51"/>
    </row>
    <row r="762" spans="2:33" x14ac:dyDescent="0.3">
      <c r="B762" s="46"/>
      <c r="D762" s="37"/>
      <c r="E762" s="37"/>
      <c r="F762" s="78"/>
      <c r="G762" s="78"/>
      <c r="H762" s="46"/>
      <c r="J762" s="103"/>
      <c r="K762" s="103"/>
      <c r="L762" s="104"/>
      <c r="M762" s="104"/>
      <c r="N762" s="88"/>
      <c r="O762" s="105"/>
      <c r="AA762" s="51"/>
      <c r="AB762" s="50"/>
      <c r="AC762" s="51"/>
      <c r="AD762" s="51"/>
      <c r="AF762" s="51"/>
    </row>
    <row r="763" spans="2:33" x14ac:dyDescent="0.3">
      <c r="B763" s="46"/>
      <c r="D763" s="37"/>
      <c r="E763" s="37"/>
      <c r="F763" s="78"/>
      <c r="G763" s="78"/>
      <c r="H763" s="46"/>
      <c r="J763" s="103"/>
      <c r="K763" s="103"/>
      <c r="L763" s="104"/>
      <c r="M763" s="104"/>
      <c r="N763" s="88"/>
      <c r="O763" s="105"/>
      <c r="AA763" s="51"/>
      <c r="AB763" s="50"/>
      <c r="AC763" s="51"/>
      <c r="AD763" s="51"/>
      <c r="AF763" s="51"/>
    </row>
    <row r="764" spans="2:33" x14ac:dyDescent="0.3">
      <c r="B764" s="46"/>
      <c r="D764" s="37"/>
      <c r="E764" s="37"/>
      <c r="F764" s="78"/>
      <c r="G764" s="78"/>
      <c r="H764" s="46"/>
      <c r="J764" s="103"/>
      <c r="K764" s="103"/>
      <c r="L764" s="104"/>
      <c r="M764" s="104"/>
      <c r="N764" s="88"/>
      <c r="O764" s="105"/>
      <c r="AA764" s="51"/>
      <c r="AB764" s="50"/>
      <c r="AC764" s="51"/>
      <c r="AD764" s="51"/>
      <c r="AF764" s="51"/>
    </row>
    <row r="765" spans="2:33" x14ac:dyDescent="0.3">
      <c r="B765" s="46"/>
      <c r="D765" s="37"/>
      <c r="E765" s="37"/>
      <c r="F765" s="78"/>
      <c r="G765" s="78"/>
      <c r="H765" s="46"/>
      <c r="J765" s="103"/>
      <c r="K765" s="103"/>
      <c r="L765" s="104"/>
      <c r="M765" s="104"/>
      <c r="N765" s="88"/>
      <c r="O765" s="105"/>
      <c r="AA765" s="51"/>
      <c r="AB765" s="50"/>
      <c r="AC765" s="106"/>
      <c r="AD765" s="106"/>
      <c r="AE765" s="107"/>
      <c r="AF765" s="106"/>
      <c r="AG765" s="108"/>
    </row>
    <row r="766" spans="2:33" x14ac:dyDescent="0.3">
      <c r="B766" s="46"/>
      <c r="D766" s="37"/>
      <c r="E766" s="37"/>
      <c r="F766" s="78"/>
      <c r="G766" s="78"/>
      <c r="H766" s="46"/>
      <c r="J766" s="103"/>
      <c r="K766" s="103"/>
      <c r="L766" s="104"/>
      <c r="M766" s="104"/>
      <c r="N766" s="88"/>
      <c r="O766" s="105"/>
      <c r="AA766" s="51"/>
      <c r="AB766" s="50"/>
      <c r="AC766" s="51"/>
      <c r="AD766" s="51"/>
      <c r="AF766" s="51"/>
    </row>
    <row r="767" spans="2:33" x14ac:dyDescent="0.3">
      <c r="B767" s="46"/>
      <c r="D767" s="37"/>
      <c r="E767" s="37"/>
      <c r="F767" s="78"/>
      <c r="G767" s="78"/>
      <c r="H767" s="46"/>
      <c r="J767" s="103"/>
      <c r="K767" s="103"/>
      <c r="L767" s="104"/>
      <c r="M767" s="104"/>
      <c r="N767" s="88"/>
      <c r="O767" s="105"/>
      <c r="AA767" s="51"/>
      <c r="AB767" s="50"/>
      <c r="AC767" s="51"/>
      <c r="AD767" s="51"/>
      <c r="AF767" s="51"/>
    </row>
    <row r="768" spans="2:33" x14ac:dyDescent="0.3">
      <c r="B768" s="46"/>
      <c r="D768" s="37"/>
      <c r="E768" s="37"/>
      <c r="F768" s="78"/>
      <c r="G768" s="78"/>
      <c r="H768" s="46"/>
      <c r="J768" s="103"/>
      <c r="K768" s="103"/>
      <c r="L768" s="104"/>
      <c r="M768" s="104"/>
      <c r="N768" s="88"/>
      <c r="O768" s="105"/>
      <c r="AA768" s="51"/>
      <c r="AB768" s="50"/>
      <c r="AC768" s="51"/>
      <c r="AD768" s="51"/>
      <c r="AF768" s="51"/>
    </row>
    <row r="769" spans="2:32" x14ac:dyDescent="0.3">
      <c r="B769" s="46"/>
      <c r="D769" s="37"/>
      <c r="E769" s="37"/>
      <c r="F769" s="78"/>
      <c r="G769" s="78"/>
      <c r="H769" s="46"/>
      <c r="J769" s="103"/>
      <c r="K769" s="103"/>
      <c r="L769" s="104"/>
      <c r="M769" s="104"/>
      <c r="N769" s="88"/>
      <c r="O769" s="105"/>
      <c r="AA769" s="51"/>
      <c r="AB769" s="50"/>
      <c r="AC769" s="51"/>
      <c r="AD769" s="51"/>
      <c r="AF769" s="51"/>
    </row>
    <row r="770" spans="2:32" x14ac:dyDescent="0.3">
      <c r="B770" s="46"/>
      <c r="D770" s="37"/>
      <c r="E770" s="37"/>
      <c r="F770" s="78"/>
      <c r="G770" s="78"/>
      <c r="H770" s="46"/>
      <c r="J770" s="103"/>
      <c r="K770" s="103"/>
      <c r="L770" s="104"/>
      <c r="M770" s="104"/>
      <c r="N770" s="88"/>
      <c r="O770" s="105"/>
      <c r="AA770" s="51"/>
      <c r="AB770" s="50"/>
      <c r="AC770" s="51"/>
      <c r="AD770" s="51"/>
      <c r="AF770" s="51"/>
    </row>
    <row r="771" spans="2:32" x14ac:dyDescent="0.3">
      <c r="B771" s="46"/>
      <c r="D771" s="37"/>
      <c r="E771" s="37"/>
      <c r="F771" s="78"/>
      <c r="G771" s="78"/>
      <c r="H771" s="46"/>
      <c r="J771" s="103"/>
      <c r="K771" s="103"/>
      <c r="L771" s="104"/>
      <c r="M771" s="104"/>
      <c r="N771" s="88"/>
      <c r="O771" s="105"/>
      <c r="AA771" s="51"/>
      <c r="AB771" s="50"/>
      <c r="AC771" s="51"/>
      <c r="AD771" s="51"/>
      <c r="AF771" s="51"/>
    </row>
    <row r="772" spans="2:32" x14ac:dyDescent="0.3">
      <c r="B772" s="46"/>
      <c r="D772" s="37"/>
      <c r="E772" s="37"/>
      <c r="F772" s="78"/>
      <c r="G772" s="78"/>
      <c r="H772" s="46"/>
      <c r="J772" s="103"/>
      <c r="K772" s="103"/>
      <c r="L772" s="104"/>
      <c r="M772" s="104"/>
      <c r="N772" s="88"/>
      <c r="O772" s="105"/>
      <c r="AA772" s="51"/>
      <c r="AB772" s="50"/>
      <c r="AC772" s="51"/>
      <c r="AD772" s="51"/>
      <c r="AF772" s="51"/>
    </row>
    <row r="773" spans="2:32" x14ac:dyDescent="0.3">
      <c r="B773" s="46"/>
      <c r="D773" s="37"/>
      <c r="E773" s="37"/>
      <c r="F773" s="78"/>
      <c r="G773" s="78"/>
      <c r="H773" s="46"/>
      <c r="J773" s="103"/>
      <c r="K773" s="103"/>
      <c r="L773" s="104"/>
      <c r="M773" s="104"/>
      <c r="N773" s="88"/>
      <c r="O773" s="105"/>
      <c r="AA773" s="51"/>
      <c r="AB773" s="50"/>
      <c r="AC773" s="51"/>
      <c r="AD773" s="51"/>
      <c r="AF773" s="51"/>
    </row>
    <row r="774" spans="2:32" x14ac:dyDescent="0.3">
      <c r="B774" s="46"/>
      <c r="D774" s="37"/>
      <c r="E774" s="37"/>
      <c r="F774" s="78"/>
      <c r="G774" s="78"/>
      <c r="H774" s="46"/>
      <c r="J774" s="103"/>
      <c r="K774" s="103"/>
      <c r="L774" s="104"/>
      <c r="M774" s="104"/>
      <c r="N774" s="88"/>
      <c r="O774" s="105"/>
      <c r="AA774" s="51"/>
      <c r="AB774" s="50"/>
      <c r="AC774" s="51"/>
      <c r="AD774" s="51"/>
      <c r="AF774" s="51"/>
    </row>
    <row r="775" spans="2:32" x14ac:dyDescent="0.3">
      <c r="B775" s="46"/>
      <c r="D775" s="37"/>
      <c r="E775" s="37"/>
      <c r="F775" s="78"/>
      <c r="G775" s="78"/>
      <c r="H775" s="46"/>
      <c r="J775" s="103"/>
      <c r="K775" s="103"/>
      <c r="L775" s="104"/>
      <c r="M775" s="104"/>
      <c r="N775" s="88"/>
      <c r="O775" s="105"/>
      <c r="AA775" s="51"/>
      <c r="AB775" s="50"/>
      <c r="AC775" s="51"/>
      <c r="AD775" s="51"/>
      <c r="AF775" s="51"/>
    </row>
    <row r="776" spans="2:32" x14ac:dyDescent="0.3">
      <c r="B776" s="46"/>
      <c r="D776" s="37"/>
      <c r="E776" s="37"/>
      <c r="F776" s="78"/>
      <c r="G776" s="78"/>
      <c r="H776" s="46"/>
      <c r="J776" s="103"/>
      <c r="K776" s="103"/>
      <c r="L776" s="104"/>
      <c r="M776" s="104"/>
      <c r="N776" s="88"/>
      <c r="O776" s="105"/>
      <c r="AA776" s="51"/>
      <c r="AB776" s="50"/>
      <c r="AC776" s="51"/>
      <c r="AD776" s="51"/>
      <c r="AF776" s="51"/>
    </row>
    <row r="777" spans="2:32" x14ac:dyDescent="0.3">
      <c r="B777" s="46"/>
      <c r="D777" s="37"/>
      <c r="E777" s="37"/>
      <c r="F777" s="78"/>
      <c r="G777" s="78"/>
      <c r="H777" s="46"/>
      <c r="J777" s="103"/>
      <c r="K777" s="103"/>
      <c r="L777" s="104"/>
      <c r="M777" s="104"/>
      <c r="N777" s="88"/>
      <c r="O777" s="105"/>
      <c r="AA777" s="51"/>
      <c r="AB777" s="50"/>
      <c r="AC777" s="51"/>
      <c r="AD777" s="51"/>
      <c r="AF777" s="51"/>
    </row>
    <row r="778" spans="2:32" x14ac:dyDescent="0.3">
      <c r="B778" s="46"/>
      <c r="D778" s="37"/>
      <c r="E778" s="37"/>
      <c r="F778" s="78"/>
      <c r="G778" s="78"/>
      <c r="H778" s="46"/>
      <c r="J778" s="103"/>
      <c r="K778" s="103"/>
      <c r="L778" s="104"/>
      <c r="M778" s="104"/>
      <c r="N778" s="88"/>
      <c r="O778" s="105"/>
      <c r="AA778" s="51"/>
      <c r="AB778" s="50"/>
      <c r="AC778" s="51"/>
      <c r="AD778" s="51"/>
      <c r="AF778" s="51"/>
    </row>
    <row r="779" spans="2:32" x14ac:dyDescent="0.3">
      <c r="B779" s="46"/>
      <c r="D779" s="37"/>
      <c r="E779" s="37"/>
      <c r="F779" s="78"/>
      <c r="G779" s="78"/>
      <c r="H779" s="46"/>
      <c r="J779" s="103"/>
      <c r="K779" s="103"/>
      <c r="L779" s="104"/>
      <c r="M779" s="104"/>
      <c r="N779" s="88"/>
      <c r="O779" s="105"/>
      <c r="AA779" s="51"/>
      <c r="AB779" s="50"/>
      <c r="AC779" s="51"/>
      <c r="AD779" s="51"/>
      <c r="AF779" s="51"/>
    </row>
    <row r="780" spans="2:32" x14ac:dyDescent="0.3">
      <c r="B780" s="46"/>
      <c r="D780" s="37"/>
      <c r="E780" s="37"/>
      <c r="F780" s="78"/>
      <c r="G780" s="78"/>
      <c r="H780" s="46"/>
      <c r="J780" s="103"/>
      <c r="K780" s="103"/>
      <c r="L780" s="104"/>
      <c r="M780" s="104"/>
      <c r="N780" s="88"/>
      <c r="O780" s="105"/>
      <c r="AA780" s="51"/>
      <c r="AB780" s="50"/>
      <c r="AC780" s="51"/>
      <c r="AD780" s="51"/>
      <c r="AF780" s="51"/>
    </row>
    <row r="781" spans="2:32" x14ac:dyDescent="0.3">
      <c r="B781" s="46"/>
      <c r="D781" s="37"/>
      <c r="E781" s="37"/>
      <c r="F781" s="78"/>
      <c r="G781" s="78"/>
      <c r="H781" s="46"/>
      <c r="J781" s="103"/>
      <c r="K781" s="103"/>
      <c r="L781" s="104"/>
      <c r="M781" s="104"/>
      <c r="N781" s="88"/>
      <c r="O781" s="105"/>
      <c r="AA781" s="51"/>
      <c r="AB781" s="50"/>
      <c r="AC781" s="51"/>
      <c r="AD781" s="51"/>
      <c r="AF781" s="51"/>
    </row>
    <row r="782" spans="2:32" x14ac:dyDescent="0.3">
      <c r="B782" s="46"/>
      <c r="D782" s="37"/>
      <c r="E782" s="37"/>
      <c r="F782" s="78"/>
      <c r="G782" s="78"/>
      <c r="H782" s="46"/>
      <c r="J782" s="103"/>
      <c r="K782" s="103"/>
      <c r="L782" s="104"/>
      <c r="M782" s="104"/>
      <c r="N782" s="88"/>
      <c r="O782" s="105"/>
      <c r="AA782" s="51"/>
      <c r="AB782" s="50"/>
      <c r="AC782" s="51"/>
      <c r="AD782" s="51"/>
      <c r="AF782" s="51"/>
    </row>
    <row r="783" spans="2:32" x14ac:dyDescent="0.3">
      <c r="B783" s="46"/>
      <c r="D783" s="37"/>
      <c r="E783" s="37"/>
      <c r="F783" s="78"/>
      <c r="G783" s="78"/>
      <c r="H783" s="46"/>
      <c r="J783" s="103"/>
      <c r="K783" s="103"/>
      <c r="L783" s="104"/>
      <c r="M783" s="104"/>
      <c r="N783" s="88"/>
      <c r="O783" s="105"/>
      <c r="AA783" s="51"/>
      <c r="AB783" s="50"/>
      <c r="AC783" s="51"/>
      <c r="AD783" s="51"/>
      <c r="AF783" s="51"/>
    </row>
    <row r="784" spans="2:32" x14ac:dyDescent="0.3">
      <c r="B784" s="46"/>
      <c r="D784" s="37"/>
      <c r="E784" s="37"/>
      <c r="F784" s="78"/>
      <c r="G784" s="78"/>
      <c r="H784" s="46"/>
      <c r="J784" s="103"/>
      <c r="K784" s="103"/>
      <c r="L784" s="104"/>
      <c r="M784" s="104"/>
      <c r="N784" s="88"/>
      <c r="O784" s="105"/>
      <c r="AA784" s="51"/>
      <c r="AB784" s="50"/>
      <c r="AC784" s="51"/>
      <c r="AD784" s="51"/>
      <c r="AF784" s="51"/>
    </row>
    <row r="785" spans="2:32" x14ac:dyDescent="0.3">
      <c r="B785" s="46"/>
      <c r="D785" s="37"/>
      <c r="E785" s="37"/>
      <c r="F785" s="78"/>
      <c r="G785" s="78"/>
      <c r="H785" s="46"/>
      <c r="J785" s="103"/>
      <c r="K785" s="103"/>
      <c r="L785" s="104"/>
      <c r="M785" s="104"/>
      <c r="N785" s="88"/>
      <c r="O785" s="105"/>
      <c r="AA785" s="51"/>
      <c r="AB785" s="50"/>
      <c r="AC785" s="51"/>
      <c r="AD785" s="51"/>
      <c r="AF785" s="51"/>
    </row>
    <row r="786" spans="2:32" x14ac:dyDescent="0.3">
      <c r="B786" s="46"/>
      <c r="D786" s="37"/>
      <c r="E786" s="37"/>
      <c r="F786" s="78"/>
      <c r="G786" s="78"/>
      <c r="H786" s="46"/>
      <c r="J786" s="103"/>
      <c r="K786" s="103"/>
      <c r="L786" s="104"/>
      <c r="M786" s="104"/>
      <c r="N786" s="88"/>
      <c r="O786" s="105"/>
      <c r="AA786" s="51"/>
      <c r="AB786" s="50"/>
      <c r="AC786" s="51"/>
      <c r="AD786" s="51"/>
      <c r="AF786" s="51"/>
    </row>
    <row r="787" spans="2:32" x14ac:dyDescent="0.3">
      <c r="B787" s="46"/>
      <c r="D787" s="37"/>
      <c r="E787" s="37"/>
      <c r="F787" s="78"/>
      <c r="G787" s="78"/>
      <c r="H787" s="46"/>
      <c r="J787" s="103"/>
      <c r="K787" s="103"/>
      <c r="L787" s="104"/>
      <c r="M787" s="104"/>
      <c r="N787" s="88"/>
      <c r="O787" s="105"/>
      <c r="AA787" s="51"/>
      <c r="AB787" s="50"/>
      <c r="AC787" s="51"/>
      <c r="AD787" s="51"/>
      <c r="AF787" s="51"/>
    </row>
    <row r="788" spans="2:32" x14ac:dyDescent="0.3">
      <c r="B788" s="46"/>
      <c r="D788" s="37"/>
      <c r="E788" s="37"/>
      <c r="F788" s="78"/>
      <c r="G788" s="78"/>
      <c r="H788" s="46"/>
      <c r="J788" s="103"/>
      <c r="K788" s="103"/>
      <c r="L788" s="104"/>
      <c r="M788" s="104"/>
      <c r="N788" s="88"/>
      <c r="O788" s="105"/>
      <c r="AA788" s="51"/>
      <c r="AB788" s="50"/>
      <c r="AC788" s="51"/>
      <c r="AD788" s="51"/>
      <c r="AF788" s="51"/>
    </row>
    <row r="789" spans="2:32" x14ac:dyDescent="0.3">
      <c r="B789" s="46"/>
      <c r="D789" s="37"/>
      <c r="E789" s="37"/>
      <c r="F789" s="78"/>
      <c r="G789" s="78"/>
      <c r="H789" s="46"/>
      <c r="J789" s="103"/>
      <c r="K789" s="103"/>
      <c r="L789" s="104"/>
      <c r="M789" s="104"/>
      <c r="N789" s="88"/>
      <c r="O789" s="105"/>
      <c r="AA789" s="51"/>
      <c r="AB789" s="50"/>
      <c r="AC789" s="51"/>
      <c r="AD789" s="51"/>
      <c r="AF789" s="51"/>
    </row>
    <row r="790" spans="2:32" x14ac:dyDescent="0.3">
      <c r="B790" s="46"/>
      <c r="D790" s="37"/>
      <c r="E790" s="37"/>
      <c r="F790" s="78"/>
      <c r="G790" s="78"/>
      <c r="H790" s="46"/>
      <c r="J790" s="103"/>
      <c r="K790" s="103"/>
      <c r="L790" s="104"/>
      <c r="M790" s="104"/>
      <c r="N790" s="88"/>
      <c r="O790" s="105"/>
      <c r="AA790" s="51"/>
      <c r="AB790" s="50"/>
      <c r="AC790" s="51"/>
      <c r="AD790" s="51"/>
      <c r="AF790" s="51"/>
    </row>
    <row r="791" spans="2:32" x14ac:dyDescent="0.3">
      <c r="B791" s="46"/>
      <c r="D791" s="37"/>
      <c r="E791" s="37"/>
      <c r="F791" s="78"/>
      <c r="G791" s="78"/>
      <c r="H791" s="46"/>
      <c r="J791" s="103"/>
      <c r="K791" s="103"/>
      <c r="L791" s="104"/>
      <c r="M791" s="104"/>
      <c r="N791" s="88"/>
      <c r="O791" s="105"/>
      <c r="AA791" s="51"/>
      <c r="AB791" s="50"/>
      <c r="AC791" s="51"/>
      <c r="AD791" s="51"/>
      <c r="AF791" s="51"/>
    </row>
    <row r="792" spans="2:32" x14ac:dyDescent="0.3">
      <c r="B792" s="46"/>
      <c r="D792" s="37"/>
      <c r="E792" s="37"/>
      <c r="F792" s="78"/>
      <c r="G792" s="78"/>
      <c r="H792" s="46"/>
      <c r="J792" s="103"/>
      <c r="K792" s="103"/>
      <c r="L792" s="104"/>
      <c r="M792" s="104"/>
      <c r="N792" s="88"/>
      <c r="O792" s="105"/>
      <c r="AA792" s="51"/>
      <c r="AB792" s="50"/>
      <c r="AC792" s="51"/>
      <c r="AD792" s="51"/>
      <c r="AF792" s="51"/>
    </row>
    <row r="793" spans="2:32" x14ac:dyDescent="0.3">
      <c r="B793" s="46"/>
      <c r="D793" s="37"/>
      <c r="E793" s="37"/>
      <c r="F793" s="78"/>
      <c r="G793" s="78"/>
      <c r="H793" s="46"/>
      <c r="J793" s="103"/>
      <c r="K793" s="103"/>
      <c r="L793" s="104"/>
      <c r="M793" s="104"/>
      <c r="N793" s="88"/>
      <c r="O793" s="105"/>
      <c r="AA793" s="51"/>
      <c r="AB793" s="50"/>
      <c r="AC793" s="51"/>
      <c r="AD793" s="51"/>
      <c r="AF793" s="51"/>
    </row>
    <row r="794" spans="2:32" x14ac:dyDescent="0.3">
      <c r="B794" s="46"/>
      <c r="D794" s="37"/>
      <c r="E794" s="37"/>
      <c r="F794" s="78"/>
      <c r="G794" s="78"/>
      <c r="H794" s="46"/>
      <c r="J794" s="103"/>
      <c r="K794" s="103"/>
      <c r="L794" s="104"/>
      <c r="M794" s="104"/>
      <c r="N794" s="88"/>
      <c r="O794" s="105"/>
      <c r="AA794" s="51"/>
      <c r="AB794" s="50"/>
      <c r="AC794" s="51"/>
      <c r="AD794" s="51"/>
      <c r="AF794" s="51"/>
    </row>
    <row r="795" spans="2:32" x14ac:dyDescent="0.3">
      <c r="B795" s="46"/>
      <c r="D795" s="37"/>
      <c r="E795" s="37"/>
      <c r="F795" s="78"/>
      <c r="G795" s="78"/>
      <c r="H795" s="46"/>
      <c r="J795" s="103"/>
      <c r="K795" s="103"/>
      <c r="L795" s="104"/>
      <c r="M795" s="104"/>
      <c r="N795" s="88"/>
      <c r="O795" s="105"/>
      <c r="AA795" s="51"/>
      <c r="AB795" s="50"/>
      <c r="AC795" s="51"/>
      <c r="AD795" s="51"/>
      <c r="AF795" s="51"/>
    </row>
    <row r="796" spans="2:32" x14ac:dyDescent="0.3">
      <c r="B796" s="46"/>
      <c r="D796" s="37"/>
      <c r="E796" s="37"/>
      <c r="F796" s="78"/>
      <c r="G796" s="78"/>
      <c r="H796" s="46"/>
      <c r="J796" s="103"/>
      <c r="K796" s="103"/>
      <c r="L796" s="104"/>
      <c r="M796" s="104"/>
      <c r="N796" s="88"/>
      <c r="O796" s="105"/>
      <c r="AA796" s="51"/>
      <c r="AB796" s="50"/>
      <c r="AC796" s="51"/>
      <c r="AD796" s="51"/>
      <c r="AF796" s="51"/>
    </row>
    <row r="797" spans="2:32" x14ac:dyDescent="0.3">
      <c r="B797" s="46"/>
      <c r="D797" s="37"/>
      <c r="E797" s="37"/>
      <c r="F797" s="78"/>
      <c r="G797" s="78"/>
      <c r="H797" s="46"/>
      <c r="J797" s="103"/>
      <c r="K797" s="103"/>
      <c r="L797" s="104"/>
      <c r="M797" s="104"/>
      <c r="N797" s="88"/>
      <c r="O797" s="105"/>
      <c r="AA797" s="51"/>
      <c r="AB797" s="50"/>
      <c r="AC797" s="51"/>
      <c r="AD797" s="51"/>
      <c r="AF797" s="51"/>
    </row>
    <row r="798" spans="2:32" x14ac:dyDescent="0.3">
      <c r="B798" s="46"/>
      <c r="D798" s="37"/>
      <c r="E798" s="37"/>
      <c r="F798" s="78"/>
      <c r="G798" s="78"/>
      <c r="H798" s="46"/>
      <c r="J798" s="103"/>
      <c r="K798" s="103"/>
      <c r="L798" s="104"/>
      <c r="M798" s="104"/>
      <c r="N798" s="88"/>
      <c r="O798" s="105"/>
      <c r="AA798" s="51"/>
      <c r="AB798" s="50"/>
      <c r="AC798" s="51"/>
      <c r="AD798" s="51"/>
      <c r="AF798" s="51"/>
    </row>
    <row r="799" spans="2:32" x14ac:dyDescent="0.3">
      <c r="B799" s="46"/>
      <c r="D799" s="37"/>
      <c r="E799" s="37"/>
      <c r="F799" s="78"/>
      <c r="G799" s="78"/>
      <c r="H799" s="46"/>
      <c r="J799" s="103"/>
      <c r="K799" s="103"/>
      <c r="L799" s="104"/>
      <c r="M799" s="104"/>
      <c r="N799" s="88"/>
      <c r="O799" s="105"/>
      <c r="AA799" s="51"/>
      <c r="AB799" s="50"/>
      <c r="AC799" s="51"/>
      <c r="AD799" s="51"/>
      <c r="AF799" s="51"/>
    </row>
    <row r="800" spans="2:32" x14ac:dyDescent="0.3">
      <c r="B800" s="46"/>
      <c r="D800" s="37"/>
      <c r="E800" s="37"/>
      <c r="F800" s="78"/>
      <c r="G800" s="78"/>
      <c r="H800" s="46"/>
      <c r="J800" s="103"/>
      <c r="K800" s="103"/>
      <c r="L800" s="104"/>
      <c r="M800" s="104"/>
      <c r="N800" s="88"/>
      <c r="O800" s="105"/>
      <c r="AA800" s="51"/>
      <c r="AB800" s="50"/>
      <c r="AC800" s="51"/>
      <c r="AD800" s="51"/>
      <c r="AF800" s="51"/>
    </row>
    <row r="801" spans="2:32" x14ac:dyDescent="0.3">
      <c r="B801" s="46"/>
      <c r="D801" s="37"/>
      <c r="E801" s="37"/>
      <c r="F801" s="78"/>
      <c r="G801" s="78"/>
      <c r="H801" s="46"/>
      <c r="J801" s="103"/>
      <c r="K801" s="103"/>
      <c r="L801" s="104"/>
      <c r="M801" s="104"/>
      <c r="N801" s="88"/>
      <c r="O801" s="105"/>
      <c r="AA801" s="51"/>
      <c r="AB801" s="50"/>
      <c r="AC801" s="51"/>
      <c r="AD801" s="51"/>
      <c r="AF801" s="51"/>
    </row>
    <row r="802" spans="2:32" x14ac:dyDescent="0.3">
      <c r="B802" s="46"/>
      <c r="D802" s="37"/>
      <c r="E802" s="37"/>
      <c r="F802" s="78"/>
      <c r="G802" s="78"/>
      <c r="H802" s="46"/>
      <c r="J802" s="103"/>
      <c r="K802" s="103"/>
      <c r="L802" s="104"/>
      <c r="M802" s="104"/>
      <c r="N802" s="88"/>
      <c r="O802" s="105"/>
      <c r="AA802" s="51"/>
      <c r="AB802" s="50"/>
      <c r="AC802" s="51"/>
      <c r="AD802" s="51"/>
      <c r="AF802" s="51"/>
    </row>
    <row r="803" spans="2:32" x14ac:dyDescent="0.3">
      <c r="B803" s="46"/>
      <c r="D803" s="37"/>
      <c r="E803" s="37"/>
      <c r="F803" s="78"/>
      <c r="G803" s="78"/>
      <c r="H803" s="46"/>
      <c r="J803" s="103"/>
      <c r="K803" s="103"/>
      <c r="L803" s="104"/>
      <c r="M803" s="104"/>
      <c r="N803" s="88"/>
      <c r="O803" s="105"/>
      <c r="AA803" s="51"/>
      <c r="AB803" s="50"/>
      <c r="AC803" s="51"/>
      <c r="AD803" s="51"/>
      <c r="AF803" s="51"/>
    </row>
    <row r="804" spans="2:32" x14ac:dyDescent="0.3">
      <c r="B804" s="46"/>
      <c r="D804" s="37"/>
      <c r="E804" s="37"/>
      <c r="F804" s="78"/>
      <c r="G804" s="78"/>
      <c r="H804" s="46"/>
      <c r="J804" s="103"/>
      <c r="K804" s="103"/>
      <c r="L804" s="104"/>
      <c r="M804" s="104"/>
      <c r="N804" s="88"/>
      <c r="O804" s="105"/>
      <c r="AA804" s="51"/>
      <c r="AB804" s="50"/>
      <c r="AC804" s="51"/>
      <c r="AD804" s="51"/>
      <c r="AF804" s="51"/>
    </row>
    <row r="805" spans="2:32" x14ac:dyDescent="0.3">
      <c r="B805" s="46"/>
      <c r="D805" s="37"/>
      <c r="E805" s="37"/>
      <c r="F805" s="78"/>
      <c r="G805" s="78"/>
      <c r="H805" s="46"/>
      <c r="J805" s="103"/>
      <c r="K805" s="103"/>
      <c r="L805" s="104"/>
      <c r="M805" s="104"/>
      <c r="N805" s="88"/>
      <c r="O805" s="105"/>
      <c r="AA805" s="51"/>
      <c r="AB805" s="50"/>
      <c r="AC805" s="51"/>
      <c r="AD805" s="51"/>
      <c r="AF805" s="51"/>
    </row>
    <row r="806" spans="2:32" x14ac:dyDescent="0.3">
      <c r="B806" s="46"/>
      <c r="D806" s="37"/>
      <c r="E806" s="37"/>
      <c r="F806" s="78"/>
      <c r="G806" s="78"/>
      <c r="H806" s="46"/>
      <c r="J806" s="103"/>
      <c r="K806" s="103"/>
      <c r="L806" s="104"/>
      <c r="M806" s="104"/>
      <c r="N806" s="88"/>
      <c r="O806" s="105"/>
      <c r="AA806" s="51"/>
      <c r="AB806" s="50"/>
      <c r="AC806" s="51"/>
      <c r="AD806" s="51"/>
      <c r="AF806" s="51"/>
    </row>
    <row r="807" spans="2:32" x14ac:dyDescent="0.3">
      <c r="B807" s="46"/>
      <c r="D807" s="37"/>
      <c r="E807" s="37"/>
      <c r="F807" s="78"/>
      <c r="G807" s="78"/>
      <c r="H807" s="46"/>
      <c r="J807" s="103"/>
      <c r="K807" s="103"/>
      <c r="L807" s="104"/>
      <c r="M807" s="104"/>
      <c r="N807" s="88"/>
      <c r="O807" s="105"/>
      <c r="AA807" s="51"/>
      <c r="AB807" s="50"/>
      <c r="AC807" s="51"/>
      <c r="AD807" s="51"/>
      <c r="AF807" s="51"/>
    </row>
    <row r="808" spans="2:32" x14ac:dyDescent="0.3">
      <c r="B808" s="46"/>
      <c r="D808" s="37"/>
      <c r="E808" s="37"/>
      <c r="F808" s="78"/>
      <c r="G808" s="78"/>
      <c r="H808" s="46"/>
      <c r="J808" s="103"/>
      <c r="K808" s="103"/>
      <c r="L808" s="104"/>
      <c r="M808" s="104"/>
      <c r="N808" s="88"/>
      <c r="O808" s="105"/>
      <c r="AA808" s="51"/>
      <c r="AB808" s="50"/>
      <c r="AC808" s="51"/>
      <c r="AD808" s="51"/>
      <c r="AF808" s="51"/>
    </row>
    <row r="809" spans="2:32" x14ac:dyDescent="0.3">
      <c r="B809" s="46"/>
      <c r="D809" s="37"/>
      <c r="E809" s="37"/>
      <c r="F809" s="78"/>
      <c r="G809" s="78"/>
      <c r="H809" s="46"/>
      <c r="J809" s="103"/>
      <c r="K809" s="103"/>
      <c r="L809" s="104"/>
      <c r="M809" s="104"/>
      <c r="N809" s="88"/>
      <c r="O809" s="105"/>
      <c r="AA809" s="62"/>
      <c r="AB809" s="50"/>
      <c r="AC809" s="51"/>
      <c r="AD809" s="51"/>
      <c r="AF809" s="51"/>
    </row>
    <row r="810" spans="2:32" x14ac:dyDescent="0.3">
      <c r="B810" s="46"/>
      <c r="D810" s="37"/>
      <c r="E810" s="37"/>
      <c r="F810" s="78"/>
      <c r="G810" s="78"/>
      <c r="H810" s="46"/>
      <c r="J810" s="103"/>
      <c r="K810" s="103"/>
      <c r="L810" s="104"/>
      <c r="M810" s="104"/>
      <c r="N810" s="88"/>
      <c r="O810" s="105"/>
      <c r="AA810" s="62"/>
      <c r="AB810" s="50"/>
      <c r="AC810" s="51"/>
      <c r="AD810" s="51"/>
      <c r="AF810" s="51"/>
    </row>
    <row r="811" spans="2:32" x14ac:dyDescent="0.3">
      <c r="B811" s="46"/>
      <c r="D811" s="37"/>
      <c r="E811" s="10"/>
      <c r="F811" s="78"/>
      <c r="H811" s="46"/>
      <c r="J811" s="103"/>
      <c r="K811" s="103"/>
      <c r="L811" s="104"/>
      <c r="M811" s="104"/>
      <c r="N811" s="88"/>
      <c r="O811" s="105"/>
      <c r="AA811" s="62"/>
      <c r="AB811" s="50"/>
      <c r="AC811" s="51"/>
      <c r="AD811" s="51"/>
      <c r="AF811" s="51"/>
    </row>
    <row r="812" spans="2:32" x14ac:dyDescent="0.3">
      <c r="B812" s="46"/>
      <c r="D812" s="37"/>
      <c r="E812" s="10"/>
      <c r="F812" s="78"/>
      <c r="H812" s="46"/>
      <c r="J812" s="103"/>
      <c r="K812" s="103"/>
      <c r="L812" s="104"/>
      <c r="M812" s="104"/>
      <c r="N812" s="88"/>
      <c r="O812" s="105"/>
      <c r="AA812" s="62"/>
      <c r="AB812" s="50"/>
      <c r="AC812" s="51"/>
      <c r="AD812" s="51"/>
      <c r="AF812" s="51"/>
    </row>
    <row r="813" spans="2:32" x14ac:dyDescent="0.3">
      <c r="B813" s="46"/>
      <c r="D813" s="37"/>
      <c r="E813" s="10"/>
      <c r="F813" s="78"/>
      <c r="H813" s="46"/>
      <c r="J813" s="103"/>
      <c r="K813" s="103"/>
      <c r="L813" s="104"/>
      <c r="M813" s="104"/>
      <c r="N813" s="88"/>
      <c r="O813" s="105"/>
      <c r="AA813" s="62"/>
      <c r="AB813" s="50"/>
      <c r="AC813" s="51"/>
      <c r="AD813" s="51"/>
      <c r="AF813" s="51"/>
    </row>
    <row r="814" spans="2:32" x14ac:dyDescent="0.3">
      <c r="B814" s="46"/>
      <c r="D814" s="37"/>
      <c r="E814" s="10"/>
      <c r="F814" s="78"/>
      <c r="H814" s="46"/>
      <c r="J814" s="103"/>
      <c r="K814" s="103"/>
      <c r="L814" s="104"/>
      <c r="M814" s="104"/>
      <c r="N814" s="88"/>
      <c r="O814" s="105"/>
      <c r="AA814" s="62"/>
      <c r="AB814" s="50"/>
      <c r="AC814" s="51"/>
      <c r="AD814" s="51"/>
      <c r="AF814" s="51"/>
    </row>
    <row r="815" spans="2:32" x14ac:dyDescent="0.3">
      <c r="B815" s="46"/>
      <c r="D815" s="37"/>
      <c r="E815" s="10"/>
      <c r="F815" s="78"/>
      <c r="H815" s="46"/>
      <c r="J815" s="103"/>
      <c r="K815" s="103"/>
      <c r="L815" s="104"/>
      <c r="M815" s="104"/>
      <c r="N815" s="88"/>
      <c r="O815" s="105"/>
      <c r="AA815" s="62"/>
      <c r="AB815" s="50"/>
      <c r="AC815" s="51"/>
      <c r="AD815" s="51"/>
      <c r="AF815" s="51"/>
    </row>
    <row r="816" spans="2:32" x14ac:dyDescent="0.3">
      <c r="B816" s="46"/>
      <c r="D816" s="37"/>
      <c r="E816" s="10"/>
      <c r="F816" s="78"/>
      <c r="H816" s="46"/>
      <c r="J816" s="103"/>
      <c r="K816" s="103"/>
      <c r="L816" s="104"/>
      <c r="M816" s="104"/>
      <c r="N816" s="88"/>
      <c r="O816" s="105"/>
      <c r="AA816" s="62"/>
      <c r="AB816" s="50"/>
      <c r="AC816" s="51"/>
      <c r="AD816" s="51"/>
      <c r="AF816" s="51"/>
    </row>
    <row r="817" spans="2:32" x14ac:dyDescent="0.3">
      <c r="B817" s="46"/>
      <c r="D817" s="37"/>
      <c r="E817" s="10"/>
      <c r="F817" s="78"/>
      <c r="H817" s="46"/>
      <c r="J817" s="103"/>
      <c r="K817" s="103"/>
      <c r="L817" s="104"/>
      <c r="M817" s="104"/>
      <c r="N817" s="88"/>
      <c r="O817" s="105"/>
      <c r="AA817" s="62"/>
      <c r="AB817" s="50"/>
      <c r="AC817" s="51"/>
      <c r="AD817" s="51"/>
      <c r="AF817" s="51"/>
    </row>
    <row r="818" spans="2:32" x14ac:dyDescent="0.3">
      <c r="B818" s="46"/>
      <c r="D818" s="37"/>
      <c r="E818" s="10"/>
      <c r="F818" s="78"/>
      <c r="H818" s="46"/>
      <c r="J818" s="103"/>
      <c r="K818" s="103"/>
      <c r="L818" s="104"/>
      <c r="M818" s="104"/>
      <c r="N818" s="88"/>
      <c r="O818" s="105"/>
      <c r="AA818" s="62"/>
      <c r="AB818" s="50"/>
      <c r="AC818" s="51"/>
      <c r="AD818" s="51"/>
      <c r="AF818" s="51"/>
    </row>
    <row r="819" spans="2:32" x14ac:dyDescent="0.3">
      <c r="B819" s="46"/>
      <c r="D819" s="37"/>
      <c r="E819" s="10"/>
      <c r="F819" s="78"/>
      <c r="H819" s="46"/>
      <c r="J819" s="103"/>
      <c r="K819" s="103"/>
      <c r="L819" s="104"/>
      <c r="M819" s="104"/>
      <c r="N819" s="88"/>
      <c r="O819" s="105"/>
      <c r="AA819" s="62"/>
      <c r="AB819" s="50"/>
      <c r="AC819" s="51"/>
      <c r="AD819" s="51"/>
      <c r="AF819" s="51"/>
    </row>
    <row r="820" spans="2:32" x14ac:dyDescent="0.3">
      <c r="B820" s="46"/>
      <c r="D820" s="37"/>
      <c r="E820" s="10"/>
      <c r="F820" s="78"/>
      <c r="H820" s="46"/>
      <c r="J820" s="103"/>
      <c r="K820" s="103"/>
      <c r="L820" s="104"/>
      <c r="M820" s="104"/>
      <c r="N820" s="88"/>
      <c r="O820" s="105"/>
      <c r="AA820" s="109"/>
      <c r="AB820" s="50"/>
      <c r="AC820" s="51"/>
      <c r="AD820" s="51"/>
      <c r="AF820" s="51"/>
    </row>
    <row r="821" spans="2:32" x14ac:dyDescent="0.3">
      <c r="B821" s="46"/>
      <c r="D821" s="37"/>
      <c r="E821" s="10"/>
      <c r="F821" s="78"/>
      <c r="H821" s="46"/>
      <c r="J821" s="103"/>
      <c r="K821" s="103"/>
      <c r="L821" s="104"/>
      <c r="M821" s="104"/>
      <c r="N821" s="88"/>
      <c r="O821" s="105"/>
      <c r="AA821" s="109"/>
      <c r="AB821" s="50"/>
      <c r="AC821" s="51"/>
      <c r="AD821" s="51"/>
      <c r="AF821" s="51"/>
    </row>
    <row r="822" spans="2:32" x14ac:dyDescent="0.3">
      <c r="B822" s="46"/>
      <c r="D822" s="37"/>
      <c r="E822" s="10"/>
      <c r="F822" s="78"/>
      <c r="H822" s="46"/>
      <c r="J822" s="103"/>
      <c r="K822" s="103"/>
      <c r="L822" s="104"/>
      <c r="M822" s="104"/>
      <c r="N822" s="88"/>
      <c r="O822" s="105"/>
      <c r="AA822" s="109"/>
      <c r="AB822" s="50"/>
      <c r="AC822" s="51"/>
      <c r="AD822" s="51"/>
      <c r="AF822" s="51"/>
    </row>
    <row r="823" spans="2:32" x14ac:dyDescent="0.3">
      <c r="B823" s="46"/>
      <c r="D823" s="37"/>
      <c r="E823" s="10"/>
      <c r="F823" s="78"/>
      <c r="H823" s="46"/>
      <c r="J823" s="103"/>
      <c r="K823" s="103"/>
      <c r="L823" s="104"/>
      <c r="M823" s="104"/>
      <c r="N823" s="88"/>
      <c r="O823" s="105"/>
      <c r="AA823" s="109"/>
      <c r="AB823" s="50"/>
      <c r="AC823" s="51"/>
      <c r="AD823" s="51"/>
      <c r="AF823" s="51"/>
    </row>
    <row r="824" spans="2:32" x14ac:dyDescent="0.3">
      <c r="B824" s="46"/>
      <c r="D824" s="37"/>
      <c r="E824" s="10"/>
      <c r="F824" s="78"/>
      <c r="H824" s="46"/>
      <c r="J824" s="103"/>
      <c r="K824" s="103"/>
      <c r="L824" s="104"/>
      <c r="M824" s="104"/>
      <c r="N824" s="88"/>
      <c r="O824" s="105"/>
      <c r="AA824" s="109"/>
      <c r="AB824" s="50"/>
      <c r="AC824" s="51"/>
      <c r="AD824" s="51"/>
      <c r="AF824" s="51"/>
    </row>
    <row r="825" spans="2:32" x14ac:dyDescent="0.3">
      <c r="B825" s="46"/>
      <c r="D825" s="37"/>
      <c r="E825" s="10"/>
      <c r="F825" s="78"/>
      <c r="H825" s="46"/>
      <c r="J825" s="103"/>
      <c r="K825" s="103"/>
      <c r="L825" s="104"/>
      <c r="M825" s="104"/>
      <c r="N825" s="88"/>
      <c r="O825" s="105"/>
      <c r="AA825" s="109"/>
      <c r="AB825" s="50"/>
      <c r="AC825" s="51"/>
      <c r="AD825" s="51"/>
      <c r="AF825" s="51"/>
    </row>
    <row r="826" spans="2:32" x14ac:dyDescent="0.3">
      <c r="B826" s="46"/>
      <c r="D826" s="37"/>
      <c r="E826" s="10"/>
      <c r="F826" s="78"/>
      <c r="H826" s="46"/>
      <c r="J826" s="103"/>
      <c r="K826" s="103"/>
      <c r="L826" s="104"/>
      <c r="M826" s="104"/>
      <c r="N826" s="88"/>
      <c r="O826" s="105"/>
      <c r="AA826" s="109"/>
      <c r="AB826" s="50"/>
      <c r="AC826" s="51"/>
      <c r="AD826" s="51"/>
      <c r="AF826" s="51"/>
    </row>
    <row r="827" spans="2:32" x14ac:dyDescent="0.3">
      <c r="B827" s="46"/>
      <c r="D827" s="37"/>
      <c r="E827" s="10"/>
      <c r="F827" s="78"/>
      <c r="H827" s="46"/>
      <c r="J827" s="103"/>
      <c r="K827" s="103"/>
      <c r="L827" s="104"/>
      <c r="M827" s="104"/>
      <c r="N827" s="88"/>
      <c r="O827" s="105"/>
      <c r="AA827" s="109"/>
      <c r="AB827" s="50"/>
      <c r="AC827" s="51"/>
      <c r="AD827" s="51"/>
      <c r="AF827" s="51"/>
    </row>
    <row r="828" spans="2:32" x14ac:dyDescent="0.3">
      <c r="B828" s="46"/>
      <c r="D828" s="37"/>
      <c r="E828" s="10"/>
      <c r="F828" s="78"/>
      <c r="H828" s="46"/>
      <c r="J828" s="103"/>
      <c r="K828" s="103"/>
      <c r="L828" s="104"/>
      <c r="M828" s="104"/>
      <c r="N828" s="88"/>
      <c r="O828" s="105"/>
      <c r="AA828" s="109"/>
      <c r="AB828" s="50"/>
      <c r="AC828" s="51"/>
      <c r="AD828" s="51"/>
      <c r="AF828" s="51"/>
    </row>
    <row r="829" spans="2:32" x14ac:dyDescent="0.3">
      <c r="B829" s="46"/>
      <c r="D829" s="37"/>
      <c r="E829" s="10"/>
      <c r="F829" s="78"/>
      <c r="H829" s="46"/>
      <c r="J829" s="103"/>
      <c r="K829" s="103"/>
      <c r="L829" s="104"/>
      <c r="M829" s="104"/>
      <c r="N829" s="88"/>
      <c r="O829" s="105"/>
      <c r="AA829" s="109"/>
      <c r="AB829" s="50"/>
      <c r="AC829" s="51"/>
      <c r="AD829" s="51"/>
      <c r="AF829" s="51"/>
    </row>
    <row r="830" spans="2:32" x14ac:dyDescent="0.3">
      <c r="B830" s="46"/>
      <c r="D830" s="37"/>
      <c r="E830" s="10"/>
      <c r="F830" s="78"/>
      <c r="H830" s="46"/>
      <c r="J830" s="103"/>
      <c r="K830" s="103"/>
      <c r="L830" s="104"/>
      <c r="M830" s="104"/>
      <c r="N830" s="88"/>
      <c r="O830" s="105"/>
      <c r="AA830" s="109"/>
      <c r="AB830" s="50"/>
      <c r="AC830" s="51"/>
      <c r="AD830" s="51"/>
      <c r="AF830" s="51"/>
    </row>
    <row r="831" spans="2:32" x14ac:dyDescent="0.3">
      <c r="B831" s="46"/>
      <c r="D831" s="37"/>
      <c r="E831" s="10"/>
      <c r="F831" s="78"/>
      <c r="H831" s="46"/>
      <c r="J831" s="103"/>
      <c r="K831" s="103"/>
      <c r="L831" s="104"/>
      <c r="M831" s="104"/>
      <c r="N831" s="88"/>
      <c r="O831" s="105"/>
      <c r="AA831" s="109"/>
      <c r="AB831" s="50"/>
      <c r="AC831" s="51"/>
      <c r="AD831" s="51"/>
      <c r="AF831" s="51"/>
    </row>
    <row r="832" spans="2:32" x14ac:dyDescent="0.3">
      <c r="B832" s="46"/>
      <c r="D832" s="37"/>
      <c r="E832" s="10"/>
      <c r="F832" s="78"/>
      <c r="H832" s="46"/>
      <c r="J832" s="103"/>
      <c r="K832" s="103"/>
      <c r="L832" s="104"/>
      <c r="M832" s="104"/>
      <c r="N832" s="88"/>
      <c r="O832" s="105"/>
      <c r="AA832" s="109"/>
      <c r="AB832" s="50"/>
      <c r="AC832" s="51"/>
      <c r="AD832" s="51"/>
      <c r="AF832" s="51"/>
    </row>
    <row r="833" spans="2:32" x14ac:dyDescent="0.3">
      <c r="B833" s="46"/>
      <c r="D833" s="37"/>
      <c r="E833" s="10"/>
      <c r="F833" s="78"/>
      <c r="H833" s="46"/>
      <c r="J833" s="103"/>
      <c r="K833" s="103"/>
      <c r="L833" s="104"/>
      <c r="M833" s="104"/>
      <c r="N833" s="88"/>
      <c r="O833" s="105"/>
      <c r="AA833" s="109"/>
      <c r="AB833" s="50"/>
      <c r="AC833" s="51"/>
      <c r="AD833" s="51"/>
      <c r="AF833" s="51"/>
    </row>
    <row r="834" spans="2:32" x14ac:dyDescent="0.3">
      <c r="B834" s="46"/>
      <c r="D834" s="37"/>
      <c r="E834" s="10"/>
      <c r="F834" s="78"/>
      <c r="H834" s="46"/>
      <c r="J834" s="103"/>
      <c r="K834" s="103"/>
      <c r="L834" s="104"/>
      <c r="M834" s="104"/>
      <c r="N834" s="88"/>
      <c r="O834" s="105"/>
      <c r="AA834" s="109"/>
      <c r="AB834" s="50"/>
      <c r="AC834" s="51"/>
      <c r="AD834" s="51"/>
      <c r="AF834" s="51"/>
    </row>
    <row r="835" spans="2:32" x14ac:dyDescent="0.3">
      <c r="B835" s="46"/>
      <c r="D835" s="37"/>
      <c r="E835" s="10"/>
      <c r="F835" s="78"/>
      <c r="H835" s="46"/>
      <c r="J835" s="103"/>
      <c r="K835" s="103"/>
      <c r="L835" s="104"/>
      <c r="M835" s="104"/>
      <c r="N835" s="88"/>
      <c r="O835" s="105"/>
      <c r="AA835" s="109"/>
      <c r="AB835" s="50"/>
      <c r="AC835" s="51"/>
      <c r="AD835" s="51"/>
      <c r="AF835" s="51"/>
    </row>
    <row r="836" spans="2:32" x14ac:dyDescent="0.3">
      <c r="B836" s="46"/>
      <c r="D836" s="37"/>
      <c r="E836" s="10"/>
      <c r="F836" s="78"/>
      <c r="H836" s="46"/>
      <c r="J836" s="103"/>
      <c r="K836" s="103"/>
      <c r="L836" s="104"/>
      <c r="M836" s="104"/>
      <c r="N836" s="88"/>
      <c r="O836" s="105"/>
      <c r="AA836" s="109"/>
      <c r="AB836" s="50"/>
      <c r="AC836" s="51"/>
      <c r="AD836" s="51"/>
      <c r="AF836" s="51"/>
    </row>
    <row r="837" spans="2:32" x14ac:dyDescent="0.3">
      <c r="B837" s="46"/>
      <c r="D837" s="37"/>
      <c r="E837" s="10"/>
      <c r="F837" s="78"/>
      <c r="H837" s="46"/>
      <c r="J837" s="103"/>
      <c r="K837" s="103"/>
      <c r="L837" s="104"/>
      <c r="M837" s="104"/>
      <c r="N837" s="88"/>
      <c r="O837" s="105"/>
      <c r="AA837" s="109"/>
      <c r="AB837" s="50"/>
      <c r="AC837" s="51"/>
      <c r="AD837" s="51"/>
      <c r="AF837" s="51"/>
    </row>
    <row r="838" spans="2:32" x14ac:dyDescent="0.3">
      <c r="B838" s="46"/>
      <c r="D838" s="37"/>
      <c r="E838" s="10"/>
      <c r="F838" s="78"/>
      <c r="H838" s="46"/>
      <c r="J838" s="103"/>
      <c r="K838" s="103"/>
      <c r="L838" s="104"/>
      <c r="M838" s="104"/>
      <c r="N838" s="88"/>
      <c r="O838" s="105"/>
      <c r="AA838" s="109"/>
      <c r="AB838" s="50"/>
      <c r="AC838" s="51"/>
      <c r="AD838" s="51"/>
      <c r="AF838" s="51"/>
    </row>
    <row r="839" spans="2:32" x14ac:dyDescent="0.3">
      <c r="B839" s="46"/>
      <c r="D839" s="37"/>
      <c r="E839" s="10"/>
      <c r="F839" s="78"/>
      <c r="H839" s="46"/>
      <c r="J839" s="103"/>
      <c r="K839" s="103"/>
      <c r="L839" s="104"/>
      <c r="M839" s="104"/>
      <c r="N839" s="88"/>
      <c r="O839" s="105"/>
      <c r="AA839" s="109"/>
      <c r="AB839" s="50"/>
      <c r="AC839" s="51"/>
      <c r="AD839" s="51"/>
      <c r="AF839" s="51"/>
    </row>
    <row r="840" spans="2:32" x14ac:dyDescent="0.3">
      <c r="B840" s="46"/>
      <c r="D840" s="37"/>
      <c r="E840" s="10"/>
      <c r="F840" s="78"/>
      <c r="H840" s="46"/>
      <c r="J840" s="103"/>
      <c r="K840" s="103"/>
      <c r="L840" s="104"/>
      <c r="M840" s="104"/>
      <c r="N840" s="88"/>
      <c r="O840" s="105"/>
      <c r="AA840" s="109"/>
      <c r="AB840" s="50"/>
      <c r="AC840" s="51"/>
      <c r="AD840" s="51"/>
      <c r="AF840" s="51"/>
    </row>
    <row r="841" spans="2:32" x14ac:dyDescent="0.3">
      <c r="B841" s="46"/>
      <c r="D841" s="37"/>
      <c r="E841" s="10"/>
      <c r="F841" s="78"/>
      <c r="H841" s="46"/>
      <c r="J841" s="103"/>
      <c r="K841" s="103"/>
      <c r="L841" s="104"/>
      <c r="M841" s="104"/>
      <c r="N841" s="88"/>
      <c r="O841" s="105"/>
      <c r="AA841" s="109"/>
      <c r="AB841" s="50"/>
      <c r="AC841" s="51"/>
      <c r="AD841" s="51"/>
      <c r="AF841" s="51"/>
    </row>
    <row r="842" spans="2:32" x14ac:dyDescent="0.3">
      <c r="B842" s="46"/>
      <c r="D842" s="37"/>
      <c r="E842" s="10"/>
      <c r="F842" s="78"/>
      <c r="H842" s="46"/>
      <c r="J842" s="103"/>
      <c r="K842" s="103"/>
      <c r="L842" s="104"/>
      <c r="M842" s="104"/>
      <c r="N842" s="88"/>
      <c r="O842" s="105"/>
      <c r="AA842" s="109"/>
      <c r="AB842" s="50"/>
      <c r="AC842" s="51"/>
      <c r="AD842" s="51"/>
      <c r="AF842" s="51"/>
    </row>
    <row r="843" spans="2:32" x14ac:dyDescent="0.3">
      <c r="B843" s="46"/>
      <c r="D843" s="37"/>
      <c r="E843" s="10"/>
      <c r="F843" s="78"/>
      <c r="H843" s="46"/>
      <c r="J843" s="103"/>
      <c r="K843" s="103"/>
      <c r="L843" s="104"/>
      <c r="M843" s="104"/>
      <c r="N843" s="88"/>
      <c r="O843" s="105"/>
      <c r="AA843" s="109"/>
      <c r="AB843" s="50"/>
      <c r="AC843" s="51"/>
      <c r="AD843" s="51"/>
      <c r="AF843" s="51"/>
    </row>
    <row r="844" spans="2:32" x14ac:dyDescent="0.3">
      <c r="B844" s="46"/>
      <c r="D844" s="37"/>
      <c r="E844" s="10"/>
      <c r="F844" s="78"/>
      <c r="H844" s="46"/>
      <c r="J844" s="103"/>
      <c r="K844" s="103"/>
      <c r="L844" s="104"/>
      <c r="M844" s="104"/>
      <c r="N844" s="88"/>
      <c r="O844" s="105"/>
      <c r="AA844" s="109"/>
      <c r="AB844" s="50"/>
      <c r="AC844" s="51"/>
      <c r="AD844" s="51"/>
      <c r="AF844" s="51"/>
    </row>
    <row r="845" spans="2:32" x14ac:dyDescent="0.3">
      <c r="B845" s="46"/>
      <c r="D845" s="37"/>
      <c r="E845" s="10"/>
      <c r="F845" s="78"/>
      <c r="H845" s="46"/>
      <c r="J845" s="103"/>
      <c r="K845" s="103"/>
      <c r="L845" s="104"/>
      <c r="M845" s="104"/>
      <c r="N845" s="88"/>
      <c r="O845" s="105"/>
      <c r="AA845" s="109"/>
      <c r="AB845" s="50"/>
      <c r="AC845" s="51"/>
      <c r="AD845" s="51"/>
      <c r="AF845" s="51"/>
    </row>
    <row r="846" spans="2:32" x14ac:dyDescent="0.3">
      <c r="B846" s="46"/>
      <c r="D846" s="37"/>
      <c r="E846" s="10"/>
      <c r="F846" s="78"/>
      <c r="H846" s="46"/>
      <c r="J846" s="103"/>
      <c r="K846" s="103"/>
      <c r="L846" s="104"/>
      <c r="M846" s="104"/>
      <c r="N846" s="88"/>
      <c r="O846" s="105"/>
      <c r="AA846" s="109"/>
      <c r="AB846" s="50"/>
      <c r="AC846" s="51"/>
      <c r="AD846" s="51"/>
      <c r="AF846" s="51"/>
    </row>
    <row r="847" spans="2:32" x14ac:dyDescent="0.3">
      <c r="B847" s="46"/>
      <c r="D847" s="37"/>
      <c r="E847" s="10"/>
      <c r="F847" s="78"/>
      <c r="H847" s="46"/>
      <c r="J847" s="103"/>
      <c r="K847" s="103"/>
      <c r="L847" s="104"/>
      <c r="M847" s="104"/>
      <c r="N847" s="88"/>
      <c r="O847" s="105"/>
      <c r="AA847" s="109"/>
      <c r="AB847" s="50"/>
      <c r="AC847" s="51"/>
      <c r="AD847" s="51"/>
      <c r="AF847" s="51"/>
    </row>
    <row r="848" spans="2:32" x14ac:dyDescent="0.3">
      <c r="B848" s="46"/>
      <c r="D848" s="37"/>
      <c r="E848" s="10"/>
      <c r="F848" s="78"/>
      <c r="H848" s="46"/>
      <c r="J848" s="103"/>
      <c r="K848" s="103"/>
      <c r="L848" s="104"/>
      <c r="M848" s="104"/>
      <c r="N848" s="88"/>
      <c r="O848" s="105"/>
      <c r="AA848" s="109"/>
      <c r="AB848" s="50"/>
      <c r="AC848" s="51"/>
      <c r="AD848" s="51"/>
      <c r="AF848" s="51"/>
    </row>
    <row r="849" spans="2:33" x14ac:dyDescent="0.3">
      <c r="B849" s="46"/>
      <c r="D849" s="37"/>
      <c r="E849" s="10"/>
      <c r="F849" s="78"/>
      <c r="H849" s="46"/>
      <c r="J849" s="103"/>
      <c r="K849" s="103"/>
      <c r="L849" s="104"/>
      <c r="M849" s="104"/>
      <c r="N849" s="88"/>
      <c r="O849" s="105"/>
      <c r="AA849" s="109"/>
      <c r="AB849" s="50"/>
      <c r="AC849" s="51"/>
      <c r="AD849" s="51"/>
      <c r="AF849" s="51"/>
    </row>
    <row r="850" spans="2:33" x14ac:dyDescent="0.3">
      <c r="B850" s="46"/>
      <c r="D850" s="37"/>
      <c r="E850" s="10"/>
      <c r="F850" s="78"/>
      <c r="H850" s="46"/>
      <c r="J850" s="103"/>
      <c r="K850" s="103"/>
      <c r="L850" s="104"/>
      <c r="M850" s="104"/>
      <c r="N850" s="88"/>
      <c r="O850" s="105"/>
      <c r="AA850" s="109"/>
      <c r="AB850" s="50"/>
      <c r="AC850" s="51"/>
      <c r="AD850" s="51"/>
      <c r="AF850" s="51"/>
    </row>
    <row r="851" spans="2:33" x14ac:dyDescent="0.3">
      <c r="B851" s="46"/>
      <c r="D851" s="37"/>
      <c r="E851" s="10"/>
      <c r="F851" s="78"/>
      <c r="H851" s="46"/>
      <c r="J851" s="103"/>
      <c r="K851" s="103"/>
      <c r="L851" s="104"/>
      <c r="M851" s="104"/>
      <c r="N851" s="88"/>
      <c r="O851" s="105"/>
      <c r="AA851" s="109"/>
      <c r="AB851" s="50"/>
      <c r="AC851" s="51"/>
      <c r="AD851" s="51"/>
      <c r="AF851" s="51"/>
    </row>
    <row r="852" spans="2:33" x14ac:dyDescent="0.3">
      <c r="B852" s="46"/>
      <c r="D852" s="37"/>
      <c r="E852" s="10"/>
      <c r="F852" s="78"/>
      <c r="H852" s="46"/>
      <c r="J852" s="103"/>
      <c r="K852" s="103"/>
      <c r="L852" s="104"/>
      <c r="M852" s="104"/>
      <c r="N852" s="88"/>
      <c r="O852" s="105"/>
      <c r="AA852" s="109"/>
      <c r="AB852" s="50"/>
      <c r="AC852" s="106"/>
      <c r="AD852" s="106"/>
      <c r="AE852" s="107"/>
      <c r="AF852" s="106"/>
      <c r="AG852" s="108"/>
    </row>
    <row r="853" spans="2:33" x14ac:dyDescent="0.3">
      <c r="B853" s="46"/>
      <c r="D853" s="37"/>
      <c r="E853" s="10"/>
      <c r="F853" s="78"/>
      <c r="H853" s="46"/>
      <c r="J853" s="103"/>
      <c r="K853" s="103"/>
      <c r="L853" s="104"/>
      <c r="M853" s="104"/>
      <c r="N853" s="88"/>
      <c r="O853" s="105"/>
      <c r="AA853" s="109"/>
      <c r="AB853" s="50"/>
      <c r="AC853" s="51"/>
      <c r="AD853" s="51"/>
      <c r="AF853" s="51"/>
    </row>
    <row r="854" spans="2:33" x14ac:dyDescent="0.3">
      <c r="B854" s="46"/>
      <c r="D854" s="37"/>
      <c r="E854" s="10"/>
      <c r="F854" s="78"/>
      <c r="H854" s="46"/>
      <c r="J854" s="103"/>
      <c r="K854" s="103"/>
      <c r="L854" s="104"/>
      <c r="M854" s="104"/>
      <c r="N854" s="88"/>
      <c r="O854" s="105"/>
      <c r="AA854" s="109"/>
      <c r="AB854" s="50"/>
      <c r="AC854" s="51"/>
      <c r="AD854" s="51"/>
      <c r="AF854" s="51"/>
    </row>
    <row r="855" spans="2:33" x14ac:dyDescent="0.3">
      <c r="B855" s="46"/>
      <c r="D855" s="37"/>
      <c r="E855" s="10"/>
      <c r="F855" s="78"/>
      <c r="H855" s="46"/>
      <c r="J855" s="103"/>
      <c r="K855" s="103"/>
      <c r="L855" s="104"/>
      <c r="M855" s="104"/>
      <c r="N855" s="88"/>
      <c r="O855" s="105"/>
      <c r="AA855" s="109"/>
      <c r="AB855" s="50"/>
      <c r="AC855" s="51"/>
      <c r="AD855" s="51"/>
      <c r="AF855" s="51"/>
    </row>
    <row r="856" spans="2:33" x14ac:dyDescent="0.3">
      <c r="B856" s="46"/>
      <c r="D856" s="37"/>
      <c r="E856" s="10"/>
      <c r="F856" s="78"/>
      <c r="H856" s="46"/>
      <c r="J856" s="103"/>
      <c r="K856" s="103"/>
      <c r="L856" s="104"/>
      <c r="M856" s="104"/>
      <c r="N856" s="88"/>
      <c r="O856" s="105"/>
      <c r="AA856" s="109"/>
      <c r="AB856" s="50"/>
      <c r="AC856" s="51"/>
      <c r="AD856" s="51"/>
      <c r="AF856" s="51"/>
    </row>
    <row r="857" spans="2:33" x14ac:dyDescent="0.3">
      <c r="B857" s="46"/>
      <c r="D857" s="37"/>
      <c r="E857" s="10"/>
      <c r="F857" s="78"/>
      <c r="H857" s="46"/>
      <c r="J857" s="103"/>
      <c r="K857" s="103"/>
      <c r="L857" s="104"/>
      <c r="M857" s="104"/>
      <c r="N857" s="88"/>
      <c r="O857" s="105"/>
      <c r="AA857" s="109"/>
      <c r="AB857" s="50"/>
      <c r="AC857" s="51"/>
      <c r="AD857" s="51"/>
      <c r="AF857" s="51"/>
    </row>
    <row r="858" spans="2:33" x14ac:dyDescent="0.3">
      <c r="B858" s="46"/>
      <c r="D858" s="37"/>
      <c r="E858" s="10"/>
      <c r="F858" s="78"/>
      <c r="H858" s="46"/>
      <c r="J858" s="103"/>
      <c r="K858" s="103"/>
      <c r="L858" s="104"/>
      <c r="M858" s="104"/>
      <c r="N858" s="88"/>
      <c r="O858" s="105"/>
      <c r="AA858" s="109"/>
      <c r="AB858" s="50"/>
      <c r="AC858" s="51"/>
      <c r="AD858" s="51"/>
      <c r="AF858" s="51"/>
    </row>
    <row r="859" spans="2:33" x14ac:dyDescent="0.3">
      <c r="B859" s="46"/>
      <c r="D859" s="37"/>
      <c r="E859" s="10"/>
      <c r="F859" s="78"/>
      <c r="H859" s="46"/>
      <c r="J859" s="103"/>
      <c r="K859" s="103"/>
      <c r="L859" s="104"/>
      <c r="M859" s="104"/>
      <c r="N859" s="88"/>
      <c r="O859" s="105"/>
      <c r="AA859" s="109"/>
      <c r="AB859" s="50"/>
      <c r="AC859" s="51"/>
      <c r="AD859" s="51"/>
      <c r="AF859" s="51"/>
    </row>
    <row r="860" spans="2:33" x14ac:dyDescent="0.3">
      <c r="B860" s="46"/>
      <c r="D860" s="37"/>
      <c r="E860" s="10"/>
      <c r="F860" s="78"/>
      <c r="H860" s="46"/>
      <c r="J860" s="103"/>
      <c r="K860" s="103"/>
      <c r="L860" s="104"/>
      <c r="M860" s="104"/>
      <c r="N860" s="88"/>
      <c r="O860" s="105"/>
      <c r="AA860" s="109"/>
      <c r="AB860" s="50"/>
      <c r="AC860" s="51"/>
      <c r="AD860" s="51"/>
      <c r="AF860" s="51"/>
    </row>
    <row r="861" spans="2:33" x14ac:dyDescent="0.3">
      <c r="B861" s="46"/>
      <c r="D861" s="37"/>
      <c r="E861" s="10"/>
      <c r="F861" s="78"/>
      <c r="H861" s="46"/>
      <c r="J861" s="103"/>
      <c r="K861" s="103"/>
      <c r="L861" s="104"/>
      <c r="M861" s="104"/>
      <c r="N861" s="88"/>
      <c r="O861" s="105"/>
      <c r="AA861" s="109"/>
      <c r="AB861" s="50"/>
      <c r="AC861" s="51"/>
      <c r="AD861" s="51"/>
      <c r="AF861" s="51"/>
    </row>
    <row r="862" spans="2:33" x14ac:dyDescent="0.3">
      <c r="B862" s="46"/>
      <c r="D862" s="37"/>
      <c r="E862" s="10"/>
      <c r="F862" s="78"/>
      <c r="H862" s="46"/>
      <c r="J862" s="103"/>
      <c r="K862" s="103"/>
      <c r="L862" s="104"/>
      <c r="M862" s="104"/>
      <c r="N862" s="88"/>
      <c r="O862" s="105"/>
      <c r="AA862" s="109"/>
      <c r="AB862" s="50"/>
      <c r="AC862" s="51"/>
      <c r="AD862" s="51"/>
      <c r="AF862" s="51"/>
    </row>
    <row r="863" spans="2:33" x14ac:dyDescent="0.3">
      <c r="B863" s="46"/>
      <c r="D863" s="37"/>
      <c r="E863" s="10"/>
      <c r="F863" s="78"/>
      <c r="H863" s="46"/>
      <c r="J863" s="103"/>
      <c r="K863" s="103"/>
      <c r="L863" s="104"/>
      <c r="M863" s="104"/>
      <c r="N863" s="88"/>
      <c r="O863" s="105"/>
      <c r="AA863" s="109"/>
      <c r="AB863" s="50"/>
      <c r="AC863" s="51"/>
      <c r="AD863" s="51"/>
      <c r="AF863" s="51"/>
    </row>
    <row r="864" spans="2:33" x14ac:dyDescent="0.3">
      <c r="B864" s="46"/>
      <c r="D864" s="37"/>
      <c r="E864" s="10"/>
      <c r="F864" s="78"/>
      <c r="H864" s="46"/>
      <c r="J864" s="103"/>
      <c r="K864" s="103"/>
      <c r="L864" s="104"/>
      <c r="M864" s="104"/>
      <c r="N864" s="88"/>
      <c r="O864" s="105"/>
      <c r="AA864" s="109"/>
      <c r="AB864" s="50"/>
      <c r="AC864" s="51"/>
      <c r="AD864" s="51"/>
      <c r="AF864" s="51"/>
    </row>
    <row r="865" spans="2:32" x14ac:dyDescent="0.3">
      <c r="B865" s="46"/>
      <c r="D865" s="37"/>
      <c r="E865" s="10"/>
      <c r="F865" s="78"/>
      <c r="H865" s="46"/>
      <c r="J865" s="103"/>
      <c r="K865" s="103"/>
      <c r="L865" s="104"/>
      <c r="M865" s="104"/>
      <c r="N865" s="88"/>
      <c r="O865" s="105"/>
      <c r="AA865" s="109"/>
      <c r="AB865" s="50"/>
      <c r="AC865" s="51"/>
      <c r="AD865" s="51"/>
      <c r="AF865" s="51"/>
    </row>
    <row r="866" spans="2:32" x14ac:dyDescent="0.3">
      <c r="B866" s="46"/>
      <c r="D866" s="37"/>
      <c r="E866" s="10"/>
      <c r="F866" s="78"/>
      <c r="H866" s="46"/>
      <c r="J866" s="103"/>
      <c r="K866" s="103"/>
      <c r="L866" s="104"/>
      <c r="M866" s="104"/>
      <c r="N866" s="88"/>
      <c r="O866" s="105"/>
      <c r="AA866" s="109"/>
      <c r="AB866" s="50"/>
      <c r="AC866" s="51"/>
      <c r="AD866" s="51"/>
      <c r="AF866" s="51"/>
    </row>
    <row r="867" spans="2:32" x14ac:dyDescent="0.3">
      <c r="B867" s="46"/>
      <c r="D867" s="37"/>
      <c r="E867" s="10"/>
      <c r="F867" s="78"/>
      <c r="H867" s="46"/>
      <c r="J867" s="103"/>
      <c r="K867" s="103"/>
      <c r="L867" s="104"/>
      <c r="M867" s="104"/>
      <c r="N867" s="88"/>
      <c r="O867" s="105"/>
      <c r="AA867" s="109"/>
      <c r="AB867" s="50"/>
      <c r="AC867" s="51"/>
      <c r="AD867" s="51"/>
      <c r="AF867" s="51"/>
    </row>
    <row r="868" spans="2:32" x14ac:dyDescent="0.3">
      <c r="B868" s="46"/>
      <c r="D868" s="37"/>
      <c r="E868" s="10"/>
      <c r="F868" s="78"/>
      <c r="H868" s="46"/>
      <c r="J868" s="103"/>
      <c r="K868" s="103"/>
      <c r="L868" s="104"/>
      <c r="M868" s="104"/>
      <c r="N868" s="88"/>
      <c r="O868" s="105"/>
      <c r="AA868" s="109"/>
      <c r="AB868" s="50"/>
      <c r="AC868" s="51"/>
      <c r="AD868" s="51"/>
      <c r="AF868" s="51"/>
    </row>
    <row r="869" spans="2:32" x14ac:dyDescent="0.3">
      <c r="B869" s="46"/>
      <c r="D869" s="37"/>
      <c r="E869" s="10"/>
      <c r="F869" s="78"/>
      <c r="H869" s="46"/>
      <c r="J869" s="103"/>
      <c r="K869" s="103"/>
      <c r="L869" s="104"/>
      <c r="M869" s="104"/>
      <c r="N869" s="88"/>
      <c r="O869" s="105"/>
      <c r="AA869" s="109"/>
      <c r="AB869" s="50"/>
      <c r="AC869" s="51"/>
      <c r="AD869" s="51"/>
      <c r="AF869" s="51"/>
    </row>
    <row r="870" spans="2:32" x14ac:dyDescent="0.3">
      <c r="B870" s="46"/>
      <c r="D870" s="37"/>
      <c r="E870" s="10"/>
      <c r="F870" s="78"/>
      <c r="H870" s="46"/>
      <c r="J870" s="103"/>
      <c r="K870" s="103"/>
      <c r="L870" s="104"/>
      <c r="M870" s="104"/>
      <c r="N870" s="88"/>
      <c r="O870" s="105"/>
      <c r="AA870" s="109"/>
      <c r="AB870" s="50"/>
      <c r="AC870" s="51"/>
      <c r="AD870" s="51"/>
      <c r="AF870" s="51"/>
    </row>
    <row r="871" spans="2:32" x14ac:dyDescent="0.3">
      <c r="B871" s="46"/>
      <c r="D871" s="37"/>
      <c r="E871" s="10"/>
      <c r="F871" s="78"/>
      <c r="H871" s="46"/>
      <c r="J871" s="103"/>
      <c r="K871" s="103"/>
      <c r="L871" s="104"/>
      <c r="M871" s="104"/>
      <c r="N871" s="88"/>
      <c r="O871" s="105"/>
      <c r="AA871" s="109"/>
      <c r="AB871" s="50"/>
      <c r="AC871" s="51"/>
      <c r="AD871" s="51"/>
      <c r="AF871" s="51"/>
    </row>
    <row r="872" spans="2:32" x14ac:dyDescent="0.3">
      <c r="B872" s="46"/>
      <c r="D872" s="37"/>
      <c r="E872" s="10"/>
      <c r="F872" s="78"/>
      <c r="H872" s="46"/>
      <c r="J872" s="103"/>
      <c r="K872" s="103"/>
      <c r="L872" s="104"/>
      <c r="M872" s="104"/>
      <c r="N872" s="88"/>
      <c r="O872" s="105"/>
      <c r="AA872" s="109"/>
      <c r="AB872" s="50"/>
      <c r="AC872" s="51"/>
      <c r="AD872" s="51"/>
      <c r="AF872" s="51"/>
    </row>
    <row r="873" spans="2:32" x14ac:dyDescent="0.3">
      <c r="B873" s="46"/>
      <c r="D873" s="37"/>
      <c r="E873" s="10"/>
      <c r="F873" s="78"/>
      <c r="H873" s="46"/>
      <c r="J873" s="103"/>
      <c r="K873" s="103"/>
      <c r="L873" s="104"/>
      <c r="M873" s="104"/>
      <c r="N873" s="88"/>
      <c r="O873" s="105"/>
      <c r="AA873" s="109"/>
      <c r="AB873" s="50"/>
      <c r="AC873" s="51"/>
      <c r="AD873" s="51"/>
      <c r="AF873" s="51"/>
    </row>
    <row r="874" spans="2:32" x14ac:dyDescent="0.3">
      <c r="B874" s="46"/>
      <c r="D874" s="37"/>
      <c r="E874" s="10"/>
      <c r="F874" s="78"/>
      <c r="H874" s="46"/>
      <c r="J874" s="103"/>
      <c r="K874" s="103"/>
      <c r="L874" s="104"/>
      <c r="M874" s="104"/>
      <c r="N874" s="88"/>
      <c r="O874" s="105"/>
      <c r="AA874" s="109"/>
      <c r="AB874" s="50"/>
      <c r="AC874" s="51"/>
      <c r="AD874" s="51"/>
      <c r="AF874" s="51"/>
    </row>
    <row r="875" spans="2:32" x14ac:dyDescent="0.3">
      <c r="B875" s="46"/>
      <c r="D875" s="37"/>
      <c r="E875" s="10"/>
      <c r="F875" s="78"/>
      <c r="H875" s="46"/>
      <c r="J875" s="103"/>
      <c r="K875" s="103"/>
      <c r="L875" s="104"/>
      <c r="M875" s="104"/>
      <c r="N875" s="88"/>
      <c r="O875" s="105"/>
      <c r="AA875" s="109"/>
      <c r="AB875" s="50"/>
      <c r="AC875" s="51"/>
      <c r="AD875" s="51"/>
      <c r="AF875" s="51"/>
    </row>
    <row r="876" spans="2:32" x14ac:dyDescent="0.3">
      <c r="B876" s="46"/>
      <c r="D876" s="37"/>
      <c r="E876" s="10"/>
      <c r="F876" s="78"/>
      <c r="H876" s="46"/>
      <c r="J876" s="103"/>
      <c r="K876" s="103"/>
      <c r="L876" s="104"/>
      <c r="M876" s="104"/>
      <c r="N876" s="88"/>
      <c r="O876" s="105"/>
      <c r="AA876" s="109"/>
      <c r="AB876" s="50"/>
      <c r="AC876" s="51"/>
      <c r="AD876" s="51"/>
      <c r="AF876" s="51"/>
    </row>
    <row r="877" spans="2:32" x14ac:dyDescent="0.3">
      <c r="B877" s="46"/>
      <c r="D877" s="37"/>
      <c r="E877" s="10"/>
      <c r="F877" s="78"/>
      <c r="H877" s="46"/>
      <c r="J877" s="103"/>
      <c r="K877" s="103"/>
      <c r="L877" s="104"/>
      <c r="M877" s="104"/>
      <c r="N877" s="88"/>
      <c r="O877" s="105"/>
      <c r="AA877" s="109"/>
      <c r="AB877" s="50"/>
      <c r="AC877" s="51"/>
      <c r="AD877" s="51"/>
      <c r="AF877" s="51"/>
    </row>
    <row r="878" spans="2:32" x14ac:dyDescent="0.3">
      <c r="B878" s="46"/>
      <c r="D878" s="37"/>
      <c r="E878" s="10"/>
      <c r="F878" s="78"/>
      <c r="H878" s="46"/>
      <c r="J878" s="103"/>
      <c r="K878" s="103"/>
      <c r="L878" s="104"/>
      <c r="M878" s="104"/>
      <c r="N878" s="88"/>
      <c r="O878" s="105"/>
      <c r="AA878" s="109"/>
      <c r="AB878" s="50"/>
      <c r="AC878" s="51"/>
      <c r="AD878" s="51"/>
      <c r="AF878" s="51"/>
    </row>
    <row r="879" spans="2:32" x14ac:dyDescent="0.3">
      <c r="B879" s="46"/>
      <c r="D879" s="37"/>
      <c r="E879" s="10"/>
      <c r="F879" s="78"/>
      <c r="H879" s="46"/>
      <c r="J879" s="103"/>
      <c r="K879" s="103"/>
      <c r="L879" s="104"/>
      <c r="M879" s="104"/>
      <c r="N879" s="88"/>
      <c r="O879" s="105"/>
      <c r="AA879" s="109"/>
      <c r="AB879" s="50"/>
      <c r="AC879" s="51"/>
      <c r="AD879" s="51"/>
      <c r="AF879" s="51"/>
    </row>
    <row r="880" spans="2:32" x14ac:dyDescent="0.3">
      <c r="B880" s="46"/>
      <c r="D880" s="37"/>
      <c r="E880" s="10"/>
      <c r="F880" s="78"/>
      <c r="H880" s="46"/>
      <c r="J880" s="103"/>
      <c r="K880" s="103"/>
      <c r="L880" s="104"/>
      <c r="M880" s="104"/>
      <c r="N880" s="88"/>
      <c r="O880" s="105"/>
      <c r="AA880" s="109"/>
      <c r="AB880" s="50"/>
      <c r="AC880" s="51"/>
      <c r="AD880" s="51"/>
      <c r="AF880" s="51"/>
    </row>
    <row r="881" spans="2:32" x14ac:dyDescent="0.3">
      <c r="B881" s="46"/>
      <c r="D881" s="37"/>
      <c r="E881" s="10"/>
      <c r="F881" s="78"/>
      <c r="H881" s="46"/>
      <c r="J881" s="103"/>
      <c r="K881" s="103"/>
      <c r="L881" s="104"/>
      <c r="M881" s="104"/>
      <c r="N881" s="88"/>
      <c r="O881" s="105"/>
      <c r="AA881" s="109"/>
      <c r="AB881" s="50"/>
      <c r="AC881" s="51"/>
      <c r="AD881" s="51"/>
      <c r="AF881" s="51"/>
    </row>
    <row r="882" spans="2:32" x14ac:dyDescent="0.3">
      <c r="B882" s="46"/>
      <c r="D882" s="37"/>
      <c r="E882" s="10"/>
      <c r="F882" s="78"/>
      <c r="H882" s="46"/>
      <c r="J882" s="103"/>
      <c r="K882" s="103"/>
      <c r="L882" s="104"/>
      <c r="M882" s="104"/>
      <c r="N882" s="88"/>
      <c r="O882" s="105"/>
      <c r="AA882" s="109"/>
      <c r="AB882" s="50"/>
      <c r="AC882" s="51"/>
      <c r="AD882" s="51"/>
      <c r="AF882" s="51"/>
    </row>
    <row r="883" spans="2:32" x14ac:dyDescent="0.3">
      <c r="B883" s="46"/>
      <c r="D883" s="37"/>
      <c r="E883" s="10"/>
      <c r="F883" s="78"/>
      <c r="H883" s="46"/>
      <c r="J883" s="103"/>
      <c r="K883" s="103"/>
      <c r="L883" s="104"/>
      <c r="M883" s="104"/>
      <c r="N883" s="88"/>
      <c r="O883" s="105"/>
      <c r="AA883" s="109"/>
      <c r="AB883" s="50"/>
      <c r="AC883" s="51"/>
      <c r="AD883" s="51"/>
      <c r="AF883" s="51"/>
    </row>
    <row r="884" spans="2:32" x14ac:dyDescent="0.3">
      <c r="B884" s="46"/>
      <c r="D884" s="37"/>
      <c r="E884" s="10"/>
      <c r="F884" s="78"/>
      <c r="H884" s="46"/>
      <c r="J884" s="103"/>
      <c r="K884" s="103"/>
      <c r="L884" s="104"/>
      <c r="M884" s="104"/>
      <c r="N884" s="88"/>
      <c r="O884" s="105"/>
      <c r="AA884" s="109"/>
      <c r="AB884" s="50"/>
      <c r="AC884" s="51"/>
      <c r="AD884" s="51"/>
      <c r="AF884" s="51"/>
    </row>
    <row r="885" spans="2:32" x14ac:dyDescent="0.3">
      <c r="B885" s="46"/>
      <c r="D885" s="37"/>
      <c r="E885" s="10"/>
      <c r="F885" s="78"/>
      <c r="H885" s="46"/>
      <c r="J885" s="103"/>
      <c r="K885" s="103"/>
      <c r="L885" s="104"/>
      <c r="M885" s="104"/>
      <c r="N885" s="88"/>
      <c r="O885" s="105"/>
      <c r="AA885" s="109"/>
      <c r="AB885" s="50"/>
      <c r="AC885" s="51"/>
      <c r="AD885" s="51"/>
      <c r="AF885" s="51"/>
    </row>
    <row r="886" spans="2:32" x14ac:dyDescent="0.3">
      <c r="B886" s="46"/>
      <c r="D886" s="37"/>
      <c r="E886" s="10"/>
      <c r="F886" s="78"/>
      <c r="H886" s="46"/>
      <c r="J886" s="103"/>
      <c r="K886" s="103"/>
      <c r="L886" s="104"/>
      <c r="M886" s="104"/>
      <c r="N886" s="88"/>
      <c r="O886" s="105"/>
      <c r="AA886" s="109"/>
      <c r="AB886" s="50"/>
      <c r="AC886" s="51"/>
      <c r="AD886" s="51"/>
      <c r="AF886" s="51"/>
    </row>
    <row r="887" spans="2:32" x14ac:dyDescent="0.3">
      <c r="B887" s="46"/>
      <c r="D887" s="37"/>
      <c r="E887" s="10"/>
      <c r="F887" s="78"/>
      <c r="H887" s="46"/>
      <c r="J887" s="103"/>
      <c r="K887" s="103"/>
      <c r="L887" s="104"/>
      <c r="M887" s="104"/>
      <c r="N887" s="88"/>
      <c r="O887" s="105"/>
      <c r="AA887" s="109"/>
      <c r="AB887" s="50"/>
      <c r="AC887" s="51"/>
      <c r="AD887" s="51"/>
      <c r="AF887" s="51"/>
    </row>
    <row r="888" spans="2:32" x14ac:dyDescent="0.3">
      <c r="B888" s="46"/>
      <c r="D888" s="37"/>
      <c r="E888" s="10"/>
      <c r="F888" s="78"/>
      <c r="H888" s="46"/>
      <c r="J888" s="103"/>
      <c r="K888" s="103"/>
      <c r="L888" s="104"/>
      <c r="M888" s="104"/>
      <c r="N888" s="88"/>
      <c r="O888" s="105"/>
      <c r="AA888" s="109"/>
      <c r="AB888" s="50"/>
      <c r="AC888" s="51"/>
      <c r="AD888" s="51"/>
      <c r="AF888" s="51"/>
    </row>
    <row r="889" spans="2:32" x14ac:dyDescent="0.3">
      <c r="B889" s="46"/>
      <c r="D889" s="37"/>
      <c r="E889" s="10"/>
      <c r="F889" s="78"/>
      <c r="H889" s="46"/>
      <c r="J889" s="103"/>
      <c r="K889" s="103"/>
      <c r="L889" s="104"/>
      <c r="M889" s="104"/>
      <c r="N889" s="88"/>
      <c r="O889" s="105"/>
      <c r="AA889" s="109"/>
      <c r="AB889" s="50"/>
      <c r="AC889" s="51"/>
      <c r="AD889" s="51"/>
      <c r="AF889" s="51"/>
    </row>
    <row r="890" spans="2:32" x14ac:dyDescent="0.3">
      <c r="B890" s="46"/>
      <c r="D890" s="37"/>
      <c r="E890" s="10"/>
      <c r="F890" s="78"/>
      <c r="H890" s="46"/>
      <c r="J890" s="103"/>
      <c r="K890" s="103"/>
      <c r="L890" s="104"/>
      <c r="M890" s="104"/>
      <c r="N890" s="88"/>
      <c r="O890" s="105"/>
      <c r="AC890" s="51"/>
      <c r="AD890" s="51"/>
      <c r="AF890" s="51"/>
    </row>
    <row r="891" spans="2:32" x14ac:dyDescent="0.3">
      <c r="B891" s="46"/>
      <c r="D891" s="37"/>
      <c r="E891" s="10"/>
      <c r="F891" s="78"/>
      <c r="H891" s="46"/>
      <c r="J891" s="103"/>
      <c r="K891" s="103"/>
      <c r="L891" s="104"/>
      <c r="M891" s="104"/>
      <c r="N891" s="88"/>
      <c r="O891" s="105"/>
      <c r="AC891" s="51"/>
      <c r="AD891" s="51"/>
      <c r="AF891" s="51"/>
    </row>
    <row r="892" spans="2:32" x14ac:dyDescent="0.3">
      <c r="B892" s="46"/>
      <c r="D892" s="37"/>
      <c r="E892" s="10"/>
      <c r="F892" s="78"/>
      <c r="H892" s="46"/>
      <c r="J892" s="103"/>
      <c r="K892" s="103"/>
      <c r="L892" s="104"/>
      <c r="M892" s="104"/>
      <c r="N892" s="88"/>
      <c r="O892" s="105"/>
      <c r="AC892" s="51"/>
      <c r="AD892" s="51"/>
      <c r="AF892" s="51"/>
    </row>
    <row r="893" spans="2:32" x14ac:dyDescent="0.3">
      <c r="B893" s="46"/>
      <c r="D893" s="37"/>
      <c r="E893" s="10"/>
      <c r="F893" s="78"/>
      <c r="H893" s="46"/>
      <c r="J893" s="103"/>
      <c r="K893" s="103"/>
      <c r="L893" s="104"/>
      <c r="M893" s="104"/>
      <c r="N893" s="88"/>
      <c r="O893" s="105"/>
      <c r="AC893" s="51"/>
      <c r="AD893" s="51"/>
      <c r="AF893" s="51"/>
    </row>
    <row r="894" spans="2:32" x14ac:dyDescent="0.3">
      <c r="B894" s="46"/>
      <c r="D894" s="37"/>
      <c r="E894" s="10"/>
      <c r="F894" s="78"/>
      <c r="H894" s="46"/>
      <c r="J894" s="103"/>
      <c r="K894" s="103"/>
      <c r="L894" s="104"/>
      <c r="M894" s="104"/>
      <c r="N894" s="88"/>
      <c r="O894" s="105"/>
      <c r="AC894" s="51"/>
      <c r="AD894" s="51"/>
      <c r="AF894" s="51"/>
    </row>
    <row r="895" spans="2:32" x14ac:dyDescent="0.3">
      <c r="B895" s="46"/>
      <c r="D895" s="37"/>
      <c r="E895" s="10"/>
      <c r="F895" s="78"/>
      <c r="H895" s="46"/>
      <c r="J895" s="103"/>
      <c r="K895" s="103"/>
      <c r="L895" s="104"/>
      <c r="M895" s="104"/>
      <c r="N895" s="88"/>
      <c r="O895" s="105"/>
      <c r="AC895" s="51"/>
      <c r="AD895" s="51"/>
      <c r="AF895" s="51"/>
    </row>
    <row r="896" spans="2:32" x14ac:dyDescent="0.3">
      <c r="B896" s="46"/>
      <c r="D896" s="37"/>
      <c r="E896" s="10"/>
      <c r="F896" s="78"/>
      <c r="H896" s="46"/>
      <c r="J896" s="103"/>
      <c r="K896" s="103"/>
      <c r="L896" s="104"/>
      <c r="M896" s="104"/>
      <c r="N896" s="88"/>
      <c r="O896" s="105"/>
      <c r="AC896" s="51"/>
      <c r="AD896" s="51"/>
      <c r="AF896" s="51"/>
    </row>
    <row r="897" spans="2:32" x14ac:dyDescent="0.3">
      <c r="B897" s="46"/>
      <c r="D897" s="37"/>
      <c r="E897" s="10"/>
      <c r="F897" s="78"/>
      <c r="H897" s="46"/>
      <c r="J897" s="103"/>
      <c r="K897" s="103"/>
      <c r="L897" s="104"/>
      <c r="M897" s="104"/>
      <c r="N897" s="88"/>
      <c r="O897" s="105"/>
      <c r="AC897" s="51"/>
      <c r="AD897" s="51"/>
      <c r="AF897" s="51"/>
    </row>
    <row r="898" spans="2:32" x14ac:dyDescent="0.3">
      <c r="B898" s="46"/>
      <c r="D898" s="37"/>
      <c r="E898" s="10"/>
      <c r="F898" s="78"/>
      <c r="H898" s="46"/>
      <c r="J898" s="103"/>
      <c r="K898" s="103"/>
      <c r="L898" s="104"/>
      <c r="M898" s="104"/>
      <c r="N898" s="88"/>
      <c r="O898" s="105"/>
      <c r="AC898" s="51"/>
      <c r="AD898" s="51"/>
      <c r="AF898" s="51"/>
    </row>
    <row r="899" spans="2:32" x14ac:dyDescent="0.3">
      <c r="B899" s="46"/>
      <c r="D899" s="37"/>
      <c r="E899" s="10"/>
      <c r="F899" s="78"/>
      <c r="H899" s="46"/>
      <c r="J899" s="103"/>
      <c r="K899" s="103"/>
      <c r="L899" s="104"/>
      <c r="M899" s="104"/>
      <c r="N899" s="88"/>
      <c r="O899" s="105"/>
      <c r="AC899" s="51"/>
      <c r="AD899" s="51"/>
      <c r="AF899" s="51"/>
    </row>
    <row r="900" spans="2:32" x14ac:dyDescent="0.3">
      <c r="B900" s="46"/>
      <c r="D900" s="37"/>
      <c r="E900" s="10"/>
      <c r="F900" s="78"/>
      <c r="H900" s="46"/>
      <c r="J900" s="103"/>
      <c r="K900" s="103"/>
      <c r="L900" s="104"/>
      <c r="M900" s="104"/>
      <c r="N900" s="88"/>
      <c r="O900" s="105"/>
      <c r="AC900" s="51"/>
      <c r="AD900" s="51"/>
      <c r="AF900" s="51"/>
    </row>
    <row r="901" spans="2:32" x14ac:dyDescent="0.3">
      <c r="B901" s="46"/>
      <c r="D901" s="37"/>
      <c r="E901" s="10"/>
      <c r="F901" s="78"/>
      <c r="H901" s="46"/>
      <c r="J901" s="103"/>
      <c r="K901" s="103"/>
      <c r="L901" s="104"/>
      <c r="M901" s="104"/>
      <c r="N901" s="88"/>
      <c r="O901" s="105"/>
      <c r="AC901" s="51"/>
      <c r="AD901" s="51"/>
      <c r="AF901" s="51"/>
    </row>
    <row r="902" spans="2:32" x14ac:dyDescent="0.3">
      <c r="B902" s="46"/>
      <c r="D902" s="37"/>
      <c r="E902" s="10"/>
      <c r="F902" s="78"/>
      <c r="H902" s="46"/>
      <c r="J902" s="103"/>
      <c r="K902" s="103"/>
      <c r="L902" s="104"/>
      <c r="M902" s="104"/>
      <c r="N902" s="88"/>
      <c r="O902" s="105"/>
      <c r="AC902" s="51"/>
      <c r="AD902" s="51"/>
      <c r="AF902" s="51"/>
    </row>
    <row r="903" spans="2:32" x14ac:dyDescent="0.3">
      <c r="B903" s="46"/>
      <c r="D903" s="37"/>
      <c r="E903" s="10"/>
      <c r="F903" s="78"/>
      <c r="H903" s="46"/>
      <c r="J903" s="103"/>
      <c r="K903" s="103"/>
      <c r="L903" s="104"/>
      <c r="M903" s="104"/>
      <c r="N903" s="88"/>
      <c r="O903" s="105"/>
      <c r="AC903" s="51"/>
      <c r="AD903" s="51"/>
      <c r="AF903" s="51"/>
    </row>
    <row r="904" spans="2:32" x14ac:dyDescent="0.3">
      <c r="B904" s="46"/>
      <c r="D904" s="37"/>
      <c r="E904" s="10"/>
      <c r="F904" s="78"/>
      <c r="H904" s="46"/>
      <c r="J904" s="103"/>
      <c r="K904" s="103"/>
      <c r="L904" s="104"/>
      <c r="M904" s="104"/>
      <c r="N904" s="88"/>
      <c r="O904" s="105"/>
      <c r="AC904" s="51"/>
      <c r="AD904" s="51"/>
      <c r="AF904" s="51"/>
    </row>
    <row r="905" spans="2:32" x14ac:dyDescent="0.3">
      <c r="B905" s="46"/>
      <c r="D905" s="37"/>
      <c r="E905" s="10"/>
      <c r="F905" s="78"/>
      <c r="H905" s="46"/>
      <c r="J905" s="103"/>
      <c r="K905" s="103"/>
      <c r="L905" s="104"/>
      <c r="M905" s="104"/>
      <c r="N905" s="88"/>
      <c r="O905" s="105"/>
      <c r="AC905" s="51"/>
      <c r="AD905" s="51"/>
      <c r="AF905" s="51"/>
    </row>
    <row r="906" spans="2:32" x14ac:dyDescent="0.3">
      <c r="B906" s="46"/>
      <c r="D906" s="37"/>
      <c r="E906" s="10"/>
      <c r="F906" s="78"/>
      <c r="H906" s="46"/>
      <c r="J906" s="103"/>
      <c r="K906" s="103"/>
      <c r="L906" s="104"/>
      <c r="M906" s="104"/>
      <c r="N906" s="88"/>
      <c r="O906" s="105"/>
      <c r="AC906" s="51"/>
      <c r="AD906" s="51"/>
      <c r="AF906" s="51"/>
    </row>
    <row r="907" spans="2:32" x14ac:dyDescent="0.3">
      <c r="B907" s="46"/>
      <c r="D907" s="37"/>
      <c r="E907" s="10"/>
      <c r="F907" s="78"/>
      <c r="H907" s="46"/>
      <c r="J907" s="103"/>
      <c r="K907" s="103"/>
      <c r="L907" s="104"/>
      <c r="M907" s="104"/>
      <c r="N907" s="88"/>
      <c r="O907" s="105"/>
      <c r="AC907" s="51"/>
      <c r="AD907" s="51"/>
      <c r="AF907" s="51"/>
    </row>
    <row r="908" spans="2:32" x14ac:dyDescent="0.3">
      <c r="B908" s="46"/>
      <c r="D908" s="37"/>
      <c r="E908" s="10"/>
      <c r="F908" s="78"/>
      <c r="H908" s="46"/>
      <c r="J908" s="103"/>
      <c r="K908" s="103"/>
      <c r="L908" s="104"/>
      <c r="M908" s="104"/>
      <c r="N908" s="88"/>
      <c r="O908" s="105"/>
      <c r="AC908" s="51"/>
      <c r="AD908" s="51"/>
      <c r="AF908" s="51"/>
    </row>
    <row r="909" spans="2:32" x14ac:dyDescent="0.3">
      <c r="B909" s="46"/>
      <c r="D909" s="37"/>
      <c r="E909" s="10"/>
      <c r="F909" s="78"/>
      <c r="H909" s="46"/>
      <c r="J909" s="103"/>
      <c r="K909" s="103"/>
      <c r="L909" s="104"/>
      <c r="M909" s="104"/>
      <c r="N909" s="88"/>
      <c r="O909" s="105"/>
      <c r="AC909" s="51"/>
      <c r="AD909" s="51"/>
      <c r="AF909" s="51"/>
    </row>
    <row r="910" spans="2:32" x14ac:dyDescent="0.3">
      <c r="B910" s="46"/>
      <c r="D910" s="37"/>
      <c r="E910" s="10"/>
      <c r="F910" s="78"/>
      <c r="H910" s="46"/>
      <c r="J910" s="103"/>
      <c r="K910" s="103"/>
      <c r="L910" s="104"/>
      <c r="M910" s="104"/>
      <c r="N910" s="88"/>
      <c r="O910" s="105"/>
      <c r="AC910" s="51"/>
      <c r="AD910" s="51"/>
      <c r="AF910" s="51"/>
    </row>
    <row r="911" spans="2:32" x14ac:dyDescent="0.3">
      <c r="B911" s="46"/>
      <c r="D911" s="37"/>
      <c r="E911" s="10"/>
      <c r="F911" s="78"/>
      <c r="H911" s="46"/>
      <c r="J911" s="103"/>
      <c r="K911" s="103"/>
      <c r="L911" s="104"/>
      <c r="M911" s="104"/>
      <c r="N911" s="88"/>
      <c r="O911" s="105"/>
      <c r="AC911" s="51"/>
      <c r="AD911" s="51"/>
      <c r="AF911" s="51"/>
    </row>
    <row r="912" spans="2:32" x14ac:dyDescent="0.3">
      <c r="B912" s="46"/>
      <c r="D912" s="37"/>
      <c r="E912" s="10"/>
      <c r="F912" s="78"/>
      <c r="H912" s="46"/>
      <c r="J912" s="103"/>
      <c r="K912" s="103"/>
      <c r="L912" s="104"/>
      <c r="M912" s="104"/>
      <c r="N912" s="88"/>
      <c r="O912" s="105"/>
      <c r="AC912" s="51"/>
      <c r="AD912" s="51"/>
      <c r="AF912" s="51"/>
    </row>
    <row r="913" spans="2:32" x14ac:dyDescent="0.3">
      <c r="B913" s="46"/>
      <c r="D913" s="37"/>
      <c r="E913" s="10"/>
      <c r="F913" s="78"/>
      <c r="H913" s="46"/>
      <c r="J913" s="103"/>
      <c r="K913" s="103"/>
      <c r="L913" s="104"/>
      <c r="M913" s="104"/>
      <c r="N913" s="88"/>
      <c r="O913" s="105"/>
      <c r="AC913" s="51"/>
      <c r="AD913" s="51"/>
      <c r="AF913" s="51"/>
    </row>
    <row r="914" spans="2:32" x14ac:dyDescent="0.3">
      <c r="B914" s="46"/>
      <c r="D914" s="37"/>
      <c r="E914" s="10"/>
      <c r="F914" s="78"/>
      <c r="H914" s="46"/>
      <c r="J914" s="103"/>
      <c r="K914" s="103"/>
      <c r="L914" s="104"/>
      <c r="M914" s="104"/>
      <c r="N914" s="88"/>
      <c r="O914" s="105"/>
      <c r="AC914" s="51"/>
      <c r="AD914" s="51"/>
      <c r="AF914" s="51"/>
    </row>
    <row r="915" spans="2:32" x14ac:dyDescent="0.3">
      <c r="B915" s="46"/>
      <c r="D915" s="37"/>
      <c r="E915" s="10"/>
      <c r="F915" s="78"/>
      <c r="H915" s="46"/>
      <c r="J915" s="103"/>
      <c r="K915" s="103"/>
      <c r="L915" s="104"/>
      <c r="M915" s="104"/>
      <c r="N915" s="88"/>
      <c r="O915" s="105"/>
      <c r="AC915" s="51"/>
      <c r="AD915" s="51"/>
      <c r="AF915" s="51"/>
    </row>
    <row r="916" spans="2:32" x14ac:dyDescent="0.3">
      <c r="B916" s="46"/>
      <c r="D916" s="37"/>
      <c r="E916" s="10"/>
      <c r="F916" s="78"/>
      <c r="H916" s="46"/>
      <c r="J916" s="103"/>
      <c r="K916" s="103"/>
      <c r="L916" s="104"/>
      <c r="M916" s="104"/>
      <c r="N916" s="88"/>
      <c r="O916" s="105"/>
      <c r="AC916" s="51"/>
      <c r="AD916" s="51"/>
      <c r="AF916" s="51"/>
    </row>
    <row r="917" spans="2:32" x14ac:dyDescent="0.3">
      <c r="B917" s="46"/>
      <c r="D917" s="37"/>
      <c r="E917" s="10"/>
      <c r="F917" s="78"/>
      <c r="H917" s="46"/>
      <c r="J917" s="103"/>
      <c r="K917" s="103"/>
      <c r="L917" s="104"/>
      <c r="M917" s="104"/>
      <c r="N917" s="88"/>
      <c r="O917" s="105"/>
      <c r="AC917" s="51"/>
      <c r="AD917" s="51"/>
      <c r="AF917" s="51"/>
    </row>
    <row r="918" spans="2:32" x14ac:dyDescent="0.3">
      <c r="B918" s="46"/>
      <c r="D918" s="37"/>
      <c r="E918" s="10"/>
      <c r="F918" s="78"/>
      <c r="H918" s="46"/>
      <c r="J918" s="103"/>
      <c r="K918" s="103"/>
      <c r="L918" s="104"/>
      <c r="M918" s="104"/>
      <c r="N918" s="88"/>
      <c r="O918" s="105"/>
      <c r="AC918" s="51"/>
      <c r="AD918" s="51"/>
      <c r="AF918" s="51"/>
    </row>
    <row r="919" spans="2:32" x14ac:dyDescent="0.3">
      <c r="B919" s="46"/>
      <c r="D919" s="37"/>
      <c r="E919" s="10"/>
      <c r="F919" s="78"/>
      <c r="H919" s="46"/>
      <c r="J919" s="103"/>
      <c r="K919" s="103"/>
      <c r="L919" s="104"/>
      <c r="M919" s="104"/>
      <c r="N919" s="88"/>
      <c r="O919" s="105"/>
      <c r="AC919" s="51"/>
      <c r="AD919" s="51"/>
      <c r="AF919" s="51"/>
    </row>
    <row r="920" spans="2:32" x14ac:dyDescent="0.3">
      <c r="B920" s="46"/>
      <c r="D920" s="37"/>
      <c r="E920" s="10"/>
      <c r="F920" s="78"/>
      <c r="H920" s="46"/>
      <c r="J920" s="103"/>
      <c r="K920" s="103"/>
      <c r="L920" s="104"/>
      <c r="M920" s="104"/>
      <c r="N920" s="88"/>
      <c r="O920" s="105"/>
      <c r="AC920" s="51"/>
      <c r="AD920" s="51"/>
      <c r="AF920" s="51"/>
    </row>
    <row r="921" spans="2:32" x14ac:dyDescent="0.3">
      <c r="B921" s="46"/>
      <c r="D921" s="37"/>
      <c r="E921" s="10"/>
      <c r="F921" s="78"/>
      <c r="H921" s="46"/>
      <c r="J921" s="103"/>
      <c r="K921" s="103"/>
      <c r="L921" s="104"/>
      <c r="M921" s="104"/>
      <c r="N921" s="88"/>
      <c r="O921" s="105"/>
      <c r="AC921" s="51"/>
      <c r="AD921" s="51"/>
      <c r="AF921" s="51"/>
    </row>
    <row r="922" spans="2:32" x14ac:dyDescent="0.3">
      <c r="B922" s="46"/>
      <c r="D922" s="37"/>
      <c r="E922" s="10"/>
      <c r="F922" s="78"/>
      <c r="H922" s="46"/>
      <c r="J922" s="103"/>
      <c r="K922" s="103"/>
      <c r="L922" s="104"/>
      <c r="M922" s="104"/>
      <c r="N922" s="88"/>
      <c r="O922" s="105"/>
      <c r="AC922" s="51"/>
      <c r="AD922" s="51"/>
      <c r="AF922" s="51"/>
    </row>
    <row r="923" spans="2:32" x14ac:dyDescent="0.3">
      <c r="B923" s="46"/>
      <c r="D923" s="37"/>
      <c r="E923" s="10"/>
      <c r="F923" s="78"/>
      <c r="H923" s="46"/>
      <c r="J923" s="103"/>
      <c r="K923" s="103"/>
      <c r="L923" s="104"/>
      <c r="M923" s="104"/>
      <c r="N923" s="88"/>
      <c r="O923" s="105"/>
      <c r="AC923" s="51"/>
      <c r="AD923" s="51"/>
      <c r="AF923" s="51"/>
    </row>
    <row r="924" spans="2:32" x14ac:dyDescent="0.3">
      <c r="B924" s="46"/>
      <c r="D924" s="37"/>
      <c r="E924" s="10"/>
      <c r="F924" s="78"/>
      <c r="H924" s="46"/>
      <c r="J924" s="103"/>
      <c r="K924" s="103"/>
      <c r="L924" s="104"/>
      <c r="M924" s="104"/>
      <c r="N924" s="88"/>
      <c r="O924" s="105"/>
      <c r="AC924" s="51"/>
      <c r="AD924" s="51"/>
      <c r="AF924" s="51"/>
    </row>
    <row r="925" spans="2:32" x14ac:dyDescent="0.3">
      <c r="B925" s="46"/>
      <c r="D925" s="37"/>
      <c r="E925" s="10"/>
      <c r="F925" s="78"/>
      <c r="H925" s="46"/>
      <c r="J925" s="103"/>
      <c r="K925" s="103"/>
      <c r="L925" s="104"/>
      <c r="M925" s="104"/>
      <c r="N925" s="88"/>
      <c r="O925" s="105"/>
      <c r="AC925" s="51"/>
      <c r="AD925" s="51"/>
      <c r="AF925" s="51"/>
    </row>
    <row r="926" spans="2:32" x14ac:dyDescent="0.3">
      <c r="B926" s="46"/>
      <c r="D926" s="37"/>
      <c r="E926" s="10"/>
      <c r="F926" s="78"/>
      <c r="H926" s="46"/>
      <c r="J926" s="103"/>
      <c r="K926" s="103"/>
      <c r="L926" s="104"/>
      <c r="M926" s="104"/>
      <c r="N926" s="88"/>
      <c r="O926" s="105"/>
      <c r="AC926" s="51"/>
      <c r="AD926" s="51"/>
      <c r="AF926" s="51"/>
    </row>
    <row r="927" spans="2:32" x14ac:dyDescent="0.3">
      <c r="B927" s="46"/>
      <c r="D927" s="37"/>
      <c r="E927" s="10"/>
      <c r="F927" s="78"/>
      <c r="H927" s="46"/>
      <c r="J927" s="103"/>
      <c r="K927" s="103"/>
      <c r="L927" s="104"/>
      <c r="M927" s="104"/>
      <c r="N927" s="88"/>
      <c r="O927" s="105"/>
      <c r="AC927" s="51"/>
      <c r="AD927" s="51"/>
      <c r="AF927" s="51"/>
    </row>
    <row r="928" spans="2:32" x14ac:dyDescent="0.3">
      <c r="B928" s="46"/>
      <c r="D928" s="37"/>
      <c r="E928" s="10"/>
      <c r="F928" s="78"/>
      <c r="H928" s="46"/>
      <c r="J928" s="103"/>
      <c r="K928" s="103"/>
      <c r="L928" s="104"/>
      <c r="M928" s="104"/>
      <c r="N928" s="88"/>
      <c r="O928" s="105"/>
      <c r="AC928" s="51"/>
      <c r="AD928" s="51"/>
      <c r="AF928" s="51"/>
    </row>
    <row r="929" spans="2:32" x14ac:dyDescent="0.3">
      <c r="B929" s="46"/>
      <c r="D929" s="37"/>
      <c r="E929" s="10"/>
      <c r="F929" s="78"/>
      <c r="H929" s="46"/>
      <c r="J929" s="103"/>
      <c r="K929" s="103"/>
      <c r="L929" s="104"/>
      <c r="M929" s="104"/>
      <c r="N929" s="88"/>
      <c r="O929" s="105"/>
      <c r="AC929" s="51"/>
      <c r="AD929" s="51"/>
      <c r="AF929" s="51"/>
    </row>
    <row r="930" spans="2:32" x14ac:dyDescent="0.3">
      <c r="B930" s="46"/>
      <c r="D930" s="37"/>
      <c r="E930" s="10"/>
      <c r="F930" s="78"/>
      <c r="H930" s="46"/>
      <c r="J930" s="103"/>
      <c r="K930" s="103"/>
      <c r="L930" s="104"/>
      <c r="M930" s="104"/>
      <c r="N930" s="88"/>
      <c r="O930" s="105"/>
      <c r="AC930" s="51"/>
      <c r="AD930" s="51"/>
      <c r="AF930" s="51"/>
    </row>
    <row r="931" spans="2:32" x14ac:dyDescent="0.3">
      <c r="B931" s="46"/>
      <c r="D931" s="37"/>
      <c r="E931" s="10"/>
      <c r="F931" s="78"/>
      <c r="H931" s="46"/>
      <c r="J931" s="103"/>
      <c r="K931" s="103"/>
      <c r="L931" s="104"/>
      <c r="M931" s="104"/>
      <c r="N931" s="88"/>
      <c r="O931" s="105"/>
      <c r="AC931" s="51"/>
      <c r="AD931" s="51"/>
      <c r="AF931" s="51"/>
    </row>
    <row r="932" spans="2:32" x14ac:dyDescent="0.3">
      <c r="B932" s="46"/>
      <c r="D932" s="37"/>
      <c r="E932" s="10"/>
      <c r="F932" s="78"/>
      <c r="H932" s="46"/>
      <c r="J932" s="103"/>
      <c r="K932" s="103"/>
      <c r="L932" s="104"/>
      <c r="M932" s="104"/>
      <c r="N932" s="88"/>
      <c r="O932" s="105"/>
      <c r="AC932" s="51"/>
      <c r="AD932" s="51"/>
      <c r="AF932" s="51"/>
    </row>
    <row r="933" spans="2:32" x14ac:dyDescent="0.3">
      <c r="B933" s="46"/>
      <c r="D933" s="37"/>
      <c r="E933" s="10"/>
      <c r="F933" s="78"/>
      <c r="H933" s="46"/>
      <c r="J933" s="103"/>
      <c r="K933" s="103"/>
      <c r="L933" s="104"/>
      <c r="M933" s="104"/>
      <c r="N933" s="88"/>
      <c r="O933" s="105"/>
      <c r="AC933" s="51"/>
      <c r="AD933" s="51"/>
      <c r="AF933" s="51"/>
    </row>
    <row r="934" spans="2:32" x14ac:dyDescent="0.3">
      <c r="B934" s="46"/>
      <c r="D934" s="37"/>
      <c r="E934" s="10"/>
      <c r="F934" s="78"/>
      <c r="H934" s="46"/>
      <c r="J934" s="103"/>
      <c r="K934" s="103"/>
      <c r="L934" s="104"/>
      <c r="M934" s="104"/>
      <c r="N934" s="88"/>
      <c r="O934" s="105"/>
      <c r="AC934" s="51"/>
      <c r="AD934" s="51"/>
      <c r="AF934" s="51"/>
    </row>
    <row r="935" spans="2:32" x14ac:dyDescent="0.3">
      <c r="B935" s="46"/>
      <c r="D935" s="37"/>
      <c r="E935" s="10"/>
      <c r="F935" s="78"/>
    </row>
    <row r="936" spans="2:32" x14ac:dyDescent="0.3">
      <c r="B936" s="46"/>
      <c r="D936" s="37"/>
      <c r="E936" s="10"/>
      <c r="F936" s="78"/>
    </row>
    <row r="937" spans="2:32" x14ac:dyDescent="0.3">
      <c r="B937" s="46"/>
      <c r="D937" s="37"/>
      <c r="E937" s="10"/>
      <c r="F937" s="78"/>
    </row>
    <row r="938" spans="2:32" x14ac:dyDescent="0.3">
      <c r="B938" s="46"/>
      <c r="D938" s="37"/>
      <c r="E938" s="10"/>
      <c r="F938" s="78"/>
    </row>
    <row r="939" spans="2:32" x14ac:dyDescent="0.3">
      <c r="B939" s="46"/>
      <c r="D939" s="37"/>
      <c r="E939" s="10"/>
      <c r="F939" s="78"/>
    </row>
    <row r="940" spans="2:32" x14ac:dyDescent="0.3">
      <c r="B940" s="46"/>
      <c r="D940" s="37"/>
      <c r="E940" s="10"/>
      <c r="F940" s="78"/>
    </row>
    <row r="941" spans="2:32" x14ac:dyDescent="0.3">
      <c r="B941" s="46"/>
      <c r="D941" s="37"/>
      <c r="E941" s="10"/>
      <c r="F941" s="78"/>
    </row>
    <row r="942" spans="2:32" x14ac:dyDescent="0.3">
      <c r="B942" s="46"/>
      <c r="D942" s="37"/>
      <c r="E942" s="10"/>
      <c r="F942" s="78"/>
    </row>
    <row r="943" spans="2:32" x14ac:dyDescent="0.3">
      <c r="B943" s="46"/>
      <c r="D943" s="37"/>
      <c r="E943" s="10"/>
      <c r="F943" s="78"/>
    </row>
    <row r="944" spans="2:32" x14ac:dyDescent="0.3">
      <c r="B944" s="46"/>
      <c r="D944" s="37"/>
      <c r="E944" s="10"/>
      <c r="F944" s="78"/>
    </row>
    <row r="945" spans="2:6" x14ac:dyDescent="0.3">
      <c r="B945" s="46"/>
      <c r="D945" s="37"/>
      <c r="E945" s="10"/>
      <c r="F945" s="78"/>
    </row>
    <row r="946" spans="2:6" x14ac:dyDescent="0.3">
      <c r="B946" s="46"/>
      <c r="D946" s="37"/>
      <c r="E946" s="10"/>
      <c r="F946" s="78"/>
    </row>
    <row r="947" spans="2:6" x14ac:dyDescent="0.3">
      <c r="B947" s="46"/>
      <c r="D947" s="37"/>
      <c r="E947" s="10"/>
      <c r="F947" s="78"/>
    </row>
    <row r="948" spans="2:6" x14ac:dyDescent="0.3">
      <c r="B948" s="46"/>
      <c r="D948" s="37"/>
      <c r="E948" s="10"/>
      <c r="F948" s="78"/>
    </row>
    <row r="949" spans="2:6" x14ac:dyDescent="0.3">
      <c r="B949" s="46"/>
      <c r="D949" s="37"/>
      <c r="E949" s="10"/>
      <c r="F949" s="78"/>
    </row>
    <row r="950" spans="2:6" x14ac:dyDescent="0.3">
      <c r="B950" s="46"/>
      <c r="D950" s="37"/>
      <c r="E950" s="10"/>
      <c r="F950" s="78"/>
    </row>
    <row r="951" spans="2:6" x14ac:dyDescent="0.3">
      <c r="B951" s="46"/>
      <c r="D951" s="37"/>
      <c r="E951" s="10"/>
      <c r="F951" s="78"/>
    </row>
    <row r="952" spans="2:6" x14ac:dyDescent="0.3">
      <c r="B952" s="46"/>
      <c r="D952" s="37"/>
      <c r="E952" s="10"/>
      <c r="F952" s="78"/>
    </row>
    <row r="953" spans="2:6" x14ac:dyDescent="0.3">
      <c r="B953" s="46"/>
      <c r="D953" s="37"/>
      <c r="E953" s="10"/>
      <c r="F953" s="78"/>
    </row>
    <row r="954" spans="2:6" x14ac:dyDescent="0.3">
      <c r="B954" s="46"/>
      <c r="D954" s="37"/>
      <c r="E954" s="10"/>
      <c r="F954" s="78"/>
    </row>
    <row r="955" spans="2:6" x14ac:dyDescent="0.3">
      <c r="B955" s="46"/>
      <c r="D955" s="37"/>
      <c r="E955" s="10"/>
      <c r="F955" s="78"/>
    </row>
    <row r="956" spans="2:6" x14ac:dyDescent="0.3">
      <c r="B956" s="46"/>
      <c r="D956" s="37"/>
      <c r="E956" s="10"/>
      <c r="F956" s="78"/>
    </row>
    <row r="957" spans="2:6" x14ac:dyDescent="0.3">
      <c r="B957" s="46"/>
      <c r="D957" s="37"/>
      <c r="E957" s="10"/>
      <c r="F957" s="78"/>
    </row>
    <row r="958" spans="2:6" x14ac:dyDescent="0.3">
      <c r="B958" s="46"/>
      <c r="D958" s="37"/>
      <c r="E958" s="10"/>
      <c r="F958" s="78"/>
    </row>
    <row r="959" spans="2:6" x14ac:dyDescent="0.3">
      <c r="B959" s="46"/>
      <c r="D959" s="37"/>
      <c r="E959" s="10"/>
      <c r="F959" s="78"/>
    </row>
    <row r="960" spans="2:6" x14ac:dyDescent="0.3">
      <c r="B960" s="46"/>
      <c r="D960" s="37"/>
      <c r="E960" s="10"/>
      <c r="F960" s="78"/>
    </row>
    <row r="961" spans="2:6" x14ac:dyDescent="0.3">
      <c r="B961" s="46"/>
      <c r="D961" s="37"/>
      <c r="E961" s="10"/>
      <c r="F961" s="78"/>
    </row>
    <row r="962" spans="2:6" x14ac:dyDescent="0.3">
      <c r="B962" s="46"/>
      <c r="D962" s="37"/>
      <c r="E962" s="10"/>
      <c r="F962" s="78"/>
    </row>
    <row r="963" spans="2:6" x14ac:dyDescent="0.3">
      <c r="B963" s="46"/>
      <c r="D963" s="37"/>
      <c r="E963" s="10"/>
      <c r="F963" s="78"/>
    </row>
    <row r="964" spans="2:6" x14ac:dyDescent="0.3">
      <c r="B964" s="46"/>
      <c r="D964" s="37"/>
      <c r="E964" s="10"/>
      <c r="F964" s="78"/>
    </row>
    <row r="965" spans="2:6" x14ac:dyDescent="0.3">
      <c r="B965" s="46"/>
      <c r="D965" s="37"/>
      <c r="E965" s="10"/>
      <c r="F965" s="78"/>
    </row>
    <row r="966" spans="2:6" x14ac:dyDescent="0.3">
      <c r="B966" s="46"/>
      <c r="D966" s="37"/>
      <c r="E966" s="10"/>
      <c r="F966" s="78"/>
    </row>
    <row r="967" spans="2:6" x14ac:dyDescent="0.3">
      <c r="B967" s="46"/>
      <c r="D967" s="37"/>
      <c r="E967" s="10"/>
      <c r="F967" s="78"/>
    </row>
    <row r="968" spans="2:6" x14ac:dyDescent="0.3">
      <c r="B968" s="46"/>
      <c r="D968" s="37"/>
      <c r="E968" s="10"/>
      <c r="F968" s="78"/>
    </row>
    <row r="969" spans="2:6" x14ac:dyDescent="0.3">
      <c r="B969" s="46"/>
      <c r="D969" s="37"/>
      <c r="E969" s="10"/>
      <c r="F969" s="78"/>
    </row>
    <row r="970" spans="2:6" x14ac:dyDescent="0.3">
      <c r="B970" s="46"/>
      <c r="D970" s="37"/>
      <c r="E970" s="10"/>
      <c r="F970" s="78"/>
    </row>
    <row r="971" spans="2:6" x14ac:dyDescent="0.3">
      <c r="B971" s="46"/>
      <c r="D971" s="37"/>
      <c r="E971" s="10"/>
      <c r="F971" s="78"/>
    </row>
    <row r="972" spans="2:6" x14ac:dyDescent="0.3">
      <c r="B972" s="46"/>
      <c r="D972" s="37"/>
      <c r="E972" s="10"/>
      <c r="F972" s="78"/>
    </row>
    <row r="973" spans="2:6" x14ac:dyDescent="0.3">
      <c r="B973" s="46"/>
      <c r="D973" s="37"/>
      <c r="E973" s="10"/>
      <c r="F973" s="78"/>
    </row>
    <row r="974" spans="2:6" x14ac:dyDescent="0.3">
      <c r="B974" s="46"/>
      <c r="D974" s="37"/>
      <c r="E974" s="10"/>
      <c r="F974" s="78"/>
    </row>
    <row r="975" spans="2:6" x14ac:dyDescent="0.3">
      <c r="B975" s="46"/>
      <c r="D975" s="37"/>
      <c r="E975" s="10"/>
      <c r="F975" s="78"/>
    </row>
    <row r="976" spans="2:6" x14ac:dyDescent="0.3">
      <c r="B976" s="46"/>
      <c r="D976" s="37"/>
      <c r="E976" s="10"/>
      <c r="F976" s="78"/>
    </row>
    <row r="977" spans="2:6" x14ac:dyDescent="0.3">
      <c r="B977" s="46"/>
      <c r="D977" s="37"/>
      <c r="E977" s="10"/>
      <c r="F977" s="78"/>
    </row>
    <row r="978" spans="2:6" x14ac:dyDescent="0.3">
      <c r="B978" s="46"/>
      <c r="D978" s="37"/>
      <c r="E978" s="10"/>
      <c r="F978" s="78"/>
    </row>
    <row r="979" spans="2:6" x14ac:dyDescent="0.3">
      <c r="B979" s="46"/>
      <c r="D979" s="37"/>
      <c r="E979" s="10"/>
      <c r="F979" s="78"/>
    </row>
    <row r="980" spans="2:6" x14ac:dyDescent="0.3">
      <c r="B980" s="46"/>
      <c r="D980" s="37"/>
      <c r="E980" s="10"/>
      <c r="F980" s="78"/>
    </row>
    <row r="981" spans="2:6" x14ac:dyDescent="0.3">
      <c r="B981" s="46"/>
      <c r="D981" s="37"/>
      <c r="E981" s="10"/>
      <c r="F981" s="78"/>
    </row>
    <row r="982" spans="2:6" x14ac:dyDescent="0.3">
      <c r="B982" s="46"/>
      <c r="D982" s="37"/>
      <c r="E982" s="10"/>
      <c r="F982" s="78"/>
    </row>
    <row r="983" spans="2:6" x14ac:dyDescent="0.3">
      <c r="B983" s="46"/>
      <c r="D983" s="37"/>
      <c r="E983" s="10"/>
      <c r="F983" s="78"/>
    </row>
    <row r="984" spans="2:6" x14ac:dyDescent="0.3">
      <c r="B984" s="46"/>
      <c r="D984" s="37"/>
      <c r="E984" s="10"/>
      <c r="F984" s="78"/>
    </row>
    <row r="985" spans="2:6" x14ac:dyDescent="0.3">
      <c r="B985" s="46"/>
      <c r="D985" s="37"/>
      <c r="E985" s="10"/>
      <c r="F985" s="78"/>
    </row>
    <row r="986" spans="2:6" x14ac:dyDescent="0.3">
      <c r="B986" s="46"/>
      <c r="D986" s="37"/>
      <c r="E986" s="10"/>
      <c r="F986" s="78"/>
    </row>
    <row r="987" spans="2:6" x14ac:dyDescent="0.3">
      <c r="B987" s="46"/>
      <c r="D987" s="37"/>
      <c r="E987" s="10"/>
      <c r="F987" s="78"/>
    </row>
    <row r="988" spans="2:6" x14ac:dyDescent="0.3">
      <c r="B988" s="46"/>
      <c r="D988" s="37"/>
      <c r="E988" s="10"/>
      <c r="F988" s="78"/>
    </row>
    <row r="989" spans="2:6" x14ac:dyDescent="0.3">
      <c r="B989" s="46"/>
      <c r="D989" s="37"/>
      <c r="E989" s="10"/>
      <c r="F989" s="78"/>
    </row>
    <row r="990" spans="2:6" x14ac:dyDescent="0.3">
      <c r="B990" s="46"/>
      <c r="D990" s="37"/>
      <c r="E990" s="10"/>
      <c r="F990" s="78"/>
    </row>
    <row r="991" spans="2:6" x14ac:dyDescent="0.3">
      <c r="B991" s="46"/>
      <c r="D991" s="37"/>
      <c r="E991" s="10"/>
      <c r="F991" s="78"/>
    </row>
    <row r="992" spans="2:6" x14ac:dyDescent="0.3">
      <c r="B992" s="46"/>
      <c r="D992" s="37"/>
      <c r="E992" s="10"/>
      <c r="F992" s="78"/>
    </row>
    <row r="993" spans="2:6" x14ac:dyDescent="0.3">
      <c r="B993" s="46"/>
      <c r="D993" s="37"/>
      <c r="E993" s="10"/>
      <c r="F993" s="78"/>
    </row>
    <row r="994" spans="2:6" x14ac:dyDescent="0.3">
      <c r="B994" s="46"/>
      <c r="D994" s="37"/>
      <c r="E994" s="10"/>
      <c r="F994" s="78"/>
    </row>
    <row r="995" spans="2:6" x14ac:dyDescent="0.3">
      <c r="B995" s="46"/>
      <c r="D995" s="37"/>
      <c r="E995" s="10"/>
      <c r="F995" s="78"/>
    </row>
    <row r="996" spans="2:6" x14ac:dyDescent="0.3">
      <c r="B996" s="46"/>
      <c r="D996" s="37"/>
      <c r="E996" s="10"/>
      <c r="F996" s="78"/>
    </row>
    <row r="997" spans="2:6" x14ac:dyDescent="0.3">
      <c r="B997" s="46"/>
      <c r="D997" s="37"/>
      <c r="E997" s="10"/>
      <c r="F997" s="78"/>
    </row>
    <row r="998" spans="2:6" x14ac:dyDescent="0.3">
      <c r="B998" s="46"/>
      <c r="D998" s="37"/>
      <c r="E998" s="10"/>
      <c r="F998" s="78"/>
    </row>
    <row r="999" spans="2:6" x14ac:dyDescent="0.3">
      <c r="B999" s="46"/>
      <c r="D999" s="37"/>
      <c r="E999" s="10"/>
      <c r="F999" s="78"/>
    </row>
    <row r="1000" spans="2:6" x14ac:dyDescent="0.3">
      <c r="B1000" s="46"/>
      <c r="D1000" s="37"/>
      <c r="E1000" s="10"/>
      <c r="F1000" s="78"/>
    </row>
    <row r="1001" spans="2:6" x14ac:dyDescent="0.3">
      <c r="B1001" s="46"/>
      <c r="D1001" s="37"/>
      <c r="E1001" s="10"/>
      <c r="F1001" s="78"/>
    </row>
    <row r="1002" spans="2:6" x14ac:dyDescent="0.3">
      <c r="B1002" s="46"/>
      <c r="D1002" s="37"/>
      <c r="E1002" s="10"/>
      <c r="F1002" s="78"/>
    </row>
    <row r="1003" spans="2:6" x14ac:dyDescent="0.3">
      <c r="B1003" s="46"/>
      <c r="D1003" s="37"/>
      <c r="E1003" s="10"/>
      <c r="F1003" s="78"/>
    </row>
    <row r="1004" spans="2:6" x14ac:dyDescent="0.3">
      <c r="B1004" s="46"/>
      <c r="D1004" s="37"/>
      <c r="E1004" s="10"/>
      <c r="F1004" s="78"/>
    </row>
    <row r="1005" spans="2:6" x14ac:dyDescent="0.3">
      <c r="B1005" s="46"/>
      <c r="D1005" s="37"/>
      <c r="E1005" s="10"/>
      <c r="F1005" s="78"/>
    </row>
    <row r="1006" spans="2:6" x14ac:dyDescent="0.3">
      <c r="B1006" s="46"/>
      <c r="D1006" s="37"/>
      <c r="E1006" s="10"/>
      <c r="F1006" s="78"/>
    </row>
    <row r="1007" spans="2:6" x14ac:dyDescent="0.3">
      <c r="B1007" s="46"/>
      <c r="D1007" s="37"/>
      <c r="E1007" s="10"/>
      <c r="F1007" s="78"/>
    </row>
    <row r="1008" spans="2:6" x14ac:dyDescent="0.3">
      <c r="B1008" s="46"/>
      <c r="D1008" s="37"/>
      <c r="E1008" s="10"/>
      <c r="F1008" s="78"/>
    </row>
    <row r="1009" spans="2:6" x14ac:dyDescent="0.3">
      <c r="B1009" s="46"/>
      <c r="D1009" s="37"/>
      <c r="E1009" s="10"/>
      <c r="F1009" s="78"/>
    </row>
    <row r="1010" spans="2:6" x14ac:dyDescent="0.3">
      <c r="B1010" s="46"/>
      <c r="D1010" s="37"/>
      <c r="E1010" s="10"/>
      <c r="F1010" s="78"/>
    </row>
    <row r="1011" spans="2:6" x14ac:dyDescent="0.3">
      <c r="B1011" s="46"/>
      <c r="D1011" s="37"/>
      <c r="E1011" s="10"/>
      <c r="F1011" s="78"/>
    </row>
    <row r="1012" spans="2:6" x14ac:dyDescent="0.3">
      <c r="B1012" s="46"/>
      <c r="D1012" s="37"/>
      <c r="E1012" s="10"/>
      <c r="F1012" s="78"/>
    </row>
    <row r="1013" spans="2:6" x14ac:dyDescent="0.3">
      <c r="B1013" s="46"/>
      <c r="D1013" s="37"/>
      <c r="E1013" s="10"/>
      <c r="F1013" s="78"/>
    </row>
    <row r="1014" spans="2:6" x14ac:dyDescent="0.3">
      <c r="B1014" s="46"/>
      <c r="D1014" s="37"/>
      <c r="E1014" s="10"/>
      <c r="F1014" s="78"/>
    </row>
    <row r="1015" spans="2:6" x14ac:dyDescent="0.3">
      <c r="B1015" s="46"/>
      <c r="D1015" s="37"/>
      <c r="E1015" s="10"/>
      <c r="F1015" s="78"/>
    </row>
    <row r="1016" spans="2:6" x14ac:dyDescent="0.3">
      <c r="B1016" s="46"/>
      <c r="D1016" s="37"/>
      <c r="E1016" s="10"/>
      <c r="F1016" s="78"/>
    </row>
    <row r="1017" spans="2:6" x14ac:dyDescent="0.3">
      <c r="B1017" s="46"/>
      <c r="D1017" s="37"/>
      <c r="E1017" s="10"/>
      <c r="F1017" s="78"/>
    </row>
    <row r="1018" spans="2:6" x14ac:dyDescent="0.3">
      <c r="B1018" s="46"/>
      <c r="D1018" s="37"/>
      <c r="E1018" s="10"/>
      <c r="F1018" s="78"/>
    </row>
    <row r="1019" spans="2:6" x14ac:dyDescent="0.3">
      <c r="B1019" s="46"/>
      <c r="D1019" s="37"/>
      <c r="E1019" s="10"/>
      <c r="F1019" s="78"/>
    </row>
    <row r="1020" spans="2:6" x14ac:dyDescent="0.3">
      <c r="B1020" s="46"/>
      <c r="D1020" s="37"/>
      <c r="E1020" s="10"/>
      <c r="F1020" s="78"/>
    </row>
    <row r="1021" spans="2:6" x14ac:dyDescent="0.3">
      <c r="B1021" s="46"/>
      <c r="D1021" s="37"/>
      <c r="E1021" s="10"/>
      <c r="F1021" s="78"/>
    </row>
    <row r="1022" spans="2:6" x14ac:dyDescent="0.3">
      <c r="B1022" s="46"/>
      <c r="D1022" s="37"/>
      <c r="E1022" s="10"/>
      <c r="F1022" s="78"/>
    </row>
    <row r="1023" spans="2:6" x14ac:dyDescent="0.3">
      <c r="B1023" s="46"/>
      <c r="D1023" s="37"/>
      <c r="E1023" s="10"/>
      <c r="F1023" s="78"/>
    </row>
    <row r="1024" spans="2:6" x14ac:dyDescent="0.3">
      <c r="B1024" s="46"/>
      <c r="D1024" s="37"/>
      <c r="E1024" s="10"/>
      <c r="F1024" s="78"/>
    </row>
    <row r="1025" spans="2:6" x14ac:dyDescent="0.3">
      <c r="B1025" s="46"/>
      <c r="D1025" s="37"/>
      <c r="E1025" s="10"/>
      <c r="F1025" s="78"/>
    </row>
    <row r="1026" spans="2:6" x14ac:dyDescent="0.3">
      <c r="B1026" s="46"/>
      <c r="D1026" s="37"/>
      <c r="E1026" s="10"/>
      <c r="F1026" s="78"/>
    </row>
    <row r="1027" spans="2:6" x14ac:dyDescent="0.3">
      <c r="B1027" s="46"/>
      <c r="D1027" s="37"/>
      <c r="E1027" s="10"/>
      <c r="F1027" s="78"/>
    </row>
    <row r="1028" spans="2:6" x14ac:dyDescent="0.3">
      <c r="B1028" s="46"/>
      <c r="D1028" s="37"/>
      <c r="E1028" s="10"/>
      <c r="F1028" s="78"/>
    </row>
    <row r="1029" spans="2:6" x14ac:dyDescent="0.3">
      <c r="B1029" s="46"/>
      <c r="D1029" s="37"/>
      <c r="E1029" s="10"/>
      <c r="F1029" s="78"/>
    </row>
    <row r="1030" spans="2:6" x14ac:dyDescent="0.3">
      <c r="B1030" s="46"/>
      <c r="D1030" s="37"/>
      <c r="E1030" s="10"/>
      <c r="F1030" s="78"/>
    </row>
    <row r="1031" spans="2:6" x14ac:dyDescent="0.3">
      <c r="B1031" s="46"/>
      <c r="D1031" s="37"/>
      <c r="E1031" s="10"/>
      <c r="F1031" s="78"/>
    </row>
    <row r="1032" spans="2:6" x14ac:dyDescent="0.3">
      <c r="B1032" s="46"/>
      <c r="D1032" s="37"/>
      <c r="E1032" s="10"/>
      <c r="F1032" s="78"/>
    </row>
    <row r="1033" spans="2:6" x14ac:dyDescent="0.3">
      <c r="B1033" s="46"/>
      <c r="D1033" s="37"/>
      <c r="E1033" s="10"/>
      <c r="F1033" s="78"/>
    </row>
    <row r="1034" spans="2:6" x14ac:dyDescent="0.3">
      <c r="B1034" s="46"/>
      <c r="D1034" s="37"/>
      <c r="E1034" s="10"/>
      <c r="F1034" s="78"/>
    </row>
    <row r="1035" spans="2:6" x14ac:dyDescent="0.3">
      <c r="B1035" s="46"/>
      <c r="D1035" s="37"/>
      <c r="E1035" s="10"/>
      <c r="F1035" s="78"/>
    </row>
    <row r="1036" spans="2:6" x14ac:dyDescent="0.3">
      <c r="B1036" s="46"/>
      <c r="D1036" s="37"/>
      <c r="E1036" s="10"/>
      <c r="F1036" s="78"/>
    </row>
    <row r="1037" spans="2:6" x14ac:dyDescent="0.3">
      <c r="B1037" s="46"/>
      <c r="D1037" s="37"/>
      <c r="E1037" s="10"/>
      <c r="F1037" s="78"/>
    </row>
    <row r="1038" spans="2:6" x14ac:dyDescent="0.3">
      <c r="B1038" s="46"/>
      <c r="D1038" s="37"/>
      <c r="E1038" s="10"/>
      <c r="F1038" s="78"/>
    </row>
    <row r="1039" spans="2:6" x14ac:dyDescent="0.3">
      <c r="B1039" s="46"/>
      <c r="D1039" s="37"/>
      <c r="E1039" s="10"/>
      <c r="F1039" s="78"/>
    </row>
    <row r="1040" spans="2:6" x14ac:dyDescent="0.3">
      <c r="B1040" s="46"/>
      <c r="D1040" s="37"/>
      <c r="E1040" s="10"/>
      <c r="F1040" s="78"/>
    </row>
    <row r="1041" spans="2:6" x14ac:dyDescent="0.3">
      <c r="B1041" s="46"/>
      <c r="D1041" s="37"/>
      <c r="E1041" s="10"/>
      <c r="F1041" s="78"/>
    </row>
    <row r="1042" spans="2:6" x14ac:dyDescent="0.3">
      <c r="B1042" s="46"/>
      <c r="D1042" s="37"/>
      <c r="E1042" s="10"/>
      <c r="F1042" s="78"/>
    </row>
    <row r="1043" spans="2:6" x14ac:dyDescent="0.3">
      <c r="B1043" s="46"/>
      <c r="D1043" s="37"/>
      <c r="E1043" s="10"/>
      <c r="F1043" s="78"/>
    </row>
    <row r="1044" spans="2:6" x14ac:dyDescent="0.3">
      <c r="B1044" s="46"/>
      <c r="D1044" s="37"/>
      <c r="E1044" s="10"/>
      <c r="F1044" s="78"/>
    </row>
    <row r="1045" spans="2:6" x14ac:dyDescent="0.3">
      <c r="B1045" s="46"/>
      <c r="D1045" s="37"/>
      <c r="E1045" s="10"/>
      <c r="F1045" s="78"/>
    </row>
    <row r="1046" spans="2:6" x14ac:dyDescent="0.3">
      <c r="B1046" s="46"/>
      <c r="D1046" s="37"/>
      <c r="E1046" s="10"/>
      <c r="F1046" s="78"/>
    </row>
    <row r="1047" spans="2:6" x14ac:dyDescent="0.3">
      <c r="B1047" s="46"/>
      <c r="D1047" s="37"/>
      <c r="E1047" s="10"/>
      <c r="F1047" s="78"/>
    </row>
    <row r="1048" spans="2:6" x14ac:dyDescent="0.3">
      <c r="B1048" s="46"/>
      <c r="D1048" s="37"/>
      <c r="E1048" s="10"/>
      <c r="F1048" s="78"/>
    </row>
    <row r="1049" spans="2:6" x14ac:dyDescent="0.3">
      <c r="B1049" s="46"/>
      <c r="D1049" s="37"/>
      <c r="E1049" s="10"/>
      <c r="F1049" s="78"/>
    </row>
    <row r="1050" spans="2:6" x14ac:dyDescent="0.3">
      <c r="B1050" s="46"/>
      <c r="D1050" s="37"/>
      <c r="E1050" s="10"/>
      <c r="F1050" s="78"/>
    </row>
    <row r="1051" spans="2:6" x14ac:dyDescent="0.3">
      <c r="B1051" s="46"/>
      <c r="D1051" s="37"/>
      <c r="E1051" s="10"/>
      <c r="F1051" s="78"/>
    </row>
    <row r="1052" spans="2:6" x14ac:dyDescent="0.3">
      <c r="B1052" s="46"/>
      <c r="D1052" s="37"/>
      <c r="E1052" s="10"/>
      <c r="F1052" s="78"/>
    </row>
    <row r="1053" spans="2:6" x14ac:dyDescent="0.3">
      <c r="B1053" s="46"/>
      <c r="D1053" s="37"/>
      <c r="E1053" s="10"/>
      <c r="F1053" s="78"/>
    </row>
    <row r="1054" spans="2:6" x14ac:dyDescent="0.3">
      <c r="B1054" s="46"/>
      <c r="D1054" s="37"/>
      <c r="E1054" s="10"/>
      <c r="F1054" s="78"/>
    </row>
    <row r="1055" spans="2:6" x14ac:dyDescent="0.3">
      <c r="B1055" s="46"/>
      <c r="D1055" s="37"/>
      <c r="E1055" s="10"/>
      <c r="F1055" s="78"/>
    </row>
    <row r="1056" spans="2:6" x14ac:dyDescent="0.3">
      <c r="B1056" s="46"/>
      <c r="D1056" s="37"/>
      <c r="E1056" s="10"/>
      <c r="F1056" s="78"/>
    </row>
    <row r="1057" spans="2:6" x14ac:dyDescent="0.3">
      <c r="B1057" s="46"/>
      <c r="D1057" s="37"/>
      <c r="E1057" s="10"/>
      <c r="F1057" s="78"/>
    </row>
    <row r="1058" spans="2:6" x14ac:dyDescent="0.3">
      <c r="B1058" s="46"/>
      <c r="D1058" s="37"/>
      <c r="E1058" s="10"/>
      <c r="F1058" s="78"/>
    </row>
    <row r="1059" spans="2:6" x14ac:dyDescent="0.3">
      <c r="B1059" s="46"/>
      <c r="D1059" s="37"/>
      <c r="E1059" s="10"/>
      <c r="F1059" s="78"/>
    </row>
    <row r="1060" spans="2:6" x14ac:dyDescent="0.3">
      <c r="B1060" s="46"/>
      <c r="D1060" s="37"/>
      <c r="E1060" s="10"/>
      <c r="F1060" s="78"/>
    </row>
    <row r="1061" spans="2:6" x14ac:dyDescent="0.3">
      <c r="B1061" s="46"/>
      <c r="D1061" s="37"/>
      <c r="E1061" s="10"/>
      <c r="F1061" s="78"/>
    </row>
    <row r="1062" spans="2:6" x14ac:dyDescent="0.3">
      <c r="B1062" s="46"/>
      <c r="D1062" s="37"/>
      <c r="E1062" s="10"/>
      <c r="F1062" s="78"/>
    </row>
    <row r="1063" spans="2:6" x14ac:dyDescent="0.3">
      <c r="B1063" s="46"/>
      <c r="D1063" s="37"/>
      <c r="E1063" s="10"/>
      <c r="F1063" s="78"/>
    </row>
    <row r="1064" spans="2:6" x14ac:dyDescent="0.3">
      <c r="B1064" s="46"/>
      <c r="D1064" s="37"/>
      <c r="E1064" s="10"/>
      <c r="F1064" s="78"/>
    </row>
    <row r="1065" spans="2:6" x14ac:dyDescent="0.3">
      <c r="B1065" s="46"/>
      <c r="D1065" s="37"/>
      <c r="E1065" s="10"/>
      <c r="F1065" s="78"/>
    </row>
    <row r="1066" spans="2:6" x14ac:dyDescent="0.3">
      <c r="B1066" s="46"/>
      <c r="D1066" s="37"/>
      <c r="E1066" s="10"/>
      <c r="F1066" s="78"/>
    </row>
    <row r="1067" spans="2:6" x14ac:dyDescent="0.3">
      <c r="B1067" s="46"/>
      <c r="D1067" s="37"/>
      <c r="E1067" s="10"/>
      <c r="F1067" s="78"/>
    </row>
    <row r="1068" spans="2:6" x14ac:dyDescent="0.3">
      <c r="B1068" s="46"/>
      <c r="D1068" s="37"/>
      <c r="E1068" s="10"/>
      <c r="F1068" s="78"/>
    </row>
    <row r="1069" spans="2:6" x14ac:dyDescent="0.3">
      <c r="B1069" s="46"/>
      <c r="D1069" s="37"/>
      <c r="E1069" s="10"/>
      <c r="F1069" s="78"/>
    </row>
    <row r="1070" spans="2:6" x14ac:dyDescent="0.3">
      <c r="B1070" s="46"/>
      <c r="D1070" s="37"/>
      <c r="E1070" s="10"/>
      <c r="F1070" s="78"/>
    </row>
    <row r="1071" spans="2:6" x14ac:dyDescent="0.3">
      <c r="B1071" s="46"/>
      <c r="D1071" s="37"/>
      <c r="E1071" s="10"/>
      <c r="F1071" s="78"/>
    </row>
    <row r="1072" spans="2:6" x14ac:dyDescent="0.3">
      <c r="B1072" s="46"/>
      <c r="D1072" s="37"/>
      <c r="E1072" s="10"/>
      <c r="F1072" s="78"/>
    </row>
    <row r="1073" spans="2:6" x14ac:dyDescent="0.3">
      <c r="B1073" s="46"/>
      <c r="D1073" s="37"/>
      <c r="E1073" s="10"/>
      <c r="F1073" s="78"/>
    </row>
    <row r="1074" spans="2:6" x14ac:dyDescent="0.3">
      <c r="B1074" s="46"/>
      <c r="D1074" s="37"/>
      <c r="E1074" s="10"/>
      <c r="F1074" s="78"/>
    </row>
    <row r="1075" spans="2:6" x14ac:dyDescent="0.3">
      <c r="B1075" s="46"/>
      <c r="D1075" s="37"/>
      <c r="E1075" s="10"/>
      <c r="F1075" s="78"/>
    </row>
    <row r="1076" spans="2:6" x14ac:dyDescent="0.3">
      <c r="B1076" s="46"/>
      <c r="D1076" s="37"/>
      <c r="E1076" s="10"/>
      <c r="F1076" s="78"/>
    </row>
    <row r="1077" spans="2:6" x14ac:dyDescent="0.3">
      <c r="B1077" s="46"/>
      <c r="D1077" s="37"/>
      <c r="E1077" s="10"/>
      <c r="F1077" s="78"/>
    </row>
    <row r="1078" spans="2:6" x14ac:dyDescent="0.3">
      <c r="B1078" s="46"/>
      <c r="D1078" s="37"/>
      <c r="E1078" s="10"/>
      <c r="F1078" s="78"/>
    </row>
    <row r="1079" spans="2:6" x14ac:dyDescent="0.3">
      <c r="B1079" s="46"/>
      <c r="D1079" s="37"/>
      <c r="E1079" s="10"/>
      <c r="F1079" s="78"/>
    </row>
    <row r="1080" spans="2:6" x14ac:dyDescent="0.3">
      <c r="B1080" s="46"/>
      <c r="D1080" s="37"/>
      <c r="E1080" s="10"/>
      <c r="F1080" s="78"/>
    </row>
    <row r="1081" spans="2:6" x14ac:dyDescent="0.3">
      <c r="B1081" s="46"/>
      <c r="D1081" s="37"/>
      <c r="E1081" s="10"/>
      <c r="F1081" s="78"/>
    </row>
    <row r="1082" spans="2:6" x14ac:dyDescent="0.3">
      <c r="B1082" s="46"/>
      <c r="D1082" s="37"/>
      <c r="E1082" s="10"/>
      <c r="F1082" s="78"/>
    </row>
    <row r="1083" spans="2:6" x14ac:dyDescent="0.3">
      <c r="B1083" s="46"/>
      <c r="D1083" s="37"/>
      <c r="E1083" s="10"/>
      <c r="F1083" s="78"/>
    </row>
    <row r="1084" spans="2:6" x14ac:dyDescent="0.3">
      <c r="B1084" s="46"/>
      <c r="D1084" s="37"/>
      <c r="E1084" s="10"/>
      <c r="F1084" s="78"/>
    </row>
    <row r="1085" spans="2:6" x14ac:dyDescent="0.3">
      <c r="B1085" s="46"/>
      <c r="D1085" s="37"/>
      <c r="E1085" s="10"/>
      <c r="F1085" s="78"/>
    </row>
    <row r="1086" spans="2:6" x14ac:dyDescent="0.3">
      <c r="B1086" s="46"/>
      <c r="D1086" s="37"/>
      <c r="E1086" s="10"/>
      <c r="F1086" s="78"/>
    </row>
    <row r="1087" spans="2:6" x14ac:dyDescent="0.3">
      <c r="B1087" s="46"/>
      <c r="D1087" s="37"/>
      <c r="E1087" s="10"/>
      <c r="F1087" s="78"/>
    </row>
    <row r="1088" spans="2:6" x14ac:dyDescent="0.3">
      <c r="B1088" s="46"/>
      <c r="D1088" s="37"/>
      <c r="E1088" s="10"/>
      <c r="F1088" s="78"/>
    </row>
    <row r="1089" spans="2:6" x14ac:dyDescent="0.3">
      <c r="B1089" s="46"/>
      <c r="D1089" s="37"/>
      <c r="E1089" s="10"/>
      <c r="F1089" s="78"/>
    </row>
    <row r="1090" spans="2:6" x14ac:dyDescent="0.3">
      <c r="B1090" s="46"/>
      <c r="D1090" s="37"/>
      <c r="E1090" s="10"/>
      <c r="F1090" s="78"/>
    </row>
    <row r="1091" spans="2:6" x14ac:dyDescent="0.3">
      <c r="B1091" s="46"/>
      <c r="D1091" s="37"/>
      <c r="E1091" s="10"/>
      <c r="F1091" s="78"/>
    </row>
    <row r="1092" spans="2:6" x14ac:dyDescent="0.3">
      <c r="B1092" s="46"/>
      <c r="D1092" s="37"/>
      <c r="E1092" s="10"/>
      <c r="F1092" s="78"/>
    </row>
    <row r="1093" spans="2:6" x14ac:dyDescent="0.3">
      <c r="B1093" s="46"/>
      <c r="D1093" s="37"/>
      <c r="E1093" s="10"/>
      <c r="F1093" s="78"/>
    </row>
    <row r="1094" spans="2:6" x14ac:dyDescent="0.3">
      <c r="B1094" s="46"/>
      <c r="D1094" s="37"/>
      <c r="E1094" s="10"/>
      <c r="F1094" s="78"/>
    </row>
    <row r="1095" spans="2:6" x14ac:dyDescent="0.3">
      <c r="B1095" s="46"/>
      <c r="D1095" s="37"/>
      <c r="E1095" s="10"/>
      <c r="F1095" s="78"/>
    </row>
    <row r="1096" spans="2:6" x14ac:dyDescent="0.3">
      <c r="B1096" s="46"/>
      <c r="D1096" s="37"/>
      <c r="E1096" s="10"/>
      <c r="F1096" s="78"/>
    </row>
    <row r="1097" spans="2:6" x14ac:dyDescent="0.3">
      <c r="B1097" s="46"/>
      <c r="D1097" s="37"/>
      <c r="E1097" s="10"/>
      <c r="F1097" s="78"/>
    </row>
    <row r="1098" spans="2:6" x14ac:dyDescent="0.3">
      <c r="B1098" s="46"/>
      <c r="D1098" s="37"/>
      <c r="E1098" s="10"/>
      <c r="F1098" s="78"/>
    </row>
    <row r="1099" spans="2:6" x14ac:dyDescent="0.3">
      <c r="B1099" s="46"/>
      <c r="D1099" s="37"/>
      <c r="E1099" s="10"/>
      <c r="F1099" s="78"/>
    </row>
    <row r="1100" spans="2:6" x14ac:dyDescent="0.3">
      <c r="B1100" s="46"/>
      <c r="D1100" s="37"/>
      <c r="E1100" s="10"/>
      <c r="F1100" s="78"/>
    </row>
    <row r="1101" spans="2:6" x14ac:dyDescent="0.3">
      <c r="B1101" s="46"/>
      <c r="D1101" s="37"/>
      <c r="E1101" s="10"/>
      <c r="F1101" s="78"/>
    </row>
    <row r="1102" spans="2:6" x14ac:dyDescent="0.3">
      <c r="B1102" s="46"/>
      <c r="D1102" s="37"/>
      <c r="E1102" s="10"/>
      <c r="F1102" s="78"/>
    </row>
    <row r="1103" spans="2:6" x14ac:dyDescent="0.3">
      <c r="B1103" s="46"/>
      <c r="D1103" s="37"/>
      <c r="E1103" s="10"/>
      <c r="F1103" s="78"/>
    </row>
    <row r="1104" spans="2:6" x14ac:dyDescent="0.3">
      <c r="B1104" s="46"/>
      <c r="D1104" s="37"/>
      <c r="E1104" s="10"/>
      <c r="F1104" s="78"/>
    </row>
    <row r="1105" spans="2:6" x14ac:dyDescent="0.3">
      <c r="B1105" s="46"/>
      <c r="D1105" s="37"/>
      <c r="E1105" s="10"/>
      <c r="F1105" s="78"/>
    </row>
    <row r="1106" spans="2:6" x14ac:dyDescent="0.3">
      <c r="B1106" s="46"/>
      <c r="D1106" s="37"/>
      <c r="E1106" s="10"/>
      <c r="F1106" s="78"/>
    </row>
    <row r="1107" spans="2:6" x14ac:dyDescent="0.3">
      <c r="B1107" s="46"/>
      <c r="D1107" s="37"/>
      <c r="E1107" s="10"/>
      <c r="F1107" s="78"/>
    </row>
    <row r="1108" spans="2:6" x14ac:dyDescent="0.3">
      <c r="B1108" s="46"/>
      <c r="D1108" s="37"/>
      <c r="E1108" s="10"/>
      <c r="F1108" s="78"/>
    </row>
    <row r="1109" spans="2:6" x14ac:dyDescent="0.3">
      <c r="B1109" s="46"/>
      <c r="D1109" s="37"/>
      <c r="E1109" s="10"/>
      <c r="F1109" s="78"/>
    </row>
    <row r="1110" spans="2:6" x14ac:dyDescent="0.3">
      <c r="B1110" s="46"/>
      <c r="D1110" s="37"/>
      <c r="E1110" s="10"/>
      <c r="F1110" s="78"/>
    </row>
    <row r="1111" spans="2:6" x14ac:dyDescent="0.3">
      <c r="B1111" s="46"/>
      <c r="D1111" s="37"/>
      <c r="E1111" s="10"/>
      <c r="F1111" s="78"/>
    </row>
    <row r="1112" spans="2:6" x14ac:dyDescent="0.3">
      <c r="B1112" s="46"/>
      <c r="D1112" s="37"/>
      <c r="E1112" s="10"/>
      <c r="F1112" s="78"/>
    </row>
    <row r="1113" spans="2:6" x14ac:dyDescent="0.3">
      <c r="B1113" s="46"/>
      <c r="D1113" s="37"/>
      <c r="E1113" s="10"/>
      <c r="F1113" s="78"/>
    </row>
    <row r="1114" spans="2:6" x14ac:dyDescent="0.3">
      <c r="B1114" s="46"/>
      <c r="D1114" s="37"/>
      <c r="E1114" s="10"/>
      <c r="F1114" s="78"/>
    </row>
    <row r="1115" spans="2:6" x14ac:dyDescent="0.3">
      <c r="B1115" s="46"/>
      <c r="D1115" s="37"/>
      <c r="E1115" s="10"/>
      <c r="F1115" s="78"/>
    </row>
    <row r="1116" spans="2:6" x14ac:dyDescent="0.3">
      <c r="B1116" s="46"/>
      <c r="D1116" s="37"/>
      <c r="E1116" s="10"/>
      <c r="F1116" s="78"/>
    </row>
    <row r="1117" spans="2:6" x14ac:dyDescent="0.3">
      <c r="B1117" s="46"/>
      <c r="D1117" s="37"/>
      <c r="E1117" s="10"/>
      <c r="F1117" s="78"/>
    </row>
    <row r="1118" spans="2:6" x14ac:dyDescent="0.3">
      <c r="B1118" s="46"/>
      <c r="D1118" s="37"/>
      <c r="E1118" s="10"/>
      <c r="F1118" s="78"/>
    </row>
    <row r="1119" spans="2:6" x14ac:dyDescent="0.3">
      <c r="B1119" s="46"/>
      <c r="D1119" s="37"/>
      <c r="E1119" s="10"/>
      <c r="F1119" s="78"/>
    </row>
    <row r="1120" spans="2:6" x14ac:dyDescent="0.3">
      <c r="B1120" s="46"/>
      <c r="D1120" s="37"/>
      <c r="E1120" s="10"/>
      <c r="F1120" s="78"/>
    </row>
    <row r="1121" spans="2:6" x14ac:dyDescent="0.3">
      <c r="B1121" s="46"/>
      <c r="D1121" s="37"/>
      <c r="E1121" s="10"/>
      <c r="F1121" s="78"/>
    </row>
    <row r="1122" spans="2:6" x14ac:dyDescent="0.3">
      <c r="B1122" s="46"/>
      <c r="D1122" s="37"/>
      <c r="E1122" s="10"/>
      <c r="F1122" s="78"/>
    </row>
    <row r="1123" spans="2:6" x14ac:dyDescent="0.3">
      <c r="B1123" s="46"/>
      <c r="D1123" s="37"/>
      <c r="E1123" s="10"/>
      <c r="F1123" s="78"/>
    </row>
    <row r="1124" spans="2:6" x14ac:dyDescent="0.3">
      <c r="B1124" s="46"/>
      <c r="D1124" s="37"/>
      <c r="E1124" s="10"/>
      <c r="F1124" s="78"/>
    </row>
    <row r="1125" spans="2:6" x14ac:dyDescent="0.3">
      <c r="B1125" s="46"/>
      <c r="D1125" s="37"/>
      <c r="E1125" s="10"/>
      <c r="F1125" s="78"/>
    </row>
    <row r="1126" spans="2:6" x14ac:dyDescent="0.3">
      <c r="B1126" s="46"/>
      <c r="D1126" s="37"/>
      <c r="E1126" s="10"/>
      <c r="F1126" s="78"/>
    </row>
    <row r="1127" spans="2:6" x14ac:dyDescent="0.3">
      <c r="B1127" s="46"/>
      <c r="D1127" s="37"/>
      <c r="E1127" s="10"/>
      <c r="F1127" s="78"/>
    </row>
    <row r="1128" spans="2:6" x14ac:dyDescent="0.3">
      <c r="B1128" s="46"/>
      <c r="D1128" s="37"/>
      <c r="E1128" s="10"/>
      <c r="F1128" s="78"/>
    </row>
    <row r="1129" spans="2:6" x14ac:dyDescent="0.3">
      <c r="B1129" s="46"/>
      <c r="D1129" s="37"/>
      <c r="E1129" s="10"/>
      <c r="F1129" s="78"/>
    </row>
    <row r="1130" spans="2:6" x14ac:dyDescent="0.3">
      <c r="B1130" s="46"/>
      <c r="D1130" s="37"/>
      <c r="E1130" s="10"/>
      <c r="F1130" s="78"/>
    </row>
    <row r="1131" spans="2:6" x14ac:dyDescent="0.3">
      <c r="B1131" s="46"/>
      <c r="D1131" s="37"/>
      <c r="E1131" s="10"/>
      <c r="F1131" s="78"/>
    </row>
    <row r="1132" spans="2:6" x14ac:dyDescent="0.3">
      <c r="B1132" s="46"/>
      <c r="D1132" s="37"/>
      <c r="E1132" s="10"/>
      <c r="F1132" s="78"/>
    </row>
    <row r="1133" spans="2:6" x14ac:dyDescent="0.3">
      <c r="B1133" s="46"/>
      <c r="D1133" s="37"/>
      <c r="E1133" s="10"/>
      <c r="F1133" s="78"/>
    </row>
    <row r="1134" spans="2:6" x14ac:dyDescent="0.3">
      <c r="B1134" s="46"/>
      <c r="D1134" s="37"/>
      <c r="E1134" s="10"/>
      <c r="F1134" s="78"/>
    </row>
    <row r="1135" spans="2:6" x14ac:dyDescent="0.3">
      <c r="B1135" s="46"/>
      <c r="D1135" s="37"/>
      <c r="E1135" s="10"/>
      <c r="F1135" s="78"/>
    </row>
    <row r="1136" spans="2:6" x14ac:dyDescent="0.3">
      <c r="B1136" s="46"/>
      <c r="D1136" s="37"/>
      <c r="E1136" s="10"/>
      <c r="F1136" s="78"/>
    </row>
    <row r="1137" spans="2:6" x14ac:dyDescent="0.3">
      <c r="B1137" s="46"/>
      <c r="D1137" s="37"/>
      <c r="E1137" s="10"/>
      <c r="F1137" s="78"/>
    </row>
    <row r="1138" spans="2:6" x14ac:dyDescent="0.3">
      <c r="B1138" s="46"/>
      <c r="D1138" s="37"/>
      <c r="E1138" s="10"/>
      <c r="F1138" s="78"/>
    </row>
    <row r="1139" spans="2:6" x14ac:dyDescent="0.3">
      <c r="B1139" s="46"/>
      <c r="D1139" s="37"/>
      <c r="E1139" s="10"/>
      <c r="F1139" s="78"/>
    </row>
    <row r="1140" spans="2:6" x14ac:dyDescent="0.3">
      <c r="B1140" s="46"/>
      <c r="D1140" s="37"/>
      <c r="E1140" s="10"/>
      <c r="F1140" s="78"/>
    </row>
    <row r="1141" spans="2:6" x14ac:dyDescent="0.3">
      <c r="B1141" s="46"/>
      <c r="D1141" s="37"/>
      <c r="E1141" s="10"/>
      <c r="F1141" s="78"/>
    </row>
    <row r="1142" spans="2:6" x14ac:dyDescent="0.3">
      <c r="B1142" s="46"/>
      <c r="D1142" s="37"/>
      <c r="E1142" s="10"/>
      <c r="F1142" s="78"/>
    </row>
    <row r="1143" spans="2:6" x14ac:dyDescent="0.3">
      <c r="B1143" s="46"/>
      <c r="D1143" s="37"/>
      <c r="E1143" s="10"/>
      <c r="F1143" s="78"/>
    </row>
    <row r="1144" spans="2:6" x14ac:dyDescent="0.3">
      <c r="B1144" s="46"/>
      <c r="D1144" s="37"/>
      <c r="E1144" s="10"/>
      <c r="F1144" s="78"/>
    </row>
    <row r="1145" spans="2:6" x14ac:dyDescent="0.3">
      <c r="B1145" s="46"/>
      <c r="D1145" s="37"/>
      <c r="E1145" s="10"/>
      <c r="F1145" s="78"/>
    </row>
    <row r="1146" spans="2:6" x14ac:dyDescent="0.3">
      <c r="B1146" s="46"/>
      <c r="D1146" s="37"/>
      <c r="E1146" s="10"/>
      <c r="F1146" s="78"/>
    </row>
    <row r="1147" spans="2:6" x14ac:dyDescent="0.3">
      <c r="B1147" s="46"/>
      <c r="D1147" s="37"/>
      <c r="E1147" s="10"/>
      <c r="F1147" s="78"/>
    </row>
    <row r="1148" spans="2:6" x14ac:dyDescent="0.3">
      <c r="B1148" s="46"/>
      <c r="D1148" s="37"/>
      <c r="E1148" s="10"/>
      <c r="F1148" s="78"/>
    </row>
    <row r="1149" spans="2:6" x14ac:dyDescent="0.3">
      <c r="B1149" s="46"/>
      <c r="D1149" s="37"/>
      <c r="E1149" s="10"/>
      <c r="F1149" s="78"/>
    </row>
    <row r="1150" spans="2:6" x14ac:dyDescent="0.3">
      <c r="B1150" s="46"/>
      <c r="D1150" s="37"/>
      <c r="E1150" s="10"/>
      <c r="F1150" s="78"/>
    </row>
    <row r="1151" spans="2:6" x14ac:dyDescent="0.3">
      <c r="B1151" s="46"/>
      <c r="D1151" s="37"/>
      <c r="E1151" s="10"/>
      <c r="F1151" s="78"/>
    </row>
    <row r="1152" spans="2:6" x14ac:dyDescent="0.3">
      <c r="B1152" s="46"/>
      <c r="D1152" s="37"/>
      <c r="E1152" s="10"/>
      <c r="F1152" s="78"/>
    </row>
    <row r="1153" spans="2:6" x14ac:dyDescent="0.3">
      <c r="B1153" s="46"/>
      <c r="D1153" s="37"/>
      <c r="E1153" s="10"/>
      <c r="F1153" s="78"/>
    </row>
    <row r="1154" spans="2:6" x14ac:dyDescent="0.3">
      <c r="B1154" s="46"/>
      <c r="D1154" s="37"/>
      <c r="E1154" s="10"/>
      <c r="F1154" s="78"/>
    </row>
    <row r="1155" spans="2:6" x14ac:dyDescent="0.3">
      <c r="B1155" s="46"/>
      <c r="D1155" s="37"/>
      <c r="E1155" s="10"/>
      <c r="F1155" s="78"/>
    </row>
    <row r="1156" spans="2:6" x14ac:dyDescent="0.3">
      <c r="B1156" s="46"/>
      <c r="D1156" s="37"/>
      <c r="E1156" s="10"/>
      <c r="F1156" s="78"/>
    </row>
    <row r="1157" spans="2:6" x14ac:dyDescent="0.3">
      <c r="B1157" s="46"/>
      <c r="D1157" s="37"/>
      <c r="E1157" s="10"/>
      <c r="F1157" s="78"/>
    </row>
    <row r="1158" spans="2:6" x14ac:dyDescent="0.3">
      <c r="B1158" s="46"/>
      <c r="D1158" s="37"/>
      <c r="E1158" s="10"/>
      <c r="F1158" s="78"/>
    </row>
    <row r="1159" spans="2:6" x14ac:dyDescent="0.3">
      <c r="B1159" s="46"/>
      <c r="D1159" s="37"/>
      <c r="E1159" s="10"/>
      <c r="F1159" s="78"/>
    </row>
    <row r="1160" spans="2:6" x14ac:dyDescent="0.3">
      <c r="B1160" s="46"/>
      <c r="D1160" s="37"/>
      <c r="E1160" s="10"/>
      <c r="F1160" s="78"/>
    </row>
    <row r="1161" spans="2:6" x14ac:dyDescent="0.3">
      <c r="B1161" s="46"/>
      <c r="D1161" s="37"/>
      <c r="E1161" s="10"/>
      <c r="F1161" s="78"/>
    </row>
    <row r="1162" spans="2:6" x14ac:dyDescent="0.3">
      <c r="B1162" s="46"/>
      <c r="D1162" s="37"/>
      <c r="E1162" s="10"/>
      <c r="F1162" s="78"/>
    </row>
    <row r="1163" spans="2:6" x14ac:dyDescent="0.3">
      <c r="B1163" s="46"/>
      <c r="D1163" s="37"/>
      <c r="E1163" s="10"/>
      <c r="F1163" s="78"/>
    </row>
    <row r="1164" spans="2:6" x14ac:dyDescent="0.3">
      <c r="B1164" s="46"/>
      <c r="D1164" s="37"/>
      <c r="E1164" s="10"/>
      <c r="F1164" s="78"/>
    </row>
    <row r="1165" spans="2:6" x14ac:dyDescent="0.3">
      <c r="B1165" s="46"/>
      <c r="D1165" s="37"/>
      <c r="E1165" s="10"/>
      <c r="F1165" s="78"/>
    </row>
    <row r="1166" spans="2:6" x14ac:dyDescent="0.3">
      <c r="B1166" s="46"/>
      <c r="D1166" s="37"/>
      <c r="E1166" s="10"/>
      <c r="F1166" s="78"/>
    </row>
    <row r="1167" spans="2:6" x14ac:dyDescent="0.3">
      <c r="B1167" s="46"/>
      <c r="D1167" s="37"/>
      <c r="E1167" s="10"/>
      <c r="F1167" s="78"/>
    </row>
    <row r="1168" spans="2:6" x14ac:dyDescent="0.3">
      <c r="B1168" s="46"/>
      <c r="D1168" s="37"/>
      <c r="E1168" s="10"/>
      <c r="F1168" s="78"/>
    </row>
    <row r="1169" spans="2:6" x14ac:dyDescent="0.3">
      <c r="B1169" s="46"/>
      <c r="D1169" s="37"/>
      <c r="E1169" s="10"/>
      <c r="F1169" s="78"/>
    </row>
    <row r="1170" spans="2:6" x14ac:dyDescent="0.3">
      <c r="B1170" s="46"/>
      <c r="D1170" s="37"/>
      <c r="E1170" s="10"/>
      <c r="F1170" s="78"/>
    </row>
    <row r="1171" spans="2:6" x14ac:dyDescent="0.3">
      <c r="B1171" s="46"/>
      <c r="D1171" s="37"/>
      <c r="E1171" s="10"/>
      <c r="F1171" s="78"/>
    </row>
    <row r="1172" spans="2:6" x14ac:dyDescent="0.3">
      <c r="B1172" s="46"/>
      <c r="D1172" s="37"/>
      <c r="E1172" s="10"/>
      <c r="F1172" s="78"/>
    </row>
    <row r="1173" spans="2:6" x14ac:dyDescent="0.3">
      <c r="B1173" s="46"/>
      <c r="D1173" s="37"/>
      <c r="E1173" s="10"/>
      <c r="F1173" s="78"/>
    </row>
    <row r="1174" spans="2:6" x14ac:dyDescent="0.3">
      <c r="B1174" s="46"/>
      <c r="D1174" s="37"/>
      <c r="E1174" s="10"/>
      <c r="F1174" s="78"/>
    </row>
    <row r="1175" spans="2:6" x14ac:dyDescent="0.3">
      <c r="B1175" s="46"/>
      <c r="D1175" s="37"/>
      <c r="E1175" s="10"/>
      <c r="F1175" s="78"/>
    </row>
    <row r="1176" spans="2:6" x14ac:dyDescent="0.3">
      <c r="B1176" s="46"/>
      <c r="D1176" s="37"/>
      <c r="E1176" s="10"/>
      <c r="F1176" s="78"/>
    </row>
    <row r="1177" spans="2:6" x14ac:dyDescent="0.3">
      <c r="B1177" s="46"/>
      <c r="D1177" s="37"/>
      <c r="E1177" s="10"/>
      <c r="F1177" s="78"/>
    </row>
    <row r="1178" spans="2:6" x14ac:dyDescent="0.3">
      <c r="B1178" s="46"/>
      <c r="D1178" s="37"/>
      <c r="E1178" s="10"/>
      <c r="F1178" s="78"/>
    </row>
    <row r="1179" spans="2:6" x14ac:dyDescent="0.3">
      <c r="B1179" s="46"/>
      <c r="D1179" s="37"/>
      <c r="E1179" s="10"/>
      <c r="F1179" s="78"/>
    </row>
    <row r="1180" spans="2:6" x14ac:dyDescent="0.3">
      <c r="B1180" s="46"/>
      <c r="D1180" s="37"/>
      <c r="E1180" s="10"/>
      <c r="F1180" s="78"/>
    </row>
    <row r="1181" spans="2:6" x14ac:dyDescent="0.3">
      <c r="B1181" s="46"/>
      <c r="D1181" s="37"/>
      <c r="E1181" s="10"/>
      <c r="F1181" s="78"/>
    </row>
    <row r="1182" spans="2:6" x14ac:dyDescent="0.3">
      <c r="B1182" s="46"/>
      <c r="D1182" s="37"/>
      <c r="E1182" s="10"/>
      <c r="F1182" s="78"/>
    </row>
    <row r="1183" spans="2:6" x14ac:dyDescent="0.3">
      <c r="B1183" s="46"/>
      <c r="D1183" s="37"/>
      <c r="E1183" s="10"/>
      <c r="F1183" s="78"/>
    </row>
    <row r="1184" spans="2:6" x14ac:dyDescent="0.3">
      <c r="B1184" s="46"/>
      <c r="D1184" s="37"/>
      <c r="E1184" s="10"/>
      <c r="F1184" s="78"/>
    </row>
    <row r="1185" spans="2:6" x14ac:dyDescent="0.3">
      <c r="B1185" s="46"/>
      <c r="D1185" s="37"/>
      <c r="E1185" s="10"/>
      <c r="F1185" s="78"/>
    </row>
    <row r="1186" spans="2:6" x14ac:dyDescent="0.3">
      <c r="B1186" s="46"/>
      <c r="D1186" s="37"/>
      <c r="E1186" s="10"/>
      <c r="F1186" s="78"/>
    </row>
    <row r="1187" spans="2:6" x14ac:dyDescent="0.3">
      <c r="B1187" s="46"/>
      <c r="D1187" s="37"/>
      <c r="E1187" s="10"/>
      <c r="F1187" s="78"/>
    </row>
    <row r="1188" spans="2:6" x14ac:dyDescent="0.3">
      <c r="B1188" s="46"/>
      <c r="D1188" s="37"/>
      <c r="E1188" s="10"/>
      <c r="F1188" s="78"/>
    </row>
    <row r="1189" spans="2:6" x14ac:dyDescent="0.3">
      <c r="B1189" s="46"/>
      <c r="D1189" s="37"/>
      <c r="E1189" s="10"/>
      <c r="F1189" s="78"/>
    </row>
    <row r="1190" spans="2:6" x14ac:dyDescent="0.3">
      <c r="B1190" s="46"/>
      <c r="D1190" s="37"/>
      <c r="E1190" s="10"/>
      <c r="F1190" s="78"/>
    </row>
    <row r="1191" spans="2:6" x14ac:dyDescent="0.3">
      <c r="B1191" s="46"/>
      <c r="D1191" s="37"/>
      <c r="E1191" s="10"/>
      <c r="F1191" s="78"/>
    </row>
    <row r="1192" spans="2:6" x14ac:dyDescent="0.3">
      <c r="B1192" s="46"/>
      <c r="D1192" s="37"/>
      <c r="E1192" s="10"/>
      <c r="F1192" s="78"/>
    </row>
    <row r="1193" spans="2:6" x14ac:dyDescent="0.3">
      <c r="B1193" s="46"/>
      <c r="D1193" s="37"/>
      <c r="E1193" s="10"/>
      <c r="F1193" s="78"/>
    </row>
    <row r="1194" spans="2:6" x14ac:dyDescent="0.3">
      <c r="B1194" s="46"/>
      <c r="D1194" s="37"/>
      <c r="E1194" s="10"/>
      <c r="F1194" s="78"/>
    </row>
    <row r="1195" spans="2:6" x14ac:dyDescent="0.3">
      <c r="B1195" s="46"/>
      <c r="D1195" s="37"/>
      <c r="E1195" s="10"/>
      <c r="F1195" s="78"/>
    </row>
    <row r="1196" spans="2:6" x14ac:dyDescent="0.3">
      <c r="B1196" s="46"/>
      <c r="D1196" s="37"/>
      <c r="E1196" s="10"/>
      <c r="F1196" s="78"/>
    </row>
    <row r="1197" spans="2:6" x14ac:dyDescent="0.3">
      <c r="B1197" s="46"/>
      <c r="D1197" s="37"/>
      <c r="E1197" s="10"/>
      <c r="F1197" s="78"/>
    </row>
    <row r="1198" spans="2:6" x14ac:dyDescent="0.3">
      <c r="B1198" s="46"/>
      <c r="D1198" s="37"/>
      <c r="E1198" s="10"/>
      <c r="F1198" s="78"/>
    </row>
    <row r="1199" spans="2:6" x14ac:dyDescent="0.3">
      <c r="B1199" s="46"/>
      <c r="D1199" s="37"/>
      <c r="E1199" s="10"/>
      <c r="F1199" s="78"/>
    </row>
    <row r="1200" spans="2:6" x14ac:dyDescent="0.3">
      <c r="B1200" s="46"/>
      <c r="D1200" s="37"/>
      <c r="E1200" s="10"/>
      <c r="F1200" s="78"/>
    </row>
    <row r="1201" spans="2:6" x14ac:dyDescent="0.3">
      <c r="B1201" s="46"/>
      <c r="D1201" s="37"/>
      <c r="E1201" s="10"/>
      <c r="F1201" s="78"/>
    </row>
    <row r="1202" spans="2:6" x14ac:dyDescent="0.3">
      <c r="B1202" s="46"/>
      <c r="D1202" s="37"/>
      <c r="E1202" s="10"/>
      <c r="F1202" s="78"/>
    </row>
    <row r="1203" spans="2:6" x14ac:dyDescent="0.3">
      <c r="B1203" s="46"/>
      <c r="D1203" s="37"/>
      <c r="E1203" s="10"/>
      <c r="F1203" s="78"/>
    </row>
    <row r="1204" spans="2:6" x14ac:dyDescent="0.3">
      <c r="B1204" s="46"/>
      <c r="D1204" s="37"/>
      <c r="E1204" s="10"/>
      <c r="F1204" s="78"/>
    </row>
    <row r="1205" spans="2:6" x14ac:dyDescent="0.3">
      <c r="B1205" s="46"/>
      <c r="D1205" s="37"/>
      <c r="E1205" s="10"/>
      <c r="F1205" s="78"/>
    </row>
    <row r="1206" spans="2:6" x14ac:dyDescent="0.3">
      <c r="B1206" s="46"/>
      <c r="D1206" s="37"/>
      <c r="E1206" s="10"/>
      <c r="F1206" s="78"/>
    </row>
    <row r="1207" spans="2:6" x14ac:dyDescent="0.3">
      <c r="B1207" s="46"/>
      <c r="D1207" s="37"/>
      <c r="E1207" s="10"/>
      <c r="F1207" s="78"/>
    </row>
    <row r="1208" spans="2:6" x14ac:dyDescent="0.3">
      <c r="B1208" s="46"/>
      <c r="D1208" s="37"/>
      <c r="E1208" s="10"/>
      <c r="F1208" s="78"/>
    </row>
    <row r="1209" spans="2:6" x14ac:dyDescent="0.3">
      <c r="B1209" s="46"/>
      <c r="D1209" s="37"/>
      <c r="E1209" s="10"/>
      <c r="F1209" s="78"/>
    </row>
    <row r="1210" spans="2:6" x14ac:dyDescent="0.3">
      <c r="B1210" s="46"/>
      <c r="D1210" s="37"/>
      <c r="E1210" s="10"/>
      <c r="F1210" s="78"/>
    </row>
    <row r="1211" spans="2:6" x14ac:dyDescent="0.3">
      <c r="B1211" s="46"/>
      <c r="D1211" s="37"/>
      <c r="E1211" s="10"/>
      <c r="F1211" s="78"/>
    </row>
    <row r="1212" spans="2:6" x14ac:dyDescent="0.3">
      <c r="B1212" s="46"/>
      <c r="D1212" s="37"/>
      <c r="E1212" s="10"/>
      <c r="F1212" s="78"/>
    </row>
    <row r="1213" spans="2:6" x14ac:dyDescent="0.3">
      <c r="B1213" s="46"/>
      <c r="D1213" s="37"/>
      <c r="E1213" s="10"/>
      <c r="F1213" s="78"/>
    </row>
    <row r="1214" spans="2:6" x14ac:dyDescent="0.3">
      <c r="B1214" s="46"/>
      <c r="D1214" s="37"/>
      <c r="E1214" s="10"/>
      <c r="F1214" s="78"/>
    </row>
    <row r="1215" spans="2:6" x14ac:dyDescent="0.3">
      <c r="B1215" s="46"/>
      <c r="D1215" s="37"/>
      <c r="E1215" s="10"/>
      <c r="F1215" s="78"/>
    </row>
    <row r="1216" spans="2:6" x14ac:dyDescent="0.3">
      <c r="B1216" s="46"/>
      <c r="D1216" s="37"/>
      <c r="E1216" s="10"/>
      <c r="F1216" s="78"/>
    </row>
    <row r="1217" spans="2:6" x14ac:dyDescent="0.3">
      <c r="B1217" s="46"/>
      <c r="D1217" s="37"/>
      <c r="E1217" s="10"/>
      <c r="F1217" s="78"/>
    </row>
    <row r="1218" spans="2:6" x14ac:dyDescent="0.3">
      <c r="B1218" s="46"/>
      <c r="D1218" s="37"/>
      <c r="E1218" s="10"/>
      <c r="F1218" s="78"/>
    </row>
    <row r="1219" spans="2:6" x14ac:dyDescent="0.3">
      <c r="B1219" s="46"/>
      <c r="D1219" s="37"/>
      <c r="E1219" s="10"/>
      <c r="F1219" s="78"/>
    </row>
    <row r="1220" spans="2:6" x14ac:dyDescent="0.3">
      <c r="B1220" s="46"/>
      <c r="D1220" s="37"/>
      <c r="E1220" s="10"/>
      <c r="F1220" s="78"/>
    </row>
    <row r="1221" spans="2:6" x14ac:dyDescent="0.3">
      <c r="B1221" s="46"/>
      <c r="D1221" s="37"/>
      <c r="E1221" s="10"/>
      <c r="F1221" s="78"/>
    </row>
    <row r="1222" spans="2:6" x14ac:dyDescent="0.3">
      <c r="B1222" s="46"/>
      <c r="D1222" s="37"/>
      <c r="E1222" s="10"/>
      <c r="F1222" s="78"/>
    </row>
    <row r="1223" spans="2:6" x14ac:dyDescent="0.3">
      <c r="B1223" s="46"/>
      <c r="D1223" s="37"/>
      <c r="E1223" s="10"/>
      <c r="F1223" s="78"/>
    </row>
    <row r="1224" spans="2:6" x14ac:dyDescent="0.3">
      <c r="B1224" s="46"/>
      <c r="D1224" s="37"/>
      <c r="E1224" s="10"/>
      <c r="F1224" s="78"/>
    </row>
    <row r="1225" spans="2:6" x14ac:dyDescent="0.3">
      <c r="B1225" s="46"/>
      <c r="D1225" s="37"/>
      <c r="E1225" s="10"/>
      <c r="F1225" s="78"/>
    </row>
    <row r="1226" spans="2:6" x14ac:dyDescent="0.3">
      <c r="B1226" s="46"/>
      <c r="D1226" s="37"/>
      <c r="E1226" s="10"/>
      <c r="F1226" s="78"/>
    </row>
    <row r="1227" spans="2:6" x14ac:dyDescent="0.3">
      <c r="B1227" s="46"/>
      <c r="D1227" s="37"/>
      <c r="E1227" s="10"/>
      <c r="F1227" s="78"/>
    </row>
    <row r="1228" spans="2:6" x14ac:dyDescent="0.3">
      <c r="B1228" s="46"/>
      <c r="D1228" s="37"/>
      <c r="E1228" s="10"/>
      <c r="F1228" s="78"/>
    </row>
    <row r="1229" spans="2:6" x14ac:dyDescent="0.3">
      <c r="B1229" s="46"/>
      <c r="D1229" s="37"/>
      <c r="E1229" s="10"/>
      <c r="F1229" s="78"/>
    </row>
    <row r="1230" spans="2:6" x14ac:dyDescent="0.3">
      <c r="B1230" s="46"/>
      <c r="D1230" s="37"/>
      <c r="E1230" s="10"/>
      <c r="F1230" s="78"/>
    </row>
    <row r="1231" spans="2:6" x14ac:dyDescent="0.3">
      <c r="B1231" s="46"/>
      <c r="D1231" s="37"/>
      <c r="E1231" s="10"/>
      <c r="F1231" s="78"/>
    </row>
    <row r="1232" spans="2:6" x14ac:dyDescent="0.3">
      <c r="B1232" s="46"/>
      <c r="D1232" s="37"/>
      <c r="E1232" s="10"/>
      <c r="F1232" s="78"/>
    </row>
    <row r="1233" spans="2:6" x14ac:dyDescent="0.3">
      <c r="B1233" s="46"/>
      <c r="D1233" s="37"/>
      <c r="E1233" s="10"/>
      <c r="F1233" s="78"/>
    </row>
    <row r="1234" spans="2:6" x14ac:dyDescent="0.3">
      <c r="B1234" s="46"/>
      <c r="D1234" s="37"/>
      <c r="E1234" s="10"/>
      <c r="F1234" s="78"/>
    </row>
    <row r="1235" spans="2:6" x14ac:dyDescent="0.3">
      <c r="B1235" s="46"/>
      <c r="D1235" s="37"/>
      <c r="E1235" s="10"/>
      <c r="F1235" s="78"/>
    </row>
    <row r="1236" spans="2:6" x14ac:dyDescent="0.3">
      <c r="B1236" s="46"/>
      <c r="D1236" s="37"/>
      <c r="E1236" s="10"/>
      <c r="F1236" s="78"/>
    </row>
    <row r="1237" spans="2:6" x14ac:dyDescent="0.3">
      <c r="B1237" s="46"/>
      <c r="D1237" s="37"/>
      <c r="E1237" s="10"/>
      <c r="F1237" s="78"/>
    </row>
    <row r="1238" spans="2:6" x14ac:dyDescent="0.3">
      <c r="B1238" s="46"/>
      <c r="D1238" s="37"/>
      <c r="E1238" s="10"/>
      <c r="F1238" s="78"/>
    </row>
    <row r="1239" spans="2:6" x14ac:dyDescent="0.3">
      <c r="B1239" s="46"/>
      <c r="D1239" s="37"/>
      <c r="E1239" s="10"/>
      <c r="F1239" s="78"/>
    </row>
    <row r="1240" spans="2:6" x14ac:dyDescent="0.3">
      <c r="B1240" s="46"/>
      <c r="D1240" s="37"/>
      <c r="E1240" s="10"/>
      <c r="F1240" s="78"/>
    </row>
    <row r="1241" spans="2:6" x14ac:dyDescent="0.3">
      <c r="B1241" s="46"/>
      <c r="D1241" s="37"/>
      <c r="E1241" s="10"/>
      <c r="F1241" s="78"/>
    </row>
    <row r="1242" spans="2:6" x14ac:dyDescent="0.3">
      <c r="B1242" s="46"/>
      <c r="D1242" s="37"/>
      <c r="E1242" s="10"/>
      <c r="F1242" s="78"/>
    </row>
    <row r="1243" spans="2:6" x14ac:dyDescent="0.3">
      <c r="B1243" s="46"/>
      <c r="D1243" s="37"/>
      <c r="E1243" s="10"/>
      <c r="F1243" s="78"/>
    </row>
    <row r="1244" spans="2:6" x14ac:dyDescent="0.3">
      <c r="B1244" s="46"/>
      <c r="D1244" s="37"/>
      <c r="E1244" s="10"/>
      <c r="F1244" s="78"/>
    </row>
    <row r="1245" spans="2:6" x14ac:dyDescent="0.3">
      <c r="B1245" s="46"/>
      <c r="D1245" s="37"/>
      <c r="E1245" s="10"/>
      <c r="F1245" s="78"/>
    </row>
    <row r="1246" spans="2:6" x14ac:dyDescent="0.3">
      <c r="B1246" s="46"/>
      <c r="D1246" s="37"/>
      <c r="E1246" s="10"/>
      <c r="F1246" s="78"/>
    </row>
    <row r="1247" spans="2:6" x14ac:dyDescent="0.3">
      <c r="B1247" s="46"/>
      <c r="D1247" s="37"/>
      <c r="E1247" s="10"/>
      <c r="F1247" s="78"/>
    </row>
    <row r="1248" spans="2:6" x14ac:dyDescent="0.3">
      <c r="B1248" s="46"/>
      <c r="D1248" s="37"/>
      <c r="E1248" s="10"/>
      <c r="F1248" s="78"/>
    </row>
    <row r="1249" spans="2:6" x14ac:dyDescent="0.3">
      <c r="B1249" s="46"/>
      <c r="D1249" s="37"/>
      <c r="E1249" s="10"/>
      <c r="F1249" s="78"/>
    </row>
    <row r="1250" spans="2:6" x14ac:dyDescent="0.3">
      <c r="B1250" s="46"/>
      <c r="D1250" s="37"/>
      <c r="E1250" s="10"/>
      <c r="F1250" s="78"/>
    </row>
    <row r="1251" spans="2:6" x14ac:dyDescent="0.3">
      <c r="B1251" s="46"/>
      <c r="D1251" s="37"/>
      <c r="E1251" s="10"/>
      <c r="F1251" s="78"/>
    </row>
    <row r="1252" spans="2:6" x14ac:dyDescent="0.3">
      <c r="B1252" s="46"/>
      <c r="D1252" s="37"/>
      <c r="E1252" s="10"/>
      <c r="F1252" s="78"/>
    </row>
    <row r="1253" spans="2:6" x14ac:dyDescent="0.3">
      <c r="B1253" s="46"/>
      <c r="D1253" s="37"/>
      <c r="E1253" s="10"/>
      <c r="F1253" s="78"/>
    </row>
    <row r="1254" spans="2:6" x14ac:dyDescent="0.3">
      <c r="B1254" s="46"/>
      <c r="D1254" s="37"/>
      <c r="E1254" s="10"/>
      <c r="F1254" s="78"/>
    </row>
    <row r="1255" spans="2:6" x14ac:dyDescent="0.3">
      <c r="B1255" s="46"/>
      <c r="D1255" s="37"/>
      <c r="E1255" s="10"/>
      <c r="F1255" s="78"/>
    </row>
    <row r="1256" spans="2:6" x14ac:dyDescent="0.3">
      <c r="B1256" s="46"/>
      <c r="D1256" s="37"/>
      <c r="E1256" s="10"/>
      <c r="F1256" s="78"/>
    </row>
    <row r="1257" spans="2:6" x14ac:dyDescent="0.3">
      <c r="B1257" s="46"/>
      <c r="D1257" s="37"/>
      <c r="E1257" s="10"/>
      <c r="F1257" s="78"/>
    </row>
    <row r="1258" spans="2:6" x14ac:dyDescent="0.3">
      <c r="B1258" s="46"/>
      <c r="D1258" s="37"/>
      <c r="E1258" s="10"/>
      <c r="F1258" s="78"/>
    </row>
    <row r="1259" spans="2:6" x14ac:dyDescent="0.3">
      <c r="B1259" s="46"/>
      <c r="D1259" s="37"/>
      <c r="E1259" s="10"/>
      <c r="F1259" s="78"/>
    </row>
    <row r="1260" spans="2:6" x14ac:dyDescent="0.3">
      <c r="B1260" s="46"/>
      <c r="D1260" s="37"/>
      <c r="E1260" s="10"/>
      <c r="F1260" s="78"/>
    </row>
    <row r="1261" spans="2:6" x14ac:dyDescent="0.3">
      <c r="B1261" s="46"/>
      <c r="D1261" s="37"/>
      <c r="E1261" s="10"/>
      <c r="F1261" s="78"/>
    </row>
    <row r="1262" spans="2:6" x14ac:dyDescent="0.3">
      <c r="B1262" s="46"/>
      <c r="D1262" s="37"/>
      <c r="E1262" s="10"/>
      <c r="F1262" s="78"/>
    </row>
    <row r="1263" spans="2:6" x14ac:dyDescent="0.3">
      <c r="B1263" s="46"/>
      <c r="D1263" s="37"/>
      <c r="E1263" s="10"/>
      <c r="F1263" s="78"/>
    </row>
    <row r="1264" spans="2:6" x14ac:dyDescent="0.3">
      <c r="B1264" s="46"/>
      <c r="D1264" s="37"/>
      <c r="E1264" s="10"/>
      <c r="F1264" s="78"/>
    </row>
    <row r="1265" spans="2:6" x14ac:dyDescent="0.3">
      <c r="B1265" s="46"/>
      <c r="D1265" s="37"/>
      <c r="E1265" s="10"/>
      <c r="F1265" s="78"/>
    </row>
    <row r="1266" spans="2:6" x14ac:dyDescent="0.3">
      <c r="B1266" s="46"/>
      <c r="D1266" s="37"/>
      <c r="E1266" s="10"/>
      <c r="F1266" s="78"/>
    </row>
    <row r="1267" spans="2:6" x14ac:dyDescent="0.3">
      <c r="B1267" s="46"/>
      <c r="D1267" s="37"/>
      <c r="E1267" s="10"/>
      <c r="F1267" s="78"/>
    </row>
    <row r="1268" spans="2:6" x14ac:dyDescent="0.3">
      <c r="B1268" s="46"/>
      <c r="D1268" s="37"/>
      <c r="E1268" s="10"/>
      <c r="F1268" s="78"/>
    </row>
    <row r="1269" spans="2:6" x14ac:dyDescent="0.3">
      <c r="B1269" s="46"/>
      <c r="D1269" s="37"/>
      <c r="E1269" s="10"/>
      <c r="F1269" s="78"/>
    </row>
    <row r="1270" spans="2:6" x14ac:dyDescent="0.3">
      <c r="B1270" s="46"/>
      <c r="D1270" s="37"/>
      <c r="E1270" s="10"/>
      <c r="F1270" s="78"/>
    </row>
    <row r="1271" spans="2:6" x14ac:dyDescent="0.3">
      <c r="B1271" s="46"/>
      <c r="D1271" s="37"/>
      <c r="E1271" s="10"/>
      <c r="F1271" s="78"/>
    </row>
    <row r="1272" spans="2:6" x14ac:dyDescent="0.3">
      <c r="B1272" s="46"/>
      <c r="D1272" s="37"/>
      <c r="E1272" s="10"/>
      <c r="F1272" s="78"/>
    </row>
    <row r="1273" spans="2:6" x14ac:dyDescent="0.3">
      <c r="B1273" s="46"/>
      <c r="D1273" s="37"/>
      <c r="E1273" s="10"/>
      <c r="F1273" s="78"/>
    </row>
    <row r="1274" spans="2:6" x14ac:dyDescent="0.3">
      <c r="B1274" s="46"/>
      <c r="D1274" s="37"/>
      <c r="E1274" s="10"/>
      <c r="F1274" s="78"/>
    </row>
    <row r="1275" spans="2:6" x14ac:dyDescent="0.3">
      <c r="B1275" s="46"/>
      <c r="D1275" s="37"/>
      <c r="E1275" s="10"/>
      <c r="F1275" s="78"/>
    </row>
    <row r="1276" spans="2:6" x14ac:dyDescent="0.3">
      <c r="B1276" s="46"/>
      <c r="D1276" s="37"/>
      <c r="E1276" s="10"/>
      <c r="F1276" s="78"/>
    </row>
    <row r="1277" spans="2:6" x14ac:dyDescent="0.3">
      <c r="B1277" s="46"/>
      <c r="D1277" s="37"/>
      <c r="E1277" s="10"/>
      <c r="F1277" s="78"/>
    </row>
    <row r="1278" spans="2:6" x14ac:dyDescent="0.3">
      <c r="B1278" s="46"/>
      <c r="D1278" s="37"/>
      <c r="E1278" s="10"/>
      <c r="F1278" s="78"/>
    </row>
    <row r="1279" spans="2:6" x14ac:dyDescent="0.3">
      <c r="B1279" s="46"/>
      <c r="D1279" s="37"/>
      <c r="E1279" s="10"/>
      <c r="F1279" s="78"/>
    </row>
    <row r="1280" spans="2:6" x14ac:dyDescent="0.3">
      <c r="B1280" s="46"/>
      <c r="D1280" s="37"/>
      <c r="E1280" s="10"/>
      <c r="F1280" s="78"/>
    </row>
    <row r="1281" spans="2:6" x14ac:dyDescent="0.3">
      <c r="B1281" s="46"/>
      <c r="D1281" s="37"/>
      <c r="E1281" s="10"/>
      <c r="F1281" s="78"/>
    </row>
    <row r="1282" spans="2:6" x14ac:dyDescent="0.3">
      <c r="B1282" s="46"/>
      <c r="D1282" s="37"/>
      <c r="E1282" s="10"/>
      <c r="F1282" s="78"/>
    </row>
    <row r="1283" spans="2:6" x14ac:dyDescent="0.3">
      <c r="B1283" s="46"/>
      <c r="D1283" s="37"/>
      <c r="E1283" s="10"/>
      <c r="F1283" s="78"/>
    </row>
    <row r="1284" spans="2:6" x14ac:dyDescent="0.3">
      <c r="B1284" s="46"/>
      <c r="D1284" s="37"/>
      <c r="E1284" s="10"/>
      <c r="F1284" s="78"/>
    </row>
    <row r="1285" spans="2:6" x14ac:dyDescent="0.3">
      <c r="B1285" s="46"/>
      <c r="D1285" s="37"/>
      <c r="E1285" s="10"/>
      <c r="F1285" s="78"/>
    </row>
    <row r="1286" spans="2:6" x14ac:dyDescent="0.3">
      <c r="B1286" s="46"/>
      <c r="D1286" s="37"/>
      <c r="E1286" s="10"/>
      <c r="F1286" s="78"/>
    </row>
    <row r="1287" spans="2:6" x14ac:dyDescent="0.3">
      <c r="B1287" s="46"/>
      <c r="D1287" s="37"/>
      <c r="E1287" s="10"/>
      <c r="F1287" s="78"/>
    </row>
    <row r="1288" spans="2:6" x14ac:dyDescent="0.3">
      <c r="B1288" s="46"/>
      <c r="D1288" s="37"/>
      <c r="E1288" s="10"/>
      <c r="F1288" s="78"/>
    </row>
    <row r="1289" spans="2:6" x14ac:dyDescent="0.3">
      <c r="B1289" s="46"/>
      <c r="D1289" s="37"/>
      <c r="E1289" s="10"/>
      <c r="F1289" s="78"/>
    </row>
    <row r="1290" spans="2:6" x14ac:dyDescent="0.3">
      <c r="B1290" s="46"/>
      <c r="D1290" s="37"/>
      <c r="E1290" s="10"/>
      <c r="F1290" s="78"/>
    </row>
    <row r="1291" spans="2:6" x14ac:dyDescent="0.3">
      <c r="B1291" s="46"/>
      <c r="D1291" s="37"/>
      <c r="E1291" s="10"/>
      <c r="F1291" s="78"/>
    </row>
    <row r="1292" spans="2:6" x14ac:dyDescent="0.3">
      <c r="B1292" s="46"/>
      <c r="D1292" s="37"/>
      <c r="E1292" s="10"/>
      <c r="F1292" s="78"/>
    </row>
    <row r="1293" spans="2:6" x14ac:dyDescent="0.3">
      <c r="B1293" s="46"/>
      <c r="D1293" s="37"/>
      <c r="E1293" s="10"/>
      <c r="F1293" s="78"/>
    </row>
    <row r="1294" spans="2:6" x14ac:dyDescent="0.3">
      <c r="B1294" s="46"/>
      <c r="D1294" s="37"/>
      <c r="E1294" s="10"/>
      <c r="F1294" s="78"/>
    </row>
    <row r="1295" spans="2:6" x14ac:dyDescent="0.3">
      <c r="B1295" s="46"/>
      <c r="D1295" s="37"/>
      <c r="E1295" s="10"/>
      <c r="F1295" s="78"/>
    </row>
    <row r="1296" spans="2:6" x14ac:dyDescent="0.3">
      <c r="B1296" s="46"/>
      <c r="D1296" s="37"/>
      <c r="E1296" s="10"/>
      <c r="F1296" s="78"/>
    </row>
    <row r="1297" spans="2:6" x14ac:dyDescent="0.3">
      <c r="B1297" s="46"/>
      <c r="D1297" s="37"/>
      <c r="E1297" s="10"/>
      <c r="F1297" s="78"/>
    </row>
    <row r="1298" spans="2:6" x14ac:dyDescent="0.3">
      <c r="B1298" s="46"/>
      <c r="D1298" s="37"/>
      <c r="E1298" s="10"/>
      <c r="F1298" s="78"/>
    </row>
    <row r="1299" spans="2:6" x14ac:dyDescent="0.3">
      <c r="B1299" s="46"/>
      <c r="D1299" s="37"/>
      <c r="E1299" s="10"/>
      <c r="F1299" s="78"/>
    </row>
    <row r="1300" spans="2:6" x14ac:dyDescent="0.3">
      <c r="B1300" s="46"/>
      <c r="D1300" s="37"/>
      <c r="E1300" s="10"/>
      <c r="F1300" s="78"/>
    </row>
    <row r="1301" spans="2:6" x14ac:dyDescent="0.3">
      <c r="B1301" s="46"/>
      <c r="D1301" s="37"/>
      <c r="E1301" s="10"/>
      <c r="F1301" s="78"/>
    </row>
    <row r="1302" spans="2:6" x14ac:dyDescent="0.3">
      <c r="B1302" s="46"/>
      <c r="D1302" s="37"/>
      <c r="E1302" s="10"/>
      <c r="F1302" s="78"/>
    </row>
    <row r="1303" spans="2:6" x14ac:dyDescent="0.3">
      <c r="B1303" s="46"/>
      <c r="D1303" s="37"/>
      <c r="E1303" s="10"/>
      <c r="F1303" s="78"/>
    </row>
    <row r="1304" spans="2:6" x14ac:dyDescent="0.3">
      <c r="B1304" s="46"/>
      <c r="D1304" s="37"/>
      <c r="E1304" s="10"/>
      <c r="F1304" s="78"/>
    </row>
    <row r="1305" spans="2:6" x14ac:dyDescent="0.3">
      <c r="B1305" s="46"/>
      <c r="D1305" s="37"/>
      <c r="E1305" s="10"/>
      <c r="F1305" s="78"/>
    </row>
    <row r="1306" spans="2:6" x14ac:dyDescent="0.3">
      <c r="B1306" s="46"/>
      <c r="D1306" s="37"/>
      <c r="E1306" s="10"/>
      <c r="F1306" s="78"/>
    </row>
    <row r="1307" spans="2:6" x14ac:dyDescent="0.3">
      <c r="B1307" s="46"/>
      <c r="D1307" s="37"/>
      <c r="E1307" s="10"/>
      <c r="F1307" s="78"/>
    </row>
    <row r="1308" spans="2:6" x14ac:dyDescent="0.3">
      <c r="B1308" s="46"/>
      <c r="D1308" s="37"/>
      <c r="E1308" s="10"/>
      <c r="F1308" s="78"/>
    </row>
    <row r="1309" spans="2:6" x14ac:dyDescent="0.3">
      <c r="B1309" s="46"/>
      <c r="D1309" s="37"/>
      <c r="E1309" s="10"/>
      <c r="F1309" s="78"/>
    </row>
    <row r="1310" spans="2:6" x14ac:dyDescent="0.3">
      <c r="B1310" s="46"/>
      <c r="D1310" s="37"/>
      <c r="E1310" s="10"/>
      <c r="F1310" s="78"/>
    </row>
    <row r="1311" spans="2:6" x14ac:dyDescent="0.3">
      <c r="B1311" s="46"/>
      <c r="D1311" s="37"/>
      <c r="E1311" s="10"/>
      <c r="F1311" s="78"/>
    </row>
    <row r="1312" spans="2:6" x14ac:dyDescent="0.3">
      <c r="B1312" s="46"/>
      <c r="D1312" s="37"/>
      <c r="E1312" s="10"/>
      <c r="F1312" s="78"/>
    </row>
    <row r="1313" spans="2:6" x14ac:dyDescent="0.3">
      <c r="B1313" s="46"/>
      <c r="D1313" s="37"/>
      <c r="E1313" s="10"/>
      <c r="F1313" s="78"/>
    </row>
    <row r="1314" spans="2:6" x14ac:dyDescent="0.3">
      <c r="B1314" s="46"/>
      <c r="D1314" s="37"/>
      <c r="E1314" s="10"/>
      <c r="F1314" s="78"/>
    </row>
    <row r="1315" spans="2:6" x14ac:dyDescent="0.3">
      <c r="B1315" s="46"/>
      <c r="D1315" s="37"/>
      <c r="E1315" s="10"/>
      <c r="F1315" s="78"/>
    </row>
    <row r="1316" spans="2:6" x14ac:dyDescent="0.3">
      <c r="B1316" s="46"/>
      <c r="D1316" s="37"/>
      <c r="E1316" s="10"/>
      <c r="F1316" s="78"/>
    </row>
    <row r="1317" spans="2:6" x14ac:dyDescent="0.3">
      <c r="B1317" s="46"/>
      <c r="D1317" s="37"/>
      <c r="E1317" s="10"/>
      <c r="F1317" s="78"/>
    </row>
    <row r="1318" spans="2:6" x14ac:dyDescent="0.3">
      <c r="B1318" s="46"/>
      <c r="D1318" s="37"/>
      <c r="E1318" s="10"/>
      <c r="F1318" s="78"/>
    </row>
    <row r="1319" spans="2:6" x14ac:dyDescent="0.3">
      <c r="B1319" s="46"/>
      <c r="D1319" s="37"/>
      <c r="E1319" s="10"/>
      <c r="F1319" s="78"/>
    </row>
    <row r="1320" spans="2:6" x14ac:dyDescent="0.3">
      <c r="B1320" s="46"/>
      <c r="D1320" s="37"/>
      <c r="E1320" s="10"/>
      <c r="F1320" s="78"/>
    </row>
    <row r="1321" spans="2:6" x14ac:dyDescent="0.3">
      <c r="B1321" s="46"/>
      <c r="D1321" s="37"/>
      <c r="E1321" s="10"/>
      <c r="F1321" s="78"/>
    </row>
    <row r="1322" spans="2:6" x14ac:dyDescent="0.3">
      <c r="B1322" s="46"/>
      <c r="D1322" s="37"/>
      <c r="E1322" s="10"/>
      <c r="F1322" s="78"/>
    </row>
    <row r="1323" spans="2:6" x14ac:dyDescent="0.3">
      <c r="B1323" s="46"/>
      <c r="D1323" s="37"/>
      <c r="E1323" s="10"/>
      <c r="F1323" s="78"/>
    </row>
    <row r="1324" spans="2:6" x14ac:dyDescent="0.3">
      <c r="B1324" s="46"/>
      <c r="D1324" s="37"/>
      <c r="E1324" s="10"/>
      <c r="F1324" s="78"/>
    </row>
    <row r="1325" spans="2:6" x14ac:dyDescent="0.3">
      <c r="B1325" s="46"/>
      <c r="D1325" s="37"/>
      <c r="E1325" s="10"/>
      <c r="F1325" s="78"/>
    </row>
    <row r="1326" spans="2:6" x14ac:dyDescent="0.3">
      <c r="B1326" s="46"/>
      <c r="D1326" s="37"/>
      <c r="E1326" s="10"/>
      <c r="F1326" s="78"/>
    </row>
    <row r="1327" spans="2:6" x14ac:dyDescent="0.3">
      <c r="B1327" s="46"/>
      <c r="D1327" s="37"/>
      <c r="E1327" s="10"/>
      <c r="F1327" s="78"/>
    </row>
    <row r="1328" spans="2:6" x14ac:dyDescent="0.3">
      <c r="B1328" s="46"/>
      <c r="D1328" s="37"/>
      <c r="E1328" s="10"/>
      <c r="F1328" s="78"/>
    </row>
    <row r="1329" spans="2:6" x14ac:dyDescent="0.3">
      <c r="B1329" s="46"/>
      <c r="D1329" s="37"/>
      <c r="E1329" s="10"/>
      <c r="F1329" s="78"/>
    </row>
    <row r="1330" spans="2:6" x14ac:dyDescent="0.3">
      <c r="B1330" s="46"/>
      <c r="D1330" s="37"/>
      <c r="E1330" s="10"/>
      <c r="F1330" s="78"/>
    </row>
    <row r="1331" spans="2:6" x14ac:dyDescent="0.3">
      <c r="B1331" s="46"/>
      <c r="D1331" s="37"/>
      <c r="E1331" s="10"/>
      <c r="F1331" s="78"/>
    </row>
    <row r="1332" spans="2:6" x14ac:dyDescent="0.3">
      <c r="B1332" s="46"/>
      <c r="D1332" s="37"/>
      <c r="E1332" s="10"/>
      <c r="F1332" s="78"/>
    </row>
    <row r="1333" spans="2:6" x14ac:dyDescent="0.3">
      <c r="B1333" s="46"/>
      <c r="D1333" s="37"/>
      <c r="E1333" s="10"/>
      <c r="F1333" s="78"/>
    </row>
    <row r="1334" spans="2:6" x14ac:dyDescent="0.3">
      <c r="B1334" s="46"/>
      <c r="D1334" s="37"/>
      <c r="E1334" s="10"/>
      <c r="F1334" s="78"/>
    </row>
    <row r="1335" spans="2:6" x14ac:dyDescent="0.3">
      <c r="B1335" s="46"/>
      <c r="D1335" s="37"/>
      <c r="E1335" s="10"/>
      <c r="F1335" s="78"/>
    </row>
    <row r="1336" spans="2:6" x14ac:dyDescent="0.3">
      <c r="B1336" s="46"/>
      <c r="D1336" s="37"/>
      <c r="E1336" s="10"/>
      <c r="F1336" s="78"/>
    </row>
    <row r="1337" spans="2:6" x14ac:dyDescent="0.3">
      <c r="B1337" s="46"/>
      <c r="D1337" s="37"/>
      <c r="E1337" s="10"/>
      <c r="F1337" s="78"/>
    </row>
    <row r="1338" spans="2:6" x14ac:dyDescent="0.3">
      <c r="B1338" s="46"/>
      <c r="D1338" s="37"/>
      <c r="E1338" s="10"/>
      <c r="F1338" s="78"/>
    </row>
    <row r="1339" spans="2:6" x14ac:dyDescent="0.3">
      <c r="B1339" s="46"/>
      <c r="D1339" s="37"/>
      <c r="E1339" s="10"/>
      <c r="F1339" s="78"/>
    </row>
    <row r="1340" spans="2:6" x14ac:dyDescent="0.3">
      <c r="B1340" s="46"/>
      <c r="D1340" s="37"/>
      <c r="E1340" s="10"/>
      <c r="F1340" s="78"/>
    </row>
    <row r="1341" spans="2:6" x14ac:dyDescent="0.3">
      <c r="B1341" s="46"/>
      <c r="D1341" s="37"/>
      <c r="E1341" s="10"/>
      <c r="F1341" s="78"/>
    </row>
    <row r="1342" spans="2:6" x14ac:dyDescent="0.3">
      <c r="B1342" s="46"/>
      <c r="D1342" s="37"/>
      <c r="E1342" s="10"/>
      <c r="F1342" s="78"/>
    </row>
    <row r="1343" spans="2:6" x14ac:dyDescent="0.3">
      <c r="B1343" s="46"/>
      <c r="D1343" s="37"/>
      <c r="E1343" s="10"/>
      <c r="F1343" s="78"/>
    </row>
    <row r="1344" spans="2:6" x14ac:dyDescent="0.3">
      <c r="B1344" s="46"/>
      <c r="D1344" s="37"/>
      <c r="E1344" s="10"/>
      <c r="F1344" s="78"/>
    </row>
    <row r="1345" spans="2:6" x14ac:dyDescent="0.3">
      <c r="B1345" s="46"/>
      <c r="D1345" s="37"/>
      <c r="E1345" s="10"/>
      <c r="F1345" s="78"/>
    </row>
    <row r="1346" spans="2:6" x14ac:dyDescent="0.3">
      <c r="B1346" s="46"/>
      <c r="D1346" s="37"/>
      <c r="E1346" s="10"/>
      <c r="F1346" s="78"/>
    </row>
    <row r="1347" spans="2:6" x14ac:dyDescent="0.3">
      <c r="B1347" s="46"/>
      <c r="D1347" s="37"/>
      <c r="E1347" s="10"/>
      <c r="F1347" s="78"/>
    </row>
    <row r="1348" spans="2:6" x14ac:dyDescent="0.3">
      <c r="B1348" s="46"/>
      <c r="D1348" s="37"/>
      <c r="E1348" s="10"/>
      <c r="F1348" s="78"/>
    </row>
    <row r="1349" spans="2:6" x14ac:dyDescent="0.3">
      <c r="B1349" s="46"/>
      <c r="D1349" s="37"/>
      <c r="E1349" s="10"/>
      <c r="F1349" s="78"/>
    </row>
    <row r="1350" spans="2:6" x14ac:dyDescent="0.3">
      <c r="B1350" s="46"/>
      <c r="D1350" s="37"/>
      <c r="E1350" s="10"/>
      <c r="F1350" s="78"/>
    </row>
    <row r="1351" spans="2:6" x14ac:dyDescent="0.3">
      <c r="B1351" s="46"/>
      <c r="D1351" s="37"/>
      <c r="E1351" s="10"/>
      <c r="F1351" s="78"/>
    </row>
    <row r="1352" spans="2:6" x14ac:dyDescent="0.3">
      <c r="B1352" s="46"/>
      <c r="D1352" s="37"/>
      <c r="E1352" s="10"/>
      <c r="F1352" s="78"/>
    </row>
    <row r="1353" spans="2:6" x14ac:dyDescent="0.3">
      <c r="B1353" s="46"/>
      <c r="D1353" s="37"/>
      <c r="E1353" s="10"/>
      <c r="F1353" s="78"/>
    </row>
    <row r="1354" spans="2:6" x14ac:dyDescent="0.3">
      <c r="B1354" s="46"/>
      <c r="D1354" s="37"/>
      <c r="E1354" s="10"/>
      <c r="F1354" s="78"/>
    </row>
    <row r="1355" spans="2:6" x14ac:dyDescent="0.3">
      <c r="B1355" s="46"/>
      <c r="D1355" s="37"/>
      <c r="E1355" s="10"/>
      <c r="F1355" s="78"/>
    </row>
    <row r="1356" spans="2:6" x14ac:dyDescent="0.3">
      <c r="B1356" s="46"/>
      <c r="D1356" s="37"/>
      <c r="E1356" s="10"/>
      <c r="F1356" s="78"/>
    </row>
    <row r="1357" spans="2:6" x14ac:dyDescent="0.3">
      <c r="B1357" s="46"/>
      <c r="D1357" s="37"/>
      <c r="E1357" s="10"/>
      <c r="F1357" s="78"/>
    </row>
    <row r="1358" spans="2:6" x14ac:dyDescent="0.3">
      <c r="B1358" s="46"/>
      <c r="D1358" s="37"/>
      <c r="E1358" s="10"/>
      <c r="F1358" s="78"/>
    </row>
    <row r="1359" spans="2:6" x14ac:dyDescent="0.3">
      <c r="B1359" s="46"/>
      <c r="D1359" s="37"/>
      <c r="E1359" s="10"/>
      <c r="F1359" s="78"/>
    </row>
    <row r="1360" spans="2:6" x14ac:dyDescent="0.3">
      <c r="B1360" s="46"/>
      <c r="D1360" s="37"/>
      <c r="E1360" s="10"/>
      <c r="F1360" s="78"/>
    </row>
    <row r="1361" spans="2:6" x14ac:dyDescent="0.3">
      <c r="B1361" s="46"/>
      <c r="D1361" s="37"/>
      <c r="E1361" s="10"/>
      <c r="F1361" s="78"/>
    </row>
    <row r="1362" spans="2:6" x14ac:dyDescent="0.3">
      <c r="B1362" s="46"/>
      <c r="D1362" s="37"/>
      <c r="E1362" s="10"/>
      <c r="F1362" s="78"/>
    </row>
    <row r="1363" spans="2:6" x14ac:dyDescent="0.3">
      <c r="B1363" s="46"/>
      <c r="D1363" s="37"/>
      <c r="E1363" s="10"/>
      <c r="F1363" s="78"/>
    </row>
    <row r="1364" spans="2:6" x14ac:dyDescent="0.3">
      <c r="B1364" s="46"/>
      <c r="D1364" s="37"/>
      <c r="E1364" s="10"/>
      <c r="F1364" s="78"/>
    </row>
    <row r="1365" spans="2:6" x14ac:dyDescent="0.3">
      <c r="B1365" s="46"/>
      <c r="D1365" s="37"/>
      <c r="E1365" s="10"/>
      <c r="F1365" s="78"/>
    </row>
    <row r="1366" spans="2:6" x14ac:dyDescent="0.3">
      <c r="B1366" s="46"/>
      <c r="D1366" s="37"/>
      <c r="E1366" s="10"/>
      <c r="F1366" s="78"/>
    </row>
    <row r="1367" spans="2:6" x14ac:dyDescent="0.3">
      <c r="B1367" s="46"/>
      <c r="D1367" s="37"/>
      <c r="E1367" s="10"/>
      <c r="F1367" s="78"/>
    </row>
    <row r="1368" spans="2:6" x14ac:dyDescent="0.3">
      <c r="B1368" s="46"/>
      <c r="D1368" s="37"/>
      <c r="E1368" s="10"/>
      <c r="F1368" s="78"/>
    </row>
    <row r="1369" spans="2:6" x14ac:dyDescent="0.3">
      <c r="B1369" s="46"/>
      <c r="D1369" s="37"/>
      <c r="E1369" s="10"/>
      <c r="F1369" s="78"/>
    </row>
    <row r="1370" spans="2:6" x14ac:dyDescent="0.3">
      <c r="B1370" s="46"/>
      <c r="D1370" s="37"/>
      <c r="E1370" s="10"/>
      <c r="F1370" s="78"/>
    </row>
    <row r="1371" spans="2:6" x14ac:dyDescent="0.3">
      <c r="B1371" s="46"/>
      <c r="D1371" s="37"/>
      <c r="E1371" s="10"/>
      <c r="F1371" s="78"/>
    </row>
    <row r="1372" spans="2:6" x14ac:dyDescent="0.3">
      <c r="B1372" s="46"/>
      <c r="D1372" s="37"/>
      <c r="E1372" s="10"/>
      <c r="F1372" s="78"/>
    </row>
    <row r="1373" spans="2:6" x14ac:dyDescent="0.3">
      <c r="B1373" s="46"/>
      <c r="D1373" s="37"/>
      <c r="E1373" s="10"/>
      <c r="F1373" s="78"/>
    </row>
    <row r="1374" spans="2:6" x14ac:dyDescent="0.3">
      <c r="B1374" s="46"/>
      <c r="D1374" s="37"/>
      <c r="E1374" s="10"/>
      <c r="F1374" s="78"/>
    </row>
    <row r="1375" spans="2:6" x14ac:dyDescent="0.3">
      <c r="B1375" s="46"/>
      <c r="D1375" s="37"/>
      <c r="E1375" s="10"/>
      <c r="F1375" s="78"/>
    </row>
    <row r="1376" spans="2:6" x14ac:dyDescent="0.3">
      <c r="B1376" s="46"/>
      <c r="D1376" s="37"/>
      <c r="E1376" s="10"/>
      <c r="F1376" s="78"/>
    </row>
    <row r="1377" spans="2:6" x14ac:dyDescent="0.3">
      <c r="B1377" s="46"/>
      <c r="D1377" s="37"/>
      <c r="E1377" s="10"/>
      <c r="F1377" s="78"/>
    </row>
    <row r="1378" spans="2:6" x14ac:dyDescent="0.3">
      <c r="B1378" s="46"/>
      <c r="D1378" s="37"/>
      <c r="E1378" s="10"/>
      <c r="F1378" s="78"/>
    </row>
    <row r="1379" spans="2:6" x14ac:dyDescent="0.3">
      <c r="B1379" s="46"/>
      <c r="D1379" s="37"/>
      <c r="E1379" s="10"/>
      <c r="F1379" s="78"/>
    </row>
    <row r="1380" spans="2:6" x14ac:dyDescent="0.3">
      <c r="B1380" s="46"/>
      <c r="D1380" s="37"/>
      <c r="E1380" s="10"/>
      <c r="F1380" s="78"/>
    </row>
    <row r="1381" spans="2:6" x14ac:dyDescent="0.3">
      <c r="B1381" s="46"/>
      <c r="D1381" s="37"/>
      <c r="E1381" s="10"/>
      <c r="F1381" s="78"/>
    </row>
    <row r="1382" spans="2:6" x14ac:dyDescent="0.3">
      <c r="B1382" s="46"/>
      <c r="D1382" s="37"/>
      <c r="E1382" s="10"/>
      <c r="F1382" s="78"/>
    </row>
    <row r="1383" spans="2:6" x14ac:dyDescent="0.3">
      <c r="B1383" s="46"/>
      <c r="D1383" s="37"/>
      <c r="E1383" s="10"/>
      <c r="F1383" s="78"/>
    </row>
    <row r="1384" spans="2:6" x14ac:dyDescent="0.3">
      <c r="B1384" s="46"/>
      <c r="D1384" s="37"/>
      <c r="E1384" s="10"/>
      <c r="F1384" s="78"/>
    </row>
    <row r="1385" spans="2:6" x14ac:dyDescent="0.3">
      <c r="B1385" s="46"/>
      <c r="D1385" s="37"/>
      <c r="E1385" s="10"/>
      <c r="F1385" s="78"/>
    </row>
    <row r="1386" spans="2:6" x14ac:dyDescent="0.3">
      <c r="B1386" s="46"/>
      <c r="D1386" s="37"/>
      <c r="E1386" s="10"/>
      <c r="F1386" s="78"/>
    </row>
    <row r="1387" spans="2:6" x14ac:dyDescent="0.3">
      <c r="B1387" s="46"/>
      <c r="D1387" s="37"/>
      <c r="E1387" s="10"/>
      <c r="F1387" s="78"/>
    </row>
    <row r="1388" spans="2:6" x14ac:dyDescent="0.3">
      <c r="B1388" s="46"/>
      <c r="D1388" s="37"/>
      <c r="E1388" s="10"/>
      <c r="F1388" s="78"/>
    </row>
    <row r="1389" spans="2:6" x14ac:dyDescent="0.3">
      <c r="B1389" s="46"/>
      <c r="D1389" s="37"/>
      <c r="E1389" s="10"/>
      <c r="F1389" s="78"/>
    </row>
    <row r="1390" spans="2:6" x14ac:dyDescent="0.3">
      <c r="B1390" s="46"/>
      <c r="D1390" s="37"/>
      <c r="E1390" s="10"/>
      <c r="F1390" s="78"/>
    </row>
    <row r="1391" spans="2:6" x14ac:dyDescent="0.3">
      <c r="B1391" s="46"/>
      <c r="D1391" s="37"/>
      <c r="E1391" s="10"/>
      <c r="F1391" s="78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Augusta</dc:creator>
  <cp:lastModifiedBy>Arya Augusta</cp:lastModifiedBy>
  <dcterms:created xsi:type="dcterms:W3CDTF">2026-06-12T10:27:27Z</dcterms:created>
  <dcterms:modified xsi:type="dcterms:W3CDTF">2026-06-20T08:32:11Z</dcterms:modified>
</cp:coreProperties>
</file>